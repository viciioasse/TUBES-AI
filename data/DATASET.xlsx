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f46a889e67c377/Documents/UNS/SEM 4/Kecerdasan Buatan (AI)/TUBES AI/"/>
    </mc:Choice>
  </mc:AlternateContent>
  <xr:revisionPtr revIDLastSave="426" documentId="8_{EB992B5F-06DD-4ED5-A54B-72ADAE909A2E}" xr6:coauthVersionLast="47" xr6:coauthVersionMax="47" xr10:uidLastSave="{5DFA2C04-EE03-4749-BC2A-42B65C91A7CC}"/>
  <bookViews>
    <workbookView xWindow="-98" yWindow="-98" windowWidth="21795" windowHeight="13695" xr2:uid="{033B7CE6-46E4-488F-8858-989761D16290}"/>
  </bookViews>
  <sheets>
    <sheet name="DATASHEET" sheetId="9" r:id="rId1"/>
    <sheet name="CO" sheetId="1" r:id="rId2"/>
    <sheet name="NO2" sheetId="2" r:id="rId3"/>
    <sheet name="O3" sheetId="6" r:id="rId4"/>
    <sheet name="PM10" sheetId="3" r:id="rId5"/>
    <sheet name="PM2.5" sheetId="4" r:id="rId6"/>
    <sheet name="SO2" sheetId="5" r:id="rId7"/>
    <sheet name="Kendaraan" sheetId="8" r:id="rId8"/>
  </sheets>
  <definedNames>
    <definedName name="_xlnm._FilterDatabase" localSheetId="1" hidden="1">CO!$A$1:$I$453</definedName>
    <definedName name="_xlnm._FilterDatabase" localSheetId="7" hidden="1">Kendaraan!$A$1:$F$453</definedName>
    <definedName name="_xlnm._FilterDatabase" localSheetId="2" hidden="1">'NO2'!$A$1:$I$453</definedName>
    <definedName name="_xlnm._FilterDatabase" localSheetId="3" hidden="1">'O3'!$A$1:$I$453</definedName>
    <definedName name="_xlnm._FilterDatabase" localSheetId="4" hidden="1">'PM10'!$A$1:$I$453</definedName>
    <definedName name="_xlnm._FilterDatabase" localSheetId="5" hidden="1">'PM2.5'!$A$1:$I$453</definedName>
    <definedName name="_xlnm._FilterDatabase" localSheetId="6" hidden="1">'SO2'!$A$1:$I$453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2" i="3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2" i="6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</calcChain>
</file>

<file path=xl/sharedStrings.xml><?xml version="1.0" encoding="utf-8"?>
<sst xmlns="http://schemas.openxmlformats.org/spreadsheetml/2006/main" count="16791" uniqueCount="5205">
  <si>
    <t>date</t>
  </si>
  <si>
    <t>min</t>
  </si>
  <si>
    <t>max</t>
  </si>
  <si>
    <t>median</t>
  </si>
  <si>
    <t>q1</t>
  </si>
  <si>
    <t>q3</t>
  </si>
  <si>
    <t>stdev</t>
  </si>
  <si>
    <t>count</t>
  </si>
  <si>
    <t>0.6</t>
  </si>
  <si>
    <t>0.61</t>
  </si>
  <si>
    <t>0.62</t>
  </si>
  <si>
    <t>0.63</t>
  </si>
  <si>
    <t>0.003</t>
  </si>
  <si>
    <t>0.64</t>
  </si>
  <si>
    <t>0.67</t>
  </si>
  <si>
    <t>0.65</t>
  </si>
  <si>
    <t>0.01</t>
  </si>
  <si>
    <t>0.008</t>
  </si>
  <si>
    <t>0.56</t>
  </si>
  <si>
    <t>0.59</t>
  </si>
  <si>
    <t>0.02</t>
  </si>
  <si>
    <t>0.57</t>
  </si>
  <si>
    <t>0.004</t>
  </si>
  <si>
    <t>0.011</t>
  </si>
  <si>
    <t>0.006</t>
  </si>
  <si>
    <t>0.71</t>
  </si>
  <si>
    <t>0.7</t>
  </si>
  <si>
    <t>0.022</t>
  </si>
  <si>
    <t>0.75</t>
  </si>
  <si>
    <t>0.73</t>
  </si>
  <si>
    <t>0.74</t>
  </si>
  <si>
    <t>0.019</t>
  </si>
  <si>
    <t>0.72</t>
  </si>
  <si>
    <t>0.005</t>
  </si>
  <si>
    <t>0.68</t>
  </si>
  <si>
    <t>0.69</t>
  </si>
  <si>
    <t>0.007</t>
  </si>
  <si>
    <t>0.013</t>
  </si>
  <si>
    <t>0.009</t>
  </si>
  <si>
    <t>0.84</t>
  </si>
  <si>
    <t>0.76</t>
  </si>
  <si>
    <t>0.81</t>
  </si>
  <si>
    <t>0.033</t>
  </si>
  <si>
    <t>0.82</t>
  </si>
  <si>
    <t>0.8</t>
  </si>
  <si>
    <t>0.79</t>
  </si>
  <si>
    <t>0.048</t>
  </si>
  <si>
    <t>0.28</t>
  </si>
  <si>
    <t>0.06</t>
  </si>
  <si>
    <t>0.48</t>
  </si>
  <si>
    <t>0.211</t>
  </si>
  <si>
    <t>0.19</t>
  </si>
  <si>
    <t>0.18</t>
  </si>
  <si>
    <t>0.04</t>
  </si>
  <si>
    <t>0.079</t>
  </si>
  <si>
    <t>0.15</t>
  </si>
  <si>
    <t>0.001</t>
  </si>
  <si>
    <t>0.23</t>
  </si>
  <si>
    <t>0.22</t>
  </si>
  <si>
    <t>0.1</t>
  </si>
  <si>
    <t>0.12</t>
  </si>
  <si>
    <t>0.074</t>
  </si>
  <si>
    <t>0.41</t>
  </si>
  <si>
    <t>0.03</t>
  </si>
  <si>
    <t>0.13</t>
  </si>
  <si>
    <t>0.44</t>
  </si>
  <si>
    <t>0.091</t>
  </si>
  <si>
    <t>0.27</t>
  </si>
  <si>
    <t>0.14</t>
  </si>
  <si>
    <t>0.42</t>
  </si>
  <si>
    <t>0.147</t>
  </si>
  <si>
    <t>0.09</t>
  </si>
  <si>
    <t>0.045</t>
  </si>
  <si>
    <t>0.07</t>
  </si>
  <si>
    <t>0.096</t>
  </si>
  <si>
    <t>0.3</t>
  </si>
  <si>
    <t>0.43</t>
  </si>
  <si>
    <t>0.4</t>
  </si>
  <si>
    <t>0.043</t>
  </si>
  <si>
    <t>0.39</t>
  </si>
  <si>
    <t>0.35</t>
  </si>
  <si>
    <t>0.45</t>
  </si>
  <si>
    <t>0.47</t>
  </si>
  <si>
    <t>0.025</t>
  </si>
  <si>
    <t>0.018</t>
  </si>
  <si>
    <t>0.012</t>
  </si>
  <si>
    <t>0.015</t>
  </si>
  <si>
    <t>0.024</t>
  </si>
  <si>
    <t>0.88</t>
  </si>
  <si>
    <t>0.78</t>
  </si>
  <si>
    <t>0.83</t>
  </si>
  <si>
    <t>0.053</t>
  </si>
  <si>
    <t>0.035</t>
  </si>
  <si>
    <t>0.77</t>
  </si>
  <si>
    <t>0.055</t>
  </si>
  <si>
    <t>0.059</t>
  </si>
  <si>
    <t>0.91</t>
  </si>
  <si>
    <t>0.017</t>
  </si>
  <si>
    <t>0.54</t>
  </si>
  <si>
    <t>0.154</t>
  </si>
  <si>
    <t>0.014</t>
  </si>
  <si>
    <t>0.98</t>
  </si>
  <si>
    <t>0.9</t>
  </si>
  <si>
    <t>0.102</t>
  </si>
  <si>
    <t>1.01</t>
  </si>
  <si>
    <t>0.99</t>
  </si>
  <si>
    <t>0.099</t>
  </si>
  <si>
    <t>0.95</t>
  </si>
  <si>
    <t>0.85</t>
  </si>
  <si>
    <t>0.96</t>
  </si>
  <si>
    <t>1.1</t>
  </si>
  <si>
    <t>1.09</t>
  </si>
  <si>
    <t>1.02</t>
  </si>
  <si>
    <t>0.109</t>
  </si>
  <si>
    <t>1.47</t>
  </si>
  <si>
    <t>1.25</t>
  </si>
  <si>
    <t>0.263</t>
  </si>
  <si>
    <t>1.39</t>
  </si>
  <si>
    <t>1.63</t>
  </si>
  <si>
    <t>1.49</t>
  </si>
  <si>
    <t>1.43</t>
  </si>
  <si>
    <t>1.6</t>
  </si>
  <si>
    <t>0.084</t>
  </si>
  <si>
    <t>1.37</t>
  </si>
  <si>
    <t>1.46</t>
  </si>
  <si>
    <t>0.047</t>
  </si>
  <si>
    <t>0.86</t>
  </si>
  <si>
    <t>1.32</t>
  </si>
  <si>
    <t>0.259</t>
  </si>
  <si>
    <t>0.55</t>
  </si>
  <si>
    <t>1.2</t>
  </si>
  <si>
    <t>0.213</t>
  </si>
  <si>
    <t>1.23</t>
  </si>
  <si>
    <t>1.44</t>
  </si>
  <si>
    <t>1.41</t>
  </si>
  <si>
    <t>0.049</t>
  </si>
  <si>
    <t>1.31</t>
  </si>
  <si>
    <t>1.12</t>
  </si>
  <si>
    <t>0.173</t>
  </si>
  <si>
    <t>0.93</t>
  </si>
  <si>
    <t>1.11</t>
  </si>
  <si>
    <t>0.002</t>
  </si>
  <si>
    <t>1.06</t>
  </si>
  <si>
    <t>1.03</t>
  </si>
  <si>
    <t>0.037</t>
  </si>
  <si>
    <t>1.13</t>
  </si>
  <si>
    <t>1.18</t>
  </si>
  <si>
    <t>1.17</t>
  </si>
  <si>
    <t>1.15</t>
  </si>
  <si>
    <t>1.14</t>
  </si>
  <si>
    <t>1.08</t>
  </si>
  <si>
    <t>1.07</t>
  </si>
  <si>
    <t>1.19</t>
  </si>
  <si>
    <t>0.078</t>
  </si>
  <si>
    <t>1.34</t>
  </si>
  <si>
    <t>0.058</t>
  </si>
  <si>
    <t>1.22</t>
  </si>
  <si>
    <t>1.24</t>
  </si>
  <si>
    <t>0.031</t>
  </si>
  <si>
    <t>1.26</t>
  </si>
  <si>
    <t>0.081</t>
  </si>
  <si>
    <t>1.27</t>
  </si>
  <si>
    <t>1.3</t>
  </si>
  <si>
    <t>1.29</t>
  </si>
  <si>
    <t>1.33</t>
  </si>
  <si>
    <t>0.026</t>
  </si>
  <si>
    <t>0.046</t>
  </si>
  <si>
    <t>1.04</t>
  </si>
  <si>
    <t>1.05</t>
  </si>
  <si>
    <t>0.038</t>
  </si>
  <si>
    <t>1.21</t>
  </si>
  <si>
    <t>0.061</t>
  </si>
  <si>
    <t>0.032</t>
  </si>
  <si>
    <t>0.039</t>
  </si>
  <si>
    <t>1.28</t>
  </si>
  <si>
    <t>0.027</t>
  </si>
  <si>
    <t>0.041</t>
  </si>
  <si>
    <t>0.057</t>
  </si>
  <si>
    <t>0.016</t>
  </si>
  <si>
    <t>0.021</t>
  </si>
  <si>
    <t>0.028</t>
  </si>
  <si>
    <t>0.5</t>
  </si>
  <si>
    <t>0.49</t>
  </si>
  <si>
    <t>0.46</t>
  </si>
  <si>
    <t>0.131</t>
  </si>
  <si>
    <t>0.89</t>
  </si>
  <si>
    <t>0.085</t>
  </si>
  <si>
    <t>0.207</t>
  </si>
  <si>
    <t>0.53</t>
  </si>
  <si>
    <t>0.034</t>
  </si>
  <si>
    <t>0.51</t>
  </si>
  <si>
    <t>0.52</t>
  </si>
  <si>
    <t>0.029</t>
  </si>
  <si>
    <t>0.068</t>
  </si>
  <si>
    <t>0.023</t>
  </si>
  <si>
    <t>0.36</t>
  </si>
  <si>
    <t>0.38</t>
  </si>
  <si>
    <t>0.37</t>
  </si>
  <si>
    <t>0.169</t>
  </si>
  <si>
    <t>0.11</t>
  </si>
  <si>
    <t>0.87</t>
  </si>
  <si>
    <t>0.94</t>
  </si>
  <si>
    <t>0.92</t>
  </si>
  <si>
    <t>0.219</t>
  </si>
  <si>
    <t>0.16</t>
  </si>
  <si>
    <t>0.2</t>
  </si>
  <si>
    <t>0.21</t>
  </si>
  <si>
    <t>0.164</t>
  </si>
  <si>
    <t>0.97</t>
  </si>
  <si>
    <t>0.185</t>
  </si>
  <si>
    <t>0.151</t>
  </si>
  <si>
    <t>0.065</t>
  </si>
  <si>
    <t>0.042</t>
  </si>
  <si>
    <t>1.56</t>
  </si>
  <si>
    <t>1.42</t>
  </si>
  <si>
    <t>1.58</t>
  </si>
  <si>
    <t>1.55</t>
  </si>
  <si>
    <t>0.036</t>
  </si>
  <si>
    <t>1.38</t>
  </si>
  <si>
    <t>1.35</t>
  </si>
  <si>
    <t>0.052</t>
  </si>
  <si>
    <t>0.094</t>
  </si>
  <si>
    <t>1.45</t>
  </si>
  <si>
    <t>1.4</t>
  </si>
  <si>
    <t>0.063</t>
  </si>
  <si>
    <t>0.072</t>
  </si>
  <si>
    <t>0.066</t>
  </si>
  <si>
    <t>0.08</t>
  </si>
  <si>
    <t>0.17</t>
  </si>
  <si>
    <t>0.221</t>
  </si>
  <si>
    <t>0.083</t>
  </si>
  <si>
    <t>0.073</t>
  </si>
  <si>
    <t>0.05</t>
  </si>
  <si>
    <t>0.25</t>
  </si>
  <si>
    <t>0.24</t>
  </si>
  <si>
    <t>0.044</t>
  </si>
  <si>
    <t>0.31</t>
  </si>
  <si>
    <t>0.139</t>
  </si>
  <si>
    <t>0.098</t>
  </si>
  <si>
    <t>1.52</t>
  </si>
  <si>
    <t>0.165</t>
  </si>
  <si>
    <t>1.53</t>
  </si>
  <si>
    <t>0.144</t>
  </si>
  <si>
    <t>0.086</t>
  </si>
  <si>
    <t>1.65</t>
  </si>
  <si>
    <t>1.51</t>
  </si>
  <si>
    <t>1.64</t>
  </si>
  <si>
    <t>0.092</t>
  </si>
  <si>
    <t>1.59</t>
  </si>
  <si>
    <t>1.62</t>
  </si>
  <si>
    <t>1.61</t>
  </si>
  <si>
    <t>1.54</t>
  </si>
  <si>
    <t>0.077</t>
  </si>
  <si>
    <t>1.36</t>
  </si>
  <si>
    <t>1.73</t>
  </si>
  <si>
    <t>0.113</t>
  </si>
  <si>
    <t>1.72</t>
  </si>
  <si>
    <t>1.67</t>
  </si>
  <si>
    <t>0.115</t>
  </si>
  <si>
    <t>0.239</t>
  </si>
  <si>
    <t>0.231</t>
  </si>
  <si>
    <t>0.062</t>
  </si>
  <si>
    <t>0.069</t>
  </si>
  <si>
    <t>0.162</t>
  </si>
  <si>
    <t>0.087</t>
  </si>
  <si>
    <t>0.088</t>
  </si>
  <si>
    <t>0.093</t>
  </si>
  <si>
    <t>0.097</t>
  </si>
  <si>
    <t>1.5</t>
  </si>
  <si>
    <t>0.26</t>
  </si>
  <si>
    <t>0.161</t>
  </si>
  <si>
    <t>0.106</t>
  </si>
  <si>
    <t>0.142</t>
  </si>
  <si>
    <t>0.157</t>
  </si>
  <si>
    <t>0.159</t>
  </si>
  <si>
    <t>0.247</t>
  </si>
  <si>
    <t>0.152</t>
  </si>
  <si>
    <t>0.149</t>
  </si>
  <si>
    <t>0.148</t>
  </si>
  <si>
    <t>0.121</t>
  </si>
  <si>
    <t>0.156</t>
  </si>
  <si>
    <t>0.155</t>
  </si>
  <si>
    <t>0.146</t>
  </si>
  <si>
    <t>0.143</t>
  </si>
  <si>
    <t>0.278</t>
  </si>
  <si>
    <t>0.056</t>
  </si>
  <si>
    <t>0.167</t>
  </si>
  <si>
    <t>0.122</t>
  </si>
  <si>
    <t>0.177</t>
  </si>
  <si>
    <t>0.168</t>
  </si>
  <si>
    <t>0.145</t>
  </si>
  <si>
    <t>0.293</t>
  </si>
  <si>
    <t>0.171</t>
  </si>
  <si>
    <t>0.235</t>
  </si>
  <si>
    <t>0.166</t>
  </si>
  <si>
    <t>0.141</t>
  </si>
  <si>
    <t>0.114</t>
  </si>
  <si>
    <t>0.248</t>
  </si>
  <si>
    <t>1.16</t>
  </si>
  <si>
    <t>84.42</t>
  </si>
  <si>
    <t>0.319</t>
  </si>
  <si>
    <t>84.54</t>
  </si>
  <si>
    <t>0.738</t>
  </si>
  <si>
    <t>84.52</t>
  </si>
  <si>
    <t>0.886</t>
  </si>
  <si>
    <t>82.4</t>
  </si>
  <si>
    <t>82.85</t>
  </si>
  <si>
    <t>91.83</t>
  </si>
  <si>
    <t>91.35</t>
  </si>
  <si>
    <t>91.92</t>
  </si>
  <si>
    <t>90.6</t>
  </si>
  <si>
    <t>88.77</t>
  </si>
  <si>
    <t>88.9</t>
  </si>
  <si>
    <t>0.257</t>
  </si>
  <si>
    <t>89.48</t>
  </si>
  <si>
    <t>94.88</t>
  </si>
  <si>
    <t>93.9</t>
  </si>
  <si>
    <t>99.57</t>
  </si>
  <si>
    <t>82.19</t>
  </si>
  <si>
    <t>83.15</t>
  </si>
  <si>
    <t>96.06</t>
  </si>
  <si>
    <t>95.39</t>
  </si>
  <si>
    <t>81.56</t>
  </si>
  <si>
    <t>79.88</t>
  </si>
  <si>
    <t>84.75</t>
  </si>
  <si>
    <t>86.35</t>
  </si>
  <si>
    <t>81.34</t>
  </si>
  <si>
    <t>81.9</t>
  </si>
  <si>
    <t>83.26</t>
  </si>
  <si>
    <t>82.67</t>
  </si>
  <si>
    <t>93.44</t>
  </si>
  <si>
    <t>91.09</t>
  </si>
  <si>
    <t>92.96</t>
  </si>
  <si>
    <t>50.6</t>
  </si>
  <si>
    <t>39.36</t>
  </si>
  <si>
    <t>39.89</t>
  </si>
  <si>
    <t>38.57</t>
  </si>
  <si>
    <t>34.6</t>
  </si>
  <si>
    <t>0.308</t>
  </si>
  <si>
    <t>34.67</t>
  </si>
  <si>
    <t>16.46</t>
  </si>
  <si>
    <t>19.04</t>
  </si>
  <si>
    <t>17.45</t>
  </si>
  <si>
    <t>24.92</t>
  </si>
  <si>
    <t>15.92</t>
  </si>
  <si>
    <t>10.65</t>
  </si>
  <si>
    <t>9.43</t>
  </si>
  <si>
    <t>9.08</t>
  </si>
  <si>
    <t>11.84</t>
  </si>
  <si>
    <t>9.76</t>
  </si>
  <si>
    <t>14.91</t>
  </si>
  <si>
    <t>8.92</t>
  </si>
  <si>
    <t>15.5</t>
  </si>
  <si>
    <t>9.44</t>
  </si>
  <si>
    <t>10.62</t>
  </si>
  <si>
    <t>6.19</t>
  </si>
  <si>
    <t>8.72</t>
  </si>
  <si>
    <t>6.96</t>
  </si>
  <si>
    <t>6.73</t>
  </si>
  <si>
    <t>0.682</t>
  </si>
  <si>
    <t>6.4</t>
  </si>
  <si>
    <t>12.32</t>
  </si>
  <si>
    <t>8.86</t>
  </si>
  <si>
    <t>7.47</t>
  </si>
  <si>
    <t>10.79</t>
  </si>
  <si>
    <t>12.5</t>
  </si>
  <si>
    <t>24.83</t>
  </si>
  <si>
    <t>13.73</t>
  </si>
  <si>
    <t>47.65</t>
  </si>
  <si>
    <t>0.541</t>
  </si>
  <si>
    <t>92.84</t>
  </si>
  <si>
    <t>81.67</t>
  </si>
  <si>
    <t>82.79</t>
  </si>
  <si>
    <t>0.652</t>
  </si>
  <si>
    <t>87.21</t>
  </si>
  <si>
    <t>80.88</t>
  </si>
  <si>
    <t>83.48</t>
  </si>
  <si>
    <t>0.955</t>
  </si>
  <si>
    <t>85.49</t>
  </si>
  <si>
    <t>0.539</t>
  </si>
  <si>
    <t>73.94</t>
  </si>
  <si>
    <t>80.29</t>
  </si>
  <si>
    <t>77.92</t>
  </si>
  <si>
    <t>78.06</t>
  </si>
  <si>
    <t>0.527</t>
  </si>
  <si>
    <t>75.84</t>
  </si>
  <si>
    <t>78.5</t>
  </si>
  <si>
    <t>83.5</t>
  </si>
  <si>
    <t>82.77</t>
  </si>
  <si>
    <t>80.34</t>
  </si>
  <si>
    <t>80.73</t>
  </si>
  <si>
    <t>91.48</t>
  </si>
  <si>
    <t>125.23</t>
  </si>
  <si>
    <t>29.95</t>
  </si>
  <si>
    <t>31.5</t>
  </si>
  <si>
    <t>37.65</t>
  </si>
  <si>
    <t>28.27</t>
  </si>
  <si>
    <t>33.04</t>
  </si>
  <si>
    <t>28.79</t>
  </si>
  <si>
    <t>28.42</t>
  </si>
  <si>
    <t>29.16</t>
  </si>
  <si>
    <t>26.4</t>
  </si>
  <si>
    <t>27.24</t>
  </si>
  <si>
    <t>27.05</t>
  </si>
  <si>
    <t>27.47</t>
  </si>
  <si>
    <t>23.29</t>
  </si>
  <si>
    <t>26.42</t>
  </si>
  <si>
    <t>25.52</t>
  </si>
  <si>
    <t>26.1</t>
  </si>
  <si>
    <t>23.23</t>
  </si>
  <si>
    <t>24.06</t>
  </si>
  <si>
    <t>23.38</t>
  </si>
  <si>
    <t>23.31</t>
  </si>
  <si>
    <t>23.51</t>
  </si>
  <si>
    <t>24.1</t>
  </si>
  <si>
    <t>25.5</t>
  </si>
  <si>
    <t>24.69</t>
  </si>
  <si>
    <t>24.33</t>
  </si>
  <si>
    <t>25.14</t>
  </si>
  <si>
    <t>25.48</t>
  </si>
  <si>
    <t>24.58</t>
  </si>
  <si>
    <t>25.05</t>
  </si>
  <si>
    <t>22.42</t>
  </si>
  <si>
    <t>22.92</t>
  </si>
  <si>
    <t>23.33</t>
  </si>
  <si>
    <t>0.312</t>
  </si>
  <si>
    <t>21.88</t>
  </si>
  <si>
    <t>23.85</t>
  </si>
  <si>
    <t>22.06</t>
  </si>
  <si>
    <t>21.98</t>
  </si>
  <si>
    <t>0.547</t>
  </si>
  <si>
    <t>22.94</t>
  </si>
  <si>
    <t>24.42</t>
  </si>
  <si>
    <t>24.16</t>
  </si>
  <si>
    <t>23.94</t>
  </si>
  <si>
    <t>24.4</t>
  </si>
  <si>
    <t>0.425</t>
  </si>
  <si>
    <t>21.67</t>
  </si>
  <si>
    <t>22.85</t>
  </si>
  <si>
    <t>22.35</t>
  </si>
  <si>
    <t>22.12</t>
  </si>
  <si>
    <t>22.7</t>
  </si>
  <si>
    <t>21.54</t>
  </si>
  <si>
    <t>21.73</t>
  </si>
  <si>
    <t>21.65</t>
  </si>
  <si>
    <t>21.6</t>
  </si>
  <si>
    <t>21.69</t>
  </si>
  <si>
    <t>10.48</t>
  </si>
  <si>
    <t>86.5</t>
  </si>
  <si>
    <t>13.53</t>
  </si>
  <si>
    <t>38.4</t>
  </si>
  <si>
    <t>9.98</t>
  </si>
  <si>
    <t>6.93</t>
  </si>
  <si>
    <t>3.26</t>
  </si>
  <si>
    <t>9.32</t>
  </si>
  <si>
    <t>6.95</t>
  </si>
  <si>
    <t>28.56</t>
  </si>
  <si>
    <t>77.69</t>
  </si>
  <si>
    <t>23.55</t>
  </si>
  <si>
    <t>6.13</t>
  </si>
  <si>
    <t>51.8</t>
  </si>
  <si>
    <t>108.3</t>
  </si>
  <si>
    <t>22.75</t>
  </si>
  <si>
    <t>24.48</t>
  </si>
  <si>
    <t>23.83</t>
  </si>
  <si>
    <t>23.1</t>
  </si>
  <si>
    <t>24.31</t>
  </si>
  <si>
    <t>0.595</t>
  </si>
  <si>
    <t>26.48</t>
  </si>
  <si>
    <t>26.79</t>
  </si>
  <si>
    <t>26.63</t>
  </si>
  <si>
    <t>26.52</t>
  </si>
  <si>
    <t>26.74</t>
  </si>
  <si>
    <t>0.119</t>
  </si>
  <si>
    <t>26.06</t>
  </si>
  <si>
    <t>23.79</t>
  </si>
  <si>
    <t>26.17</t>
  </si>
  <si>
    <t>25.42</t>
  </si>
  <si>
    <t>24.55</t>
  </si>
  <si>
    <t>25.66</t>
  </si>
  <si>
    <t>0.704</t>
  </si>
  <si>
    <t>25.65</t>
  </si>
  <si>
    <t>26.56</t>
  </si>
  <si>
    <t>26.18</t>
  </si>
  <si>
    <t>25.97</t>
  </si>
  <si>
    <t>26.38</t>
  </si>
  <si>
    <t>0.268</t>
  </si>
  <si>
    <t>26.65</t>
  </si>
  <si>
    <t>26.15</t>
  </si>
  <si>
    <t>25.69</t>
  </si>
  <si>
    <t>26.44</t>
  </si>
  <si>
    <t>0.392</t>
  </si>
  <si>
    <t>26.88</t>
  </si>
  <si>
    <t>26.41</t>
  </si>
  <si>
    <t>26.25</t>
  </si>
  <si>
    <t>0.249</t>
  </si>
  <si>
    <t>23.17</t>
  </si>
  <si>
    <t>26.12</t>
  </si>
  <si>
    <t>23.71</t>
  </si>
  <si>
    <t>25.1</t>
  </si>
  <si>
    <t>0.864</t>
  </si>
  <si>
    <t>24.73</t>
  </si>
  <si>
    <t>24.24</t>
  </si>
  <si>
    <t>24.49</t>
  </si>
  <si>
    <t>0.583</t>
  </si>
  <si>
    <t>24.94</t>
  </si>
  <si>
    <t>25.79</t>
  </si>
  <si>
    <t>25.24</t>
  </si>
  <si>
    <t>25.12</t>
  </si>
  <si>
    <t>25.62</t>
  </si>
  <si>
    <t>0.277</t>
  </si>
  <si>
    <t>25.06</t>
  </si>
  <si>
    <t>25.37</t>
  </si>
  <si>
    <t>25.21</t>
  </si>
  <si>
    <t>25.51</t>
  </si>
  <si>
    <t>25.44</t>
  </si>
  <si>
    <t>26.75</t>
  </si>
  <si>
    <t>26.46</t>
  </si>
  <si>
    <t>26.04</t>
  </si>
  <si>
    <t>26.61</t>
  </si>
  <si>
    <t>0.376</t>
  </si>
  <si>
    <t>26.71</t>
  </si>
  <si>
    <t>26.31</t>
  </si>
  <si>
    <t>26.26</t>
  </si>
  <si>
    <t>26.33</t>
  </si>
  <si>
    <t>26.35</t>
  </si>
  <si>
    <t>27.27</t>
  </si>
  <si>
    <t>27.12</t>
  </si>
  <si>
    <t>27.03</t>
  </si>
  <si>
    <t>27.19</t>
  </si>
  <si>
    <t>0.241</t>
  </si>
  <si>
    <t>27.25</t>
  </si>
  <si>
    <t>27.67</t>
  </si>
  <si>
    <t>27.51</t>
  </si>
  <si>
    <t>27.29</t>
  </si>
  <si>
    <t>27.6</t>
  </si>
  <si>
    <t>26.9</t>
  </si>
  <si>
    <t>27.65</t>
  </si>
  <si>
    <t>26.92</t>
  </si>
  <si>
    <t>27.2</t>
  </si>
  <si>
    <t>27.02</t>
  </si>
  <si>
    <t>27.71</t>
  </si>
  <si>
    <t>27.37</t>
  </si>
  <si>
    <t>27.21</t>
  </si>
  <si>
    <t>27.46</t>
  </si>
  <si>
    <t>27.38</t>
  </si>
  <si>
    <t>27.31</t>
  </si>
  <si>
    <t>27.42</t>
  </si>
  <si>
    <t>25.58</t>
  </si>
  <si>
    <t>26.62</t>
  </si>
  <si>
    <t>26.13</t>
  </si>
  <si>
    <t>26.87</t>
  </si>
  <si>
    <t>0.497</t>
  </si>
  <si>
    <t>25.04</t>
  </si>
  <si>
    <t>25.75</t>
  </si>
  <si>
    <t>25.3</t>
  </si>
  <si>
    <t>25.11</t>
  </si>
  <si>
    <t>0.223</t>
  </si>
  <si>
    <t>27.06</t>
  </si>
  <si>
    <t>26.39</t>
  </si>
  <si>
    <t>27.22</t>
  </si>
  <si>
    <t>0.502</t>
  </si>
  <si>
    <t>26.96</t>
  </si>
  <si>
    <t>27.08</t>
  </si>
  <si>
    <t>26.98</t>
  </si>
  <si>
    <t>27.32</t>
  </si>
  <si>
    <t>27.17</t>
  </si>
  <si>
    <t>27.11</t>
  </si>
  <si>
    <t>27.04</t>
  </si>
  <si>
    <t>27.48</t>
  </si>
  <si>
    <t>27.44</t>
  </si>
  <si>
    <t>27.15</t>
  </si>
  <si>
    <t>27.52</t>
  </si>
  <si>
    <t>27.39</t>
  </si>
  <si>
    <t>27.4</t>
  </si>
  <si>
    <t>27.33</t>
  </si>
  <si>
    <t>27.26</t>
  </si>
  <si>
    <t>27.35</t>
  </si>
  <si>
    <t>27.01</t>
  </si>
  <si>
    <t>26.8</t>
  </si>
  <si>
    <t>0.196</t>
  </si>
  <si>
    <t>26.94</t>
  </si>
  <si>
    <t>26.83</t>
  </si>
  <si>
    <t>26.78</t>
  </si>
  <si>
    <t>25.92</t>
  </si>
  <si>
    <t>26.73</t>
  </si>
  <si>
    <t>0.554</t>
  </si>
  <si>
    <t>23.42</t>
  </si>
  <si>
    <t>24.85</t>
  </si>
  <si>
    <t>23.59</t>
  </si>
  <si>
    <t>0.446</t>
  </si>
  <si>
    <t>24.81</t>
  </si>
  <si>
    <t>26.03</t>
  </si>
  <si>
    <t>25.57</t>
  </si>
  <si>
    <t>0.417</t>
  </si>
  <si>
    <t>25.73</t>
  </si>
  <si>
    <t>26.08</t>
  </si>
  <si>
    <t>25.84</t>
  </si>
  <si>
    <t>25.8</t>
  </si>
  <si>
    <t>25.93</t>
  </si>
  <si>
    <t>26.21</t>
  </si>
  <si>
    <t>26.69</t>
  </si>
  <si>
    <t>26.28</t>
  </si>
  <si>
    <t>26.64</t>
  </si>
  <si>
    <t>0.334</t>
  </si>
  <si>
    <t>24.52</t>
  </si>
  <si>
    <t>25.31</t>
  </si>
  <si>
    <t>24.72</t>
  </si>
  <si>
    <t>24.62</t>
  </si>
  <si>
    <t>24.91</t>
  </si>
  <si>
    <t>24.44</t>
  </si>
  <si>
    <t>24.79</t>
  </si>
  <si>
    <t>24.61</t>
  </si>
  <si>
    <t>20.04</t>
  </si>
  <si>
    <t>22.69</t>
  </si>
  <si>
    <t>21.25</t>
  </si>
  <si>
    <t>20.21</t>
  </si>
  <si>
    <t>22.44</t>
  </si>
  <si>
    <t>22.19</t>
  </si>
  <si>
    <t>21.01</t>
  </si>
  <si>
    <t>20.63</t>
  </si>
  <si>
    <t>21.59</t>
  </si>
  <si>
    <t>0.608</t>
  </si>
  <si>
    <t>22.1</t>
  </si>
  <si>
    <t>25.02</t>
  </si>
  <si>
    <t>23.68</t>
  </si>
  <si>
    <t>22.46</t>
  </si>
  <si>
    <t>24.07</t>
  </si>
  <si>
    <t>0.896</t>
  </si>
  <si>
    <t>25.15</t>
  </si>
  <si>
    <t>25.32</t>
  </si>
  <si>
    <t>25.25</t>
  </si>
  <si>
    <t>25.9</t>
  </si>
  <si>
    <t>25.77</t>
  </si>
  <si>
    <t>25.81</t>
  </si>
  <si>
    <t>25.89</t>
  </si>
  <si>
    <t>25.82</t>
  </si>
  <si>
    <t>23.73</t>
  </si>
  <si>
    <t>25.19</t>
  </si>
  <si>
    <t>24.18</t>
  </si>
  <si>
    <t>23.88</t>
  </si>
  <si>
    <t>24.57</t>
  </si>
  <si>
    <t>0.428</t>
  </si>
  <si>
    <t>24.35</t>
  </si>
  <si>
    <t>25.54</t>
  </si>
  <si>
    <t>25.01</t>
  </si>
  <si>
    <t>24.7</t>
  </si>
  <si>
    <t>25.26</t>
  </si>
  <si>
    <t>0.329</t>
  </si>
  <si>
    <t>23.58</t>
  </si>
  <si>
    <t>23.81</t>
  </si>
  <si>
    <t>0.433</t>
  </si>
  <si>
    <t>25.67</t>
  </si>
  <si>
    <t>25.08</t>
  </si>
  <si>
    <t>24.2</t>
  </si>
  <si>
    <t>0.609</t>
  </si>
  <si>
    <t>25.74</t>
  </si>
  <si>
    <t>25.23</t>
  </si>
  <si>
    <t>25.41</t>
  </si>
  <si>
    <t>25.28</t>
  </si>
  <si>
    <t>25.85</t>
  </si>
  <si>
    <t>26.53</t>
  </si>
  <si>
    <t>0.201</t>
  </si>
  <si>
    <t>26.29</t>
  </si>
  <si>
    <t>26.49</t>
  </si>
  <si>
    <t>24.38</t>
  </si>
  <si>
    <t>0.586</t>
  </si>
  <si>
    <t>22.88</t>
  </si>
  <si>
    <t>24.29</t>
  </si>
  <si>
    <t>23.21</t>
  </si>
  <si>
    <t>23.01</t>
  </si>
  <si>
    <t>23.69</t>
  </si>
  <si>
    <t>0.416</t>
  </si>
  <si>
    <t>23.48</t>
  </si>
  <si>
    <t>24.3</t>
  </si>
  <si>
    <t>24.56</t>
  </si>
  <si>
    <t>22.65</t>
  </si>
  <si>
    <t>23.44</t>
  </si>
  <si>
    <t>22.83</t>
  </si>
  <si>
    <t>23.77</t>
  </si>
  <si>
    <t>24.19</t>
  </si>
  <si>
    <t>24.25</t>
  </si>
  <si>
    <t>69.18</t>
  </si>
  <si>
    <t>71.93</t>
  </si>
  <si>
    <t>70.31</t>
  </si>
  <si>
    <t>91.23</t>
  </si>
  <si>
    <t>48.3</t>
  </si>
  <si>
    <t>67.45</t>
  </si>
  <si>
    <t>58.79</t>
  </si>
  <si>
    <t>69.06</t>
  </si>
  <si>
    <t>12.63</t>
  </si>
  <si>
    <t>46.19</t>
  </si>
  <si>
    <t>19.26</t>
  </si>
  <si>
    <t>15.13</t>
  </si>
  <si>
    <t>35.24</t>
  </si>
  <si>
    <t>9.17</t>
  </si>
  <si>
    <t>12.15</t>
  </si>
  <si>
    <t>9.35</t>
  </si>
  <si>
    <t>9.25</t>
  </si>
  <si>
    <t>9.85</t>
  </si>
  <si>
    <t>0.878</t>
  </si>
  <si>
    <t>9.11</t>
  </si>
  <si>
    <t>9.19</t>
  </si>
  <si>
    <t>9.15</t>
  </si>
  <si>
    <t>9.38</t>
  </si>
  <si>
    <t>9.27</t>
  </si>
  <si>
    <t>0.064</t>
  </si>
  <si>
    <t>9.31</t>
  </si>
  <si>
    <t>9.42</t>
  </si>
  <si>
    <t>9.28</t>
  </si>
  <si>
    <t>9.4</t>
  </si>
  <si>
    <t>9.36</t>
  </si>
  <si>
    <t>9.41</t>
  </si>
  <si>
    <t>9.65</t>
  </si>
  <si>
    <t>9.5</t>
  </si>
  <si>
    <t>9.61</t>
  </si>
  <si>
    <t>9.6</t>
  </si>
  <si>
    <t>9.55</t>
  </si>
  <si>
    <t>9.46</t>
  </si>
  <si>
    <t>9.58</t>
  </si>
  <si>
    <t>9.48</t>
  </si>
  <si>
    <t>9.33</t>
  </si>
  <si>
    <t>0.075</t>
  </si>
  <si>
    <t>9.23</t>
  </si>
  <si>
    <t>9.53</t>
  </si>
  <si>
    <t>9.56</t>
  </si>
  <si>
    <t>9.52</t>
  </si>
  <si>
    <t>9.81</t>
  </si>
  <si>
    <t>9.72</t>
  </si>
  <si>
    <t>9.78</t>
  </si>
  <si>
    <t>9.96</t>
  </si>
  <si>
    <t>9.9</t>
  </si>
  <si>
    <t>9.89</t>
  </si>
  <si>
    <t>9.94</t>
  </si>
  <si>
    <t>9.92</t>
  </si>
  <si>
    <t>9.86</t>
  </si>
  <si>
    <t>9.88</t>
  </si>
  <si>
    <t>9.75</t>
  </si>
  <si>
    <t>9.77</t>
  </si>
  <si>
    <t>9.69</t>
  </si>
  <si>
    <t>9.83</t>
  </si>
  <si>
    <t>9.73</t>
  </si>
  <si>
    <t>0.089</t>
  </si>
  <si>
    <t>9.71</t>
  </si>
  <si>
    <t>77.98</t>
  </si>
  <si>
    <t>22.36</t>
  </si>
  <si>
    <t>53.05</t>
  </si>
  <si>
    <t>82.84</t>
  </si>
  <si>
    <t>120.94</t>
  </si>
  <si>
    <t>118.62</t>
  </si>
  <si>
    <t>107.36</t>
  </si>
  <si>
    <t>119.67</t>
  </si>
  <si>
    <t>11.33</t>
  </si>
  <si>
    <t>115.19</t>
  </si>
  <si>
    <t>121.62</t>
  </si>
  <si>
    <t>120.42</t>
  </si>
  <si>
    <t>118.34</t>
  </si>
  <si>
    <t>121.32</t>
  </si>
  <si>
    <t>113.88</t>
  </si>
  <si>
    <t>116.69</t>
  </si>
  <si>
    <t>114.35</t>
  </si>
  <si>
    <t>114.07</t>
  </si>
  <si>
    <t>115.1</t>
  </si>
  <si>
    <t>0.783</t>
  </si>
  <si>
    <t>116.77</t>
  </si>
  <si>
    <t>118.94</t>
  </si>
  <si>
    <t>117.28</t>
  </si>
  <si>
    <t>116.96</t>
  </si>
  <si>
    <t>118.15</t>
  </si>
  <si>
    <t>0.702</t>
  </si>
  <si>
    <t>119.06</t>
  </si>
  <si>
    <t>120.69</t>
  </si>
  <si>
    <t>120.39</t>
  </si>
  <si>
    <t>120.2</t>
  </si>
  <si>
    <t>120.53</t>
  </si>
  <si>
    <t>0.409</t>
  </si>
  <si>
    <t>119.48</t>
  </si>
  <si>
    <t>120.44</t>
  </si>
  <si>
    <t>119.9</t>
  </si>
  <si>
    <t>119.73</t>
  </si>
  <si>
    <t>120.08</t>
  </si>
  <si>
    <t>122.33</t>
  </si>
  <si>
    <t>121.94</t>
  </si>
  <si>
    <t>121.19</t>
  </si>
  <si>
    <t>122.09</t>
  </si>
  <si>
    <t>117.15</t>
  </si>
  <si>
    <t>119.85</t>
  </si>
  <si>
    <t>117.95</t>
  </si>
  <si>
    <t>117.67</t>
  </si>
  <si>
    <t>118.83</t>
  </si>
  <si>
    <t>0.731</t>
  </si>
  <si>
    <t>114.54</t>
  </si>
  <si>
    <t>117.65</t>
  </si>
  <si>
    <t>115.5</t>
  </si>
  <si>
    <t>115.09</t>
  </si>
  <si>
    <t>116.09</t>
  </si>
  <si>
    <t>0.907</t>
  </si>
  <si>
    <t>116.27</t>
  </si>
  <si>
    <t>118.4</t>
  </si>
  <si>
    <t>117.81</t>
  </si>
  <si>
    <t>117.55</t>
  </si>
  <si>
    <t>118.1</t>
  </si>
  <si>
    <t>0.526</t>
  </si>
  <si>
    <t>116.54</t>
  </si>
  <si>
    <t>117.88</t>
  </si>
  <si>
    <t>117.29</t>
  </si>
  <si>
    <t>117.11</t>
  </si>
  <si>
    <t>117.54</t>
  </si>
  <si>
    <t>0.368</t>
  </si>
  <si>
    <t>115.81</t>
  </si>
  <si>
    <t>117.58</t>
  </si>
  <si>
    <t>117.06</t>
  </si>
  <si>
    <t>117.69</t>
  </si>
  <si>
    <t>0.499</t>
  </si>
  <si>
    <t>111.4</t>
  </si>
  <si>
    <t>115.4</t>
  </si>
  <si>
    <t>112.67</t>
  </si>
  <si>
    <t>112.17</t>
  </si>
  <si>
    <t>114.19</t>
  </si>
  <si>
    <t>28.06</t>
  </si>
  <si>
    <t>27.97</t>
  </si>
  <si>
    <t>26.93</t>
  </si>
  <si>
    <t>0.369</t>
  </si>
  <si>
    <t>25.38</t>
  </si>
  <si>
    <t>26.19</t>
  </si>
  <si>
    <t>0.504</t>
  </si>
  <si>
    <t>24.87</t>
  </si>
  <si>
    <t>24.99</t>
  </si>
  <si>
    <t>0.175</t>
  </si>
  <si>
    <t>25.6</t>
  </si>
  <si>
    <t>28.58</t>
  </si>
  <si>
    <t>27.93</t>
  </si>
  <si>
    <t>0.429</t>
  </si>
  <si>
    <t>28.77</t>
  </si>
  <si>
    <t>31.9</t>
  </si>
  <si>
    <t>30.47</t>
  </si>
  <si>
    <t>29.55</t>
  </si>
  <si>
    <t>31.31</t>
  </si>
  <si>
    <t>27.75</t>
  </si>
  <si>
    <t>31.73</t>
  </si>
  <si>
    <t>29.82</t>
  </si>
  <si>
    <t>28.72</t>
  </si>
  <si>
    <t>31.06</t>
  </si>
  <si>
    <t>28.31</t>
  </si>
  <si>
    <t>27.83</t>
  </si>
  <si>
    <t>28.21</t>
  </si>
  <si>
    <t>27.79</t>
  </si>
  <si>
    <t>26.77</t>
  </si>
  <si>
    <t>0.397</t>
  </si>
  <si>
    <t>27.1</t>
  </si>
  <si>
    <t>29.1</t>
  </si>
  <si>
    <t>27.63</t>
  </si>
  <si>
    <t>28.48</t>
  </si>
  <si>
    <t>0.675</t>
  </si>
  <si>
    <t>29.19</t>
  </si>
  <si>
    <t>27.8</t>
  </si>
  <si>
    <t>28.67</t>
  </si>
  <si>
    <t>0.948</t>
  </si>
  <si>
    <t>26.23</t>
  </si>
  <si>
    <t>28.73</t>
  </si>
  <si>
    <t>27.73</t>
  </si>
  <si>
    <t>28.4</t>
  </si>
  <si>
    <t>0.824</t>
  </si>
  <si>
    <t>22.33</t>
  </si>
  <si>
    <t>28.9</t>
  </si>
  <si>
    <t>21.4</t>
  </si>
  <si>
    <t>21.47</t>
  </si>
  <si>
    <t>21.44</t>
  </si>
  <si>
    <t>21.58</t>
  </si>
  <si>
    <t>22.17</t>
  </si>
  <si>
    <t>21.48</t>
  </si>
  <si>
    <t>21.68</t>
  </si>
  <si>
    <t>0.195</t>
  </si>
  <si>
    <t>21.5</t>
  </si>
  <si>
    <t>22.38</t>
  </si>
  <si>
    <t>21.95</t>
  </si>
  <si>
    <t>21.87</t>
  </si>
  <si>
    <t>22.29</t>
  </si>
  <si>
    <t>0.256</t>
  </si>
  <si>
    <t>21.21</t>
  </si>
  <si>
    <t>21.32</t>
  </si>
  <si>
    <t>21.17</t>
  </si>
  <si>
    <t>21.41</t>
  </si>
  <si>
    <t>21.35</t>
  </si>
  <si>
    <t>0.095</t>
  </si>
  <si>
    <t>21.1</t>
  </si>
  <si>
    <t>21.31</t>
  </si>
  <si>
    <t>21.15</t>
  </si>
  <si>
    <t>0.054</t>
  </si>
  <si>
    <t>21.23</t>
  </si>
  <si>
    <t>21.8</t>
  </si>
  <si>
    <t>0.194</t>
  </si>
  <si>
    <t>20.98</t>
  </si>
  <si>
    <t>21.33</t>
  </si>
  <si>
    <t>0.208</t>
  </si>
  <si>
    <t>21.71</t>
  </si>
  <si>
    <t>22.62</t>
  </si>
  <si>
    <t>22.04</t>
  </si>
  <si>
    <t>21.91</t>
  </si>
  <si>
    <t>22.32</t>
  </si>
  <si>
    <t>24.5</t>
  </si>
  <si>
    <t>23.91</t>
  </si>
  <si>
    <t>0.558</t>
  </si>
  <si>
    <t>24.98</t>
  </si>
  <si>
    <t>24.51</t>
  </si>
  <si>
    <t>24.82</t>
  </si>
  <si>
    <t>0.189</t>
  </si>
  <si>
    <t>24.12</t>
  </si>
  <si>
    <t>24.9</t>
  </si>
  <si>
    <t>24.96</t>
  </si>
  <si>
    <t>22.47</t>
  </si>
  <si>
    <t>23.11</t>
  </si>
  <si>
    <t>0.474</t>
  </si>
  <si>
    <t>21.52</t>
  </si>
  <si>
    <t>23.67</t>
  </si>
  <si>
    <t>22.6</t>
  </si>
  <si>
    <t>22.22</t>
  </si>
  <si>
    <t>0.622</t>
  </si>
  <si>
    <t>24.34</t>
  </si>
  <si>
    <t>0.665</t>
  </si>
  <si>
    <t>18.23</t>
  </si>
  <si>
    <t>19.11</t>
  </si>
  <si>
    <t>18.32</t>
  </si>
  <si>
    <t>0.755</t>
  </si>
  <si>
    <t>9.02</t>
  </si>
  <si>
    <t>9.03</t>
  </si>
  <si>
    <t>19.23</t>
  </si>
  <si>
    <t>17.88</t>
  </si>
  <si>
    <t>0.865</t>
  </si>
  <si>
    <t>18.14</t>
  </si>
  <si>
    <t>18.07</t>
  </si>
  <si>
    <t>17.89</t>
  </si>
  <si>
    <t>18.13</t>
  </si>
  <si>
    <t>0.405</t>
  </si>
  <si>
    <t>16.77</t>
  </si>
  <si>
    <t>16.84</t>
  </si>
  <si>
    <t>16.82</t>
  </si>
  <si>
    <t>16.85</t>
  </si>
  <si>
    <t>10.21</t>
  </si>
  <si>
    <t>16.88</t>
  </si>
  <si>
    <t>13.85</t>
  </si>
  <si>
    <t>11.9</t>
  </si>
  <si>
    <t>15.87</t>
  </si>
  <si>
    <t>8.06</t>
  </si>
  <si>
    <t>0.544</t>
  </si>
  <si>
    <t>10.03</t>
  </si>
  <si>
    <t>11.48</t>
  </si>
  <si>
    <t>10.06</t>
  </si>
  <si>
    <t>10.27</t>
  </si>
  <si>
    <t>0.356</t>
  </si>
  <si>
    <t>10.02</t>
  </si>
  <si>
    <t>9.93</t>
  </si>
  <si>
    <t>10.08</t>
  </si>
  <si>
    <t>0.184</t>
  </si>
  <si>
    <t>9.22</t>
  </si>
  <si>
    <t>65.91</t>
  </si>
  <si>
    <t>24.67</t>
  </si>
  <si>
    <t>46.53</t>
  </si>
  <si>
    <t>69.45</t>
  </si>
  <si>
    <t>89.13</t>
  </si>
  <si>
    <t>88.18</t>
  </si>
  <si>
    <t>86.98</t>
  </si>
  <si>
    <t>88.42</t>
  </si>
  <si>
    <t>88.81</t>
  </si>
  <si>
    <t>91.6</t>
  </si>
  <si>
    <t>90.16</t>
  </si>
  <si>
    <t>89.6</t>
  </si>
  <si>
    <t>91.02</t>
  </si>
  <si>
    <t>0.843</t>
  </si>
  <si>
    <t>91.33</t>
  </si>
  <si>
    <t>91.45</t>
  </si>
  <si>
    <t>91.71</t>
  </si>
  <si>
    <t>91.58</t>
  </si>
  <si>
    <t>93.25</t>
  </si>
  <si>
    <t>92.71</t>
  </si>
  <si>
    <t>92.27</t>
  </si>
  <si>
    <t>93.15</t>
  </si>
  <si>
    <t>0.566</t>
  </si>
  <si>
    <t>93.67</t>
  </si>
  <si>
    <t>93.33</t>
  </si>
  <si>
    <t>93.27</t>
  </si>
  <si>
    <t>93.58</t>
  </si>
  <si>
    <t>90.46</t>
  </si>
  <si>
    <t>93.71</t>
  </si>
  <si>
    <t>91.21</t>
  </si>
  <si>
    <t>93.55</t>
  </si>
  <si>
    <t>90.02</t>
  </si>
  <si>
    <t>91.73</t>
  </si>
  <si>
    <t>90.39</t>
  </si>
  <si>
    <t>0.578</t>
  </si>
  <si>
    <t>92.32</t>
  </si>
  <si>
    <t>91.89</t>
  </si>
  <si>
    <t>92.61</t>
  </si>
  <si>
    <t>0.455</t>
  </si>
  <si>
    <t>92.77</t>
  </si>
  <si>
    <t>93.32</t>
  </si>
  <si>
    <t>93.23</t>
  </si>
  <si>
    <t>0.206</t>
  </si>
  <si>
    <t>92.73</t>
  </si>
  <si>
    <t>93.56</t>
  </si>
  <si>
    <t>93.35</t>
  </si>
  <si>
    <t>93.06</t>
  </si>
  <si>
    <t>93.49</t>
  </si>
  <si>
    <t>0.258</t>
  </si>
  <si>
    <t>90.04</t>
  </si>
  <si>
    <t>90.87</t>
  </si>
  <si>
    <t>90.32</t>
  </si>
  <si>
    <t>0.903</t>
  </si>
  <si>
    <t>88.38</t>
  </si>
  <si>
    <t>89.38</t>
  </si>
  <si>
    <t>88.56</t>
  </si>
  <si>
    <t>89.69</t>
  </si>
  <si>
    <t>0.559</t>
  </si>
  <si>
    <t>87.71</t>
  </si>
  <si>
    <t>88.46</t>
  </si>
  <si>
    <t>88.11</t>
  </si>
  <si>
    <t>87.91</t>
  </si>
  <si>
    <t>88.39</t>
  </si>
  <si>
    <t>0.254</t>
  </si>
  <si>
    <t>86.9</t>
  </si>
  <si>
    <t>87.19</t>
  </si>
  <si>
    <t>86.99</t>
  </si>
  <si>
    <t>87.42</t>
  </si>
  <si>
    <t>0.266</t>
  </si>
  <si>
    <t>46.48</t>
  </si>
  <si>
    <t>86.94</t>
  </si>
  <si>
    <t>69.25</t>
  </si>
  <si>
    <t>57.24</t>
  </si>
  <si>
    <t>79.16</t>
  </si>
  <si>
    <t>44.52</t>
  </si>
  <si>
    <t>0.304</t>
  </si>
  <si>
    <t>36.89</t>
  </si>
  <si>
    <t>37.97</t>
  </si>
  <si>
    <t>37.49</t>
  </si>
  <si>
    <t>37.04</t>
  </si>
  <si>
    <t>37.86</t>
  </si>
  <si>
    <t>0.384</t>
  </si>
  <si>
    <t>38.19</t>
  </si>
  <si>
    <t>42.26</t>
  </si>
  <si>
    <t>41.95</t>
  </si>
  <si>
    <t>0.205</t>
  </si>
  <si>
    <t>19.12</t>
  </si>
  <si>
    <t>34.76</t>
  </si>
  <si>
    <t>42.66</t>
  </si>
  <si>
    <t>10.17</t>
  </si>
  <si>
    <t>17.75</t>
  </si>
  <si>
    <t>10.19</t>
  </si>
  <si>
    <t>10.55</t>
  </si>
  <si>
    <t>10.35</t>
  </si>
  <si>
    <t>10.3</t>
  </si>
  <si>
    <t>10.33</t>
  </si>
  <si>
    <t>10.54</t>
  </si>
  <si>
    <t>10.38</t>
  </si>
  <si>
    <t>10.44</t>
  </si>
  <si>
    <t>10.58</t>
  </si>
  <si>
    <t>10.42</t>
  </si>
  <si>
    <t>10.37</t>
  </si>
  <si>
    <t>0.112</t>
  </si>
  <si>
    <t>10.07</t>
  </si>
  <si>
    <t>10.29</t>
  </si>
  <si>
    <t>0.116</t>
  </si>
  <si>
    <t>10.11</t>
  </si>
  <si>
    <t>10.4</t>
  </si>
  <si>
    <t>10.18</t>
  </si>
  <si>
    <t>17.61</t>
  </si>
  <si>
    <t>16.05</t>
  </si>
  <si>
    <t>11.03</t>
  </si>
  <si>
    <t>17.48</t>
  </si>
  <si>
    <t>15.85</t>
  </si>
  <si>
    <t>16.51</t>
  </si>
  <si>
    <t>16.38</t>
  </si>
  <si>
    <t>16.93</t>
  </si>
  <si>
    <t>0.464</t>
  </si>
  <si>
    <t>15.33</t>
  </si>
  <si>
    <t>15.77</t>
  </si>
  <si>
    <t>15.54</t>
  </si>
  <si>
    <t>15.47</t>
  </si>
  <si>
    <t>15.65</t>
  </si>
  <si>
    <t>15.19</t>
  </si>
  <si>
    <t>15.83</t>
  </si>
  <si>
    <t>15.73</t>
  </si>
  <si>
    <t>15.35</t>
  </si>
  <si>
    <t>15.8</t>
  </si>
  <si>
    <t>15.27</t>
  </si>
  <si>
    <t>16.32</t>
  </si>
  <si>
    <t>15.75</t>
  </si>
  <si>
    <t>16.14</t>
  </si>
  <si>
    <t>0.322</t>
  </si>
  <si>
    <t>15.96</t>
  </si>
  <si>
    <t>16.3</t>
  </si>
  <si>
    <t>16.17</t>
  </si>
  <si>
    <t>16.23</t>
  </si>
  <si>
    <t>16.19</t>
  </si>
  <si>
    <t>15.91</t>
  </si>
  <si>
    <t>0.104</t>
  </si>
  <si>
    <t>16.04</t>
  </si>
  <si>
    <t>16.79</t>
  </si>
  <si>
    <t>16.5</t>
  </si>
  <si>
    <t>0.227</t>
  </si>
  <si>
    <t>16.92</t>
  </si>
  <si>
    <t>17.77</t>
  </si>
  <si>
    <t>17.67</t>
  </si>
  <si>
    <t>17.17</t>
  </si>
  <si>
    <t>17.46</t>
  </si>
  <si>
    <t>0.284</t>
  </si>
  <si>
    <t>17.27</t>
  </si>
  <si>
    <t>17.05</t>
  </si>
  <si>
    <t>17.38</t>
  </si>
  <si>
    <t>0.188</t>
  </si>
  <si>
    <t>16.44</t>
  </si>
  <si>
    <t>0.357</t>
  </si>
  <si>
    <t>16.57</t>
  </si>
  <si>
    <t>16.13</t>
  </si>
  <si>
    <t>16.47</t>
  </si>
  <si>
    <t>0.187</t>
  </si>
  <si>
    <t>16.62</t>
  </si>
  <si>
    <t>17.57</t>
  </si>
  <si>
    <t>16.71</t>
  </si>
  <si>
    <t>16.69</t>
  </si>
  <si>
    <t>0.385</t>
  </si>
  <si>
    <t>15.44</t>
  </si>
  <si>
    <t>17.55</t>
  </si>
  <si>
    <t>17.21</t>
  </si>
  <si>
    <t>15.93</t>
  </si>
  <si>
    <t>0.786</t>
  </si>
  <si>
    <t>15.52</t>
  </si>
  <si>
    <t>15.88</t>
  </si>
  <si>
    <t>16.8</t>
  </si>
  <si>
    <t>16.64</t>
  </si>
  <si>
    <t>16.73</t>
  </si>
  <si>
    <t>16.39</t>
  </si>
  <si>
    <t>16.75</t>
  </si>
  <si>
    <t>16.67</t>
  </si>
  <si>
    <t>16.45</t>
  </si>
  <si>
    <t>0.126</t>
  </si>
  <si>
    <t>16.54</t>
  </si>
  <si>
    <t>16.02</t>
  </si>
  <si>
    <t>0.242</t>
  </si>
  <si>
    <t>15.31</t>
  </si>
  <si>
    <t>17.85</t>
  </si>
  <si>
    <t>15.66</t>
  </si>
  <si>
    <t>16.6</t>
  </si>
  <si>
    <t>0.812</t>
  </si>
  <si>
    <t>16.35</t>
  </si>
  <si>
    <t>18.8</t>
  </si>
  <si>
    <t>18.05</t>
  </si>
  <si>
    <t>17.12</t>
  </si>
  <si>
    <t>0.705</t>
  </si>
  <si>
    <t>16.25</t>
  </si>
  <si>
    <t>18.46</t>
  </si>
  <si>
    <t>18.21</t>
  </si>
  <si>
    <t>17.43</t>
  </si>
  <si>
    <t>18.38</t>
  </si>
  <si>
    <t>0.754</t>
  </si>
  <si>
    <t>20.07</t>
  </si>
  <si>
    <t>18.19</t>
  </si>
  <si>
    <t>19.3</t>
  </si>
  <si>
    <t>0.821</t>
  </si>
  <si>
    <t>17.14</t>
  </si>
  <si>
    <t>18.95</t>
  </si>
  <si>
    <t>17.7</t>
  </si>
  <si>
    <t>19.55</t>
  </si>
  <si>
    <t>0.998</t>
  </si>
  <si>
    <t>15.69</t>
  </si>
  <si>
    <t>16.98</t>
  </si>
  <si>
    <t>0.387</t>
  </si>
  <si>
    <t>17.16</t>
  </si>
  <si>
    <t>16.89</t>
  </si>
  <si>
    <t>17.28</t>
  </si>
  <si>
    <t>0.301</t>
  </si>
  <si>
    <t>15.6</t>
  </si>
  <si>
    <t>15.89</t>
  </si>
  <si>
    <t>0.203</t>
  </si>
  <si>
    <t>15.42</t>
  </si>
  <si>
    <t>15.57</t>
  </si>
  <si>
    <t>0.204</t>
  </si>
  <si>
    <t>16.94</t>
  </si>
  <si>
    <t>16.07</t>
  </si>
  <si>
    <t>16.2</t>
  </si>
  <si>
    <t>0.289</t>
  </si>
  <si>
    <t>16.52</t>
  </si>
  <si>
    <t>17.82</t>
  </si>
  <si>
    <t>17.26</t>
  </si>
  <si>
    <t>17.04</t>
  </si>
  <si>
    <t>17.63</t>
  </si>
  <si>
    <t>0.378</t>
  </si>
  <si>
    <t>15.48</t>
  </si>
  <si>
    <t>15.67</t>
  </si>
  <si>
    <t>15.59</t>
  </si>
  <si>
    <t>0.313</t>
  </si>
  <si>
    <t>15.15</t>
  </si>
  <si>
    <t>15.78</t>
  </si>
  <si>
    <t>0.212</t>
  </si>
  <si>
    <t>15.02</t>
  </si>
  <si>
    <t>19.51</t>
  </si>
  <si>
    <t>18.12</t>
  </si>
  <si>
    <t>18.82</t>
  </si>
  <si>
    <t>19.63</t>
  </si>
  <si>
    <t>20.79</t>
  </si>
  <si>
    <t>20.17</t>
  </si>
  <si>
    <t>20.09</t>
  </si>
  <si>
    <t>20.25</t>
  </si>
  <si>
    <t>19.88</t>
  </si>
  <si>
    <t>20.32</t>
  </si>
  <si>
    <t>20.16</t>
  </si>
  <si>
    <t>19.98</t>
  </si>
  <si>
    <t>20.29</t>
  </si>
  <si>
    <t>19.69</t>
  </si>
  <si>
    <t>19.6</t>
  </si>
  <si>
    <t>20.14</t>
  </si>
  <si>
    <t>0.255</t>
  </si>
  <si>
    <t>19.96</t>
  </si>
  <si>
    <t>19.75</t>
  </si>
  <si>
    <t>19.71</t>
  </si>
  <si>
    <t>19.87</t>
  </si>
  <si>
    <t>19.8</t>
  </si>
  <si>
    <t>19.92</t>
  </si>
  <si>
    <t>20.5</t>
  </si>
  <si>
    <t>20.3</t>
  </si>
  <si>
    <t>20.44</t>
  </si>
  <si>
    <t>20.47</t>
  </si>
  <si>
    <t>21.43</t>
  </si>
  <si>
    <t>0.478</t>
  </si>
  <si>
    <t>21.09</t>
  </si>
  <si>
    <t>20.19</t>
  </si>
  <si>
    <t>19.77</t>
  </si>
  <si>
    <t>20.02</t>
  </si>
  <si>
    <t>20.23</t>
  </si>
  <si>
    <t>20.13</t>
  </si>
  <si>
    <t>20.27</t>
  </si>
  <si>
    <t>20.1</t>
  </si>
  <si>
    <t>20.56</t>
  </si>
  <si>
    <t>20.18</t>
  </si>
  <si>
    <t>0.111</t>
  </si>
  <si>
    <t>20.46</t>
  </si>
  <si>
    <t>20.68</t>
  </si>
  <si>
    <t>20.54</t>
  </si>
  <si>
    <t>0.415</t>
  </si>
  <si>
    <t>21.81</t>
  </si>
  <si>
    <t>21.42</t>
  </si>
  <si>
    <t>21.79</t>
  </si>
  <si>
    <t>21.19</t>
  </si>
  <si>
    <t>22.52</t>
  </si>
  <si>
    <t>21.34</t>
  </si>
  <si>
    <t>22.23</t>
  </si>
  <si>
    <t>0.465</t>
  </si>
  <si>
    <t>21.02</t>
  </si>
  <si>
    <t>22.71</t>
  </si>
  <si>
    <t>22.51</t>
  </si>
  <si>
    <t>22.68</t>
  </si>
  <si>
    <t>0.585</t>
  </si>
  <si>
    <t>20.69</t>
  </si>
  <si>
    <t>20.85</t>
  </si>
  <si>
    <t>20.75</t>
  </si>
  <si>
    <t>20.71</t>
  </si>
  <si>
    <t>20.55</t>
  </si>
  <si>
    <t>20.51</t>
  </si>
  <si>
    <t>20.81</t>
  </si>
  <si>
    <t>21.83</t>
  </si>
  <si>
    <t>24.21</t>
  </si>
  <si>
    <t>22.09</t>
  </si>
  <si>
    <t>22.02</t>
  </si>
  <si>
    <t>0.803</t>
  </si>
  <si>
    <t>24.59</t>
  </si>
  <si>
    <t>0.348</t>
  </si>
  <si>
    <t>22.08</t>
  </si>
  <si>
    <t>20.97</t>
  </si>
  <si>
    <t>20.9</t>
  </si>
  <si>
    <t>21.45</t>
  </si>
  <si>
    <t>0.383</t>
  </si>
  <si>
    <t>21.12</t>
  </si>
  <si>
    <t>21.94</t>
  </si>
  <si>
    <t>21.96</t>
  </si>
  <si>
    <t>0.286</t>
  </si>
  <si>
    <t>10.83</t>
  </si>
  <si>
    <t>11.74</t>
  </si>
  <si>
    <t>18.26</t>
  </si>
  <si>
    <t>10.71</t>
  </si>
  <si>
    <t>10.85</t>
  </si>
  <si>
    <t>10.82</t>
  </si>
  <si>
    <t>10.69</t>
  </si>
  <si>
    <t>10.75</t>
  </si>
  <si>
    <t>10.73</t>
  </si>
  <si>
    <t>10.77</t>
  </si>
  <si>
    <t>10.72</t>
  </si>
  <si>
    <t>10.56</t>
  </si>
  <si>
    <t>10.67</t>
  </si>
  <si>
    <t>11.1</t>
  </si>
  <si>
    <t>10.96</t>
  </si>
  <si>
    <t>10.92</t>
  </si>
  <si>
    <t>11.06</t>
  </si>
  <si>
    <t>10.74</t>
  </si>
  <si>
    <t>10.91</t>
  </si>
  <si>
    <t>10.9</t>
  </si>
  <si>
    <t>10.94</t>
  </si>
  <si>
    <t>16.26</t>
  </si>
  <si>
    <t>16.34</t>
  </si>
  <si>
    <t>13.1</t>
  </si>
  <si>
    <t>16.11</t>
  </si>
  <si>
    <t>13.15</t>
  </si>
  <si>
    <t>13.12</t>
  </si>
  <si>
    <t>13.19</t>
  </si>
  <si>
    <t>0.928</t>
  </si>
  <si>
    <t>12.98</t>
  </si>
  <si>
    <t>13.17</t>
  </si>
  <si>
    <t>13.02</t>
  </si>
  <si>
    <t>12.77</t>
  </si>
  <si>
    <t>13.48</t>
  </si>
  <si>
    <t>12.87</t>
  </si>
  <si>
    <t>13.18</t>
  </si>
  <si>
    <t>13.6</t>
  </si>
  <si>
    <t>13.56</t>
  </si>
  <si>
    <t>13.55</t>
  </si>
  <si>
    <t>13.58</t>
  </si>
  <si>
    <t>18.79</t>
  </si>
  <si>
    <t>17.22</t>
  </si>
  <si>
    <t>14.52</t>
  </si>
  <si>
    <t>13.65</t>
  </si>
  <si>
    <t>15.34</t>
  </si>
  <si>
    <t>14.16</t>
  </si>
  <si>
    <t>17.92</t>
  </si>
  <si>
    <t>13.25</t>
  </si>
  <si>
    <t>13.42</t>
  </si>
  <si>
    <t>13.31</t>
  </si>
  <si>
    <t>13.23</t>
  </si>
  <si>
    <t>13.44</t>
  </si>
  <si>
    <t>13.35</t>
  </si>
  <si>
    <t>13.3</t>
  </si>
  <si>
    <t>13.4</t>
  </si>
  <si>
    <t>13.04</t>
  </si>
  <si>
    <t>14.02</t>
  </si>
  <si>
    <t>13.16</t>
  </si>
  <si>
    <t>0.338</t>
  </si>
  <si>
    <t>14.12</t>
  </si>
  <si>
    <t>14.05</t>
  </si>
  <si>
    <t>14.1</t>
  </si>
  <si>
    <t>0.372</t>
  </si>
  <si>
    <t>13.38</t>
  </si>
  <si>
    <t>13.06</t>
  </si>
  <si>
    <t>12.79</t>
  </si>
  <si>
    <t>13.08</t>
  </si>
  <si>
    <t>0.228</t>
  </si>
  <si>
    <t>12.73</t>
  </si>
  <si>
    <t>13.29</t>
  </si>
  <si>
    <t>12.83</t>
  </si>
  <si>
    <t>12.75</t>
  </si>
  <si>
    <t>0.197</t>
  </si>
  <si>
    <t>12.88</t>
  </si>
  <si>
    <t>12.96</t>
  </si>
  <si>
    <t>0.186</t>
  </si>
  <si>
    <t>12.85</t>
  </si>
  <si>
    <t>12.97</t>
  </si>
  <si>
    <t>13.05</t>
  </si>
  <si>
    <t>13.92</t>
  </si>
  <si>
    <t>13.71</t>
  </si>
  <si>
    <t>13.96</t>
  </si>
  <si>
    <t>13.36</t>
  </si>
  <si>
    <t>13.94</t>
  </si>
  <si>
    <t>0.328</t>
  </si>
  <si>
    <t>13.07</t>
  </si>
  <si>
    <t>12.81</t>
  </si>
  <si>
    <t>12.89</t>
  </si>
  <si>
    <t>12.94</t>
  </si>
  <si>
    <t>12.9</t>
  </si>
  <si>
    <t>12.69</t>
  </si>
  <si>
    <t>13.2</t>
  </si>
  <si>
    <t>13.27</t>
  </si>
  <si>
    <t>0.123</t>
  </si>
  <si>
    <t>14.21</t>
  </si>
  <si>
    <t>0.484</t>
  </si>
  <si>
    <t>14.19</t>
  </si>
  <si>
    <t>14.35</t>
  </si>
  <si>
    <t>14.29</t>
  </si>
  <si>
    <t>14.23</t>
  </si>
  <si>
    <t>14.32</t>
  </si>
  <si>
    <t>14.27</t>
  </si>
  <si>
    <t>0.561</t>
  </si>
  <si>
    <t>12.67</t>
  </si>
  <si>
    <t>0.236</t>
  </si>
  <si>
    <t>12.95</t>
  </si>
  <si>
    <t>13.33</t>
  </si>
  <si>
    <t>12.71</t>
  </si>
  <si>
    <t>12.78</t>
  </si>
  <si>
    <t>11.81</t>
  </si>
  <si>
    <t>0.967</t>
  </si>
  <si>
    <t>0.229</t>
  </si>
  <si>
    <t>23.56</t>
  </si>
  <si>
    <t>18.39</t>
  </si>
  <si>
    <t>13.93</t>
  </si>
  <si>
    <t>20.35</t>
  </si>
  <si>
    <t>23.46</t>
  </si>
  <si>
    <t>23.92</t>
  </si>
  <si>
    <t>0.414</t>
  </si>
  <si>
    <t>22.54</t>
  </si>
  <si>
    <t>0.386</t>
  </si>
  <si>
    <t>24.08</t>
  </si>
  <si>
    <t>23.76</t>
  </si>
  <si>
    <t>23.65</t>
  </si>
  <si>
    <t>23.84</t>
  </si>
  <si>
    <t>24.05</t>
  </si>
  <si>
    <t>23.98</t>
  </si>
  <si>
    <t>24.75</t>
  </si>
  <si>
    <t>24.63</t>
  </si>
  <si>
    <t>23.15</t>
  </si>
  <si>
    <t>23.6</t>
  </si>
  <si>
    <t>23.08</t>
  </si>
  <si>
    <t>23.62</t>
  </si>
  <si>
    <t>23.14</t>
  </si>
  <si>
    <t>22.95</t>
  </si>
  <si>
    <t>22.82</t>
  </si>
  <si>
    <t>23.02</t>
  </si>
  <si>
    <t>21.2</t>
  </si>
  <si>
    <t>0.426</t>
  </si>
  <si>
    <t>22.81</t>
  </si>
  <si>
    <t>24.28</t>
  </si>
  <si>
    <t>24.74</t>
  </si>
  <si>
    <t>23.75</t>
  </si>
  <si>
    <t>23.99</t>
  </si>
  <si>
    <t>0.178</t>
  </si>
  <si>
    <t>26.22</t>
  </si>
  <si>
    <t>0.795</t>
  </si>
  <si>
    <t>23.97</t>
  </si>
  <si>
    <t>23.28</t>
  </si>
  <si>
    <t>26.16</t>
  </si>
  <si>
    <t>21.75</t>
  </si>
  <si>
    <t>22.58</t>
  </si>
  <si>
    <t>26.85</t>
  </si>
  <si>
    <t>26.6</t>
  </si>
  <si>
    <t>15.43</t>
  </si>
  <si>
    <t>14.77</t>
  </si>
  <si>
    <t>11.67</t>
  </si>
  <si>
    <t>15.32</t>
  </si>
  <si>
    <t>20.65</t>
  </si>
  <si>
    <t>20.82</t>
  </si>
  <si>
    <t>20.66</t>
  </si>
  <si>
    <t>20.88</t>
  </si>
  <si>
    <t>21.08</t>
  </si>
  <si>
    <t>20.45</t>
  </si>
  <si>
    <t>20.94</t>
  </si>
  <si>
    <t>0.261</t>
  </si>
  <si>
    <t>21.06</t>
  </si>
  <si>
    <t>0.353</t>
  </si>
  <si>
    <t>21.89</t>
  </si>
  <si>
    <t>19.57</t>
  </si>
  <si>
    <t>19.89</t>
  </si>
  <si>
    <t>19.68</t>
  </si>
  <si>
    <t>19.97</t>
  </si>
  <si>
    <t>0.192</t>
  </si>
  <si>
    <t>19.44</t>
  </si>
  <si>
    <t>19.94</t>
  </si>
  <si>
    <t>19.79</t>
  </si>
  <si>
    <t>19.29</t>
  </si>
  <si>
    <t>18.96</t>
  </si>
  <si>
    <t>19.07</t>
  </si>
  <si>
    <t>18.55</t>
  </si>
  <si>
    <t>18.98</t>
  </si>
  <si>
    <t>18.75</t>
  </si>
  <si>
    <t>18.62</t>
  </si>
  <si>
    <t>18.87</t>
  </si>
  <si>
    <t>0.135</t>
  </si>
  <si>
    <t>18.48</t>
  </si>
  <si>
    <t>19.42</t>
  </si>
  <si>
    <t>18.68</t>
  </si>
  <si>
    <t>18.53</t>
  </si>
  <si>
    <t>19.09</t>
  </si>
  <si>
    <t>0.318</t>
  </si>
  <si>
    <t>19.32</t>
  </si>
  <si>
    <t>19.73</t>
  </si>
  <si>
    <t>19.61</t>
  </si>
  <si>
    <t>21.04</t>
  </si>
  <si>
    <t>20.2</t>
  </si>
  <si>
    <t>20.77</t>
  </si>
  <si>
    <t>20.92</t>
  </si>
  <si>
    <t>20.96</t>
  </si>
  <si>
    <t>21.07</t>
  </si>
  <si>
    <t>0.179</t>
  </si>
  <si>
    <t>21.49</t>
  </si>
  <si>
    <t>0.216</t>
  </si>
  <si>
    <t>21.97</t>
  </si>
  <si>
    <t>21.9</t>
  </si>
  <si>
    <t>21.46</t>
  </si>
  <si>
    <t>0.125</t>
  </si>
  <si>
    <t>21.24</t>
  </si>
  <si>
    <t>21.3</t>
  </si>
  <si>
    <t>0.127</t>
  </si>
  <si>
    <t>21.38</t>
  </si>
  <si>
    <t>0.222</t>
  </si>
  <si>
    <t>21.29</t>
  </si>
  <si>
    <t>22.27</t>
  </si>
  <si>
    <t>22.2</t>
  </si>
  <si>
    <t>22.13</t>
  </si>
  <si>
    <t>20.83</t>
  </si>
  <si>
    <t>21.18</t>
  </si>
  <si>
    <t>21.27</t>
  </si>
  <si>
    <t>12.92</t>
  </si>
  <si>
    <t>14.79</t>
  </si>
  <si>
    <t>13.54</t>
  </si>
  <si>
    <t>0.107</t>
  </si>
  <si>
    <t>18.67</t>
  </si>
  <si>
    <t>17.6</t>
  </si>
  <si>
    <t>17.73</t>
  </si>
  <si>
    <t>17.78</t>
  </si>
  <si>
    <t>18.04</t>
  </si>
  <si>
    <t>17.8</t>
  </si>
  <si>
    <t>17.71</t>
  </si>
  <si>
    <t>0.101</t>
  </si>
  <si>
    <t>18.42</t>
  </si>
  <si>
    <t>18.16</t>
  </si>
  <si>
    <t>18.1</t>
  </si>
  <si>
    <t>18.3</t>
  </si>
  <si>
    <t>17.5</t>
  </si>
  <si>
    <t>17.64</t>
  </si>
  <si>
    <t>17.53</t>
  </si>
  <si>
    <t>27.7</t>
  </si>
  <si>
    <t>27.76</t>
  </si>
  <si>
    <t>27.72</t>
  </si>
  <si>
    <t>27.74</t>
  </si>
  <si>
    <t>27.49</t>
  </si>
  <si>
    <t>0.529</t>
  </si>
  <si>
    <t>31.42</t>
  </si>
  <si>
    <t>30.31</t>
  </si>
  <si>
    <t>33.72</t>
  </si>
  <si>
    <t>31.47</t>
  </si>
  <si>
    <t>30.73</t>
  </si>
  <si>
    <t>33.56</t>
  </si>
  <si>
    <t>30.23</t>
  </si>
  <si>
    <t>33.61</t>
  </si>
  <si>
    <t>32.71</t>
  </si>
  <si>
    <t>32.22</t>
  </si>
  <si>
    <t>33.35</t>
  </si>
  <si>
    <t>28.23</t>
  </si>
  <si>
    <t>29.88</t>
  </si>
  <si>
    <t>28.64</t>
  </si>
  <si>
    <t>28.38</t>
  </si>
  <si>
    <t>28.78</t>
  </si>
  <si>
    <t>0.339</t>
  </si>
  <si>
    <t>27.62</t>
  </si>
  <si>
    <t>26.67</t>
  </si>
  <si>
    <t>0.445</t>
  </si>
  <si>
    <t>25.78</t>
  </si>
  <si>
    <t>26.05</t>
  </si>
  <si>
    <t>26.37</t>
  </si>
  <si>
    <t>0.265</t>
  </si>
  <si>
    <t>25.56</t>
  </si>
  <si>
    <t>25.71</t>
  </si>
  <si>
    <t>25.29</t>
  </si>
  <si>
    <t>25.72</t>
  </si>
  <si>
    <t>25.35</t>
  </si>
  <si>
    <t>25.88</t>
  </si>
  <si>
    <t>0.252</t>
  </si>
  <si>
    <t>27.81</t>
  </si>
  <si>
    <t>0.994</t>
  </si>
  <si>
    <t>28.75</t>
  </si>
  <si>
    <t>28.05</t>
  </si>
  <si>
    <t>27.82</t>
  </si>
  <si>
    <t>28.51</t>
  </si>
  <si>
    <t>0.354</t>
  </si>
  <si>
    <t>26.81</t>
  </si>
  <si>
    <t>27.54</t>
  </si>
  <si>
    <t>20.91</t>
  </si>
  <si>
    <t>20.99</t>
  </si>
  <si>
    <t>20.61</t>
  </si>
  <si>
    <t>20.76</t>
  </si>
  <si>
    <t>20.74</t>
  </si>
  <si>
    <t>0.501</t>
  </si>
  <si>
    <t>22.21</t>
  </si>
  <si>
    <t>22.11</t>
  </si>
  <si>
    <t>20.52</t>
  </si>
  <si>
    <t>22.05</t>
  </si>
  <si>
    <t>21.62</t>
  </si>
  <si>
    <t>21.51</t>
  </si>
  <si>
    <t>0.399</t>
  </si>
  <si>
    <t>22.98</t>
  </si>
  <si>
    <t>22.49</t>
  </si>
  <si>
    <t>17.76</t>
  </si>
  <si>
    <t>22.87</t>
  </si>
  <si>
    <t>15.55</t>
  </si>
  <si>
    <t>14.6</t>
  </si>
  <si>
    <t>16.55</t>
  </si>
  <si>
    <t>13.41</t>
  </si>
  <si>
    <t>20.64</t>
  </si>
  <si>
    <t>21.57</t>
  </si>
  <si>
    <t>21.14</t>
  </si>
  <si>
    <t>22.34</t>
  </si>
  <si>
    <t>17.11</t>
  </si>
  <si>
    <t>21.72</t>
  </si>
  <si>
    <t>19.1</t>
  </si>
  <si>
    <t>17.13</t>
  </si>
  <si>
    <t>14.89</t>
  </si>
  <si>
    <t>20.62</t>
  </si>
  <si>
    <t>21.11</t>
  </si>
  <si>
    <t>7.4</t>
  </si>
  <si>
    <t>11.26</t>
  </si>
  <si>
    <t>13.45</t>
  </si>
  <si>
    <t>42.46</t>
  </si>
  <si>
    <t>58.4</t>
  </si>
  <si>
    <t>79.98</t>
  </si>
  <si>
    <t>69.34</t>
  </si>
  <si>
    <t>81.23</t>
  </si>
  <si>
    <t>67.4</t>
  </si>
  <si>
    <t>67.59</t>
  </si>
  <si>
    <t>67.42</t>
  </si>
  <si>
    <t>74.13</t>
  </si>
  <si>
    <t>68.92</t>
  </si>
  <si>
    <t>83.56</t>
  </si>
  <si>
    <t>83.04</t>
  </si>
  <si>
    <t>82.81</t>
  </si>
  <si>
    <t>83.44</t>
  </si>
  <si>
    <t>0.29</t>
  </si>
  <si>
    <t>82.54</t>
  </si>
  <si>
    <t>82.65</t>
  </si>
  <si>
    <t>82.6</t>
  </si>
  <si>
    <t>81.17</t>
  </si>
  <si>
    <t>82.48</t>
  </si>
  <si>
    <t>82.07</t>
  </si>
  <si>
    <t>82.34</t>
  </si>
  <si>
    <t>0.422</t>
  </si>
  <si>
    <t>17.3</t>
  </si>
  <si>
    <t>77.81</t>
  </si>
  <si>
    <t>47.6</t>
  </si>
  <si>
    <t>31.62</t>
  </si>
  <si>
    <t>62.19</t>
  </si>
  <si>
    <t>18.11</t>
  </si>
  <si>
    <t>21.61</t>
  </si>
  <si>
    <t>0.892</t>
  </si>
  <si>
    <t>23.32</t>
  </si>
  <si>
    <t>17.25</t>
  </si>
  <si>
    <t>20.58</t>
  </si>
  <si>
    <t>17.44</t>
  </si>
  <si>
    <t>17.35</t>
  </si>
  <si>
    <t>17.66</t>
  </si>
  <si>
    <t>0.828</t>
  </si>
  <si>
    <t>17.42</t>
  </si>
  <si>
    <t>8.53</t>
  </si>
  <si>
    <t>8.65</t>
  </si>
  <si>
    <t>12.65</t>
  </si>
  <si>
    <t>4.26</t>
  </si>
  <si>
    <t>5.09</t>
  </si>
  <si>
    <t>12.13</t>
  </si>
  <si>
    <t>14.08</t>
  </si>
  <si>
    <t>14.43</t>
  </si>
  <si>
    <t>10.28</t>
  </si>
  <si>
    <t>10.25</t>
  </si>
  <si>
    <t>14.85</t>
  </si>
  <si>
    <t>18.92</t>
  </si>
  <si>
    <t>18.72</t>
  </si>
  <si>
    <t>14.84</t>
  </si>
  <si>
    <t>12.45</t>
  </si>
  <si>
    <t>11.47</t>
  </si>
  <si>
    <t>13.75</t>
  </si>
  <si>
    <t>22.4</t>
  </si>
  <si>
    <t>18.01</t>
  </si>
  <si>
    <t>4.5</t>
  </si>
  <si>
    <t>10.15</t>
  </si>
  <si>
    <t>7.33</t>
  </si>
  <si>
    <t>14.74</t>
  </si>
  <si>
    <t>4.88</t>
  </si>
  <si>
    <t>14.31</t>
  </si>
  <si>
    <t>6.94</t>
  </si>
  <si>
    <t>11.75</t>
  </si>
  <si>
    <t>14.71</t>
  </si>
  <si>
    <t>16.97</t>
  </si>
  <si>
    <t>19.36</t>
  </si>
  <si>
    <t>14.41</t>
  </si>
  <si>
    <t>19.84</t>
  </si>
  <si>
    <t>4.92</t>
  </si>
  <si>
    <t>2.46</t>
  </si>
  <si>
    <t>7.5</t>
  </si>
  <si>
    <t>12.34</t>
  </si>
  <si>
    <t>2.87</t>
  </si>
  <si>
    <t>21.56</t>
  </si>
  <si>
    <t>11.92</t>
  </si>
  <si>
    <t>6.5</t>
  </si>
  <si>
    <t>2.77</t>
  </si>
  <si>
    <t>6.72</t>
  </si>
  <si>
    <t>4.65</t>
  </si>
  <si>
    <t>8.83</t>
  </si>
  <si>
    <t>2.41</t>
  </si>
  <si>
    <t>8.9</t>
  </si>
  <si>
    <t>6.59</t>
  </si>
  <si>
    <t>4.69</t>
  </si>
  <si>
    <t>8.61</t>
  </si>
  <si>
    <t>4.9</t>
  </si>
  <si>
    <t>6.57</t>
  </si>
  <si>
    <t>5.33</t>
  </si>
  <si>
    <t>4.71</t>
  </si>
  <si>
    <t>7.21</t>
  </si>
  <si>
    <t>20.93</t>
  </si>
  <si>
    <t>21.03</t>
  </si>
  <si>
    <t>0.238</t>
  </si>
  <si>
    <t>8.25</t>
  </si>
  <si>
    <t>4.25</t>
  </si>
  <si>
    <t>13.88</t>
  </si>
  <si>
    <t>17.96</t>
  </si>
  <si>
    <t>5.01</t>
  </si>
  <si>
    <t>14.14</t>
  </si>
  <si>
    <t>18.54</t>
  </si>
  <si>
    <t>18.25</t>
  </si>
  <si>
    <t>18.47</t>
  </si>
  <si>
    <t>10.23</t>
  </si>
  <si>
    <t>10.5</t>
  </si>
  <si>
    <t>10.26</t>
  </si>
  <si>
    <t>10.46</t>
  </si>
  <si>
    <t>0.317</t>
  </si>
  <si>
    <t>8.81</t>
  </si>
  <si>
    <t>9.99</t>
  </si>
  <si>
    <t>8.93</t>
  </si>
  <si>
    <t>12.57</t>
  </si>
  <si>
    <t>12.54</t>
  </si>
  <si>
    <t>12.6</t>
  </si>
  <si>
    <t>0.724</t>
  </si>
  <si>
    <t>6.38</t>
  </si>
  <si>
    <t>6.46</t>
  </si>
  <si>
    <t>6.42</t>
  </si>
  <si>
    <t>12.25</t>
  </si>
  <si>
    <t>8.77</t>
  </si>
  <si>
    <t>12.38</t>
  </si>
  <si>
    <t>13.21</t>
  </si>
  <si>
    <t>13.81</t>
  </si>
  <si>
    <t>7.15</t>
  </si>
  <si>
    <t>13.69</t>
  </si>
  <si>
    <t>6.56</t>
  </si>
  <si>
    <t>4.23</t>
  </si>
  <si>
    <t>14.18</t>
  </si>
  <si>
    <t>11.54</t>
  </si>
  <si>
    <t>15.81</t>
  </si>
  <si>
    <t>7.12</t>
  </si>
  <si>
    <t>12.48</t>
  </si>
  <si>
    <t>7.56</t>
  </si>
  <si>
    <t>11.11</t>
  </si>
  <si>
    <t>14.48</t>
  </si>
  <si>
    <t>14.39</t>
  </si>
  <si>
    <t>14.42</t>
  </si>
  <si>
    <t>14.03</t>
  </si>
  <si>
    <t>13.98</t>
  </si>
  <si>
    <t>7.88</t>
  </si>
  <si>
    <t>14.3</t>
  </si>
  <si>
    <t>11.76</t>
  </si>
  <si>
    <t>19.25</t>
  </si>
  <si>
    <t>19.39</t>
  </si>
  <si>
    <t>0.615</t>
  </si>
  <si>
    <t>12.04</t>
  </si>
  <si>
    <t>18.5</t>
  </si>
  <si>
    <t>15.26</t>
  </si>
  <si>
    <t>13.68</t>
  </si>
  <si>
    <t>12.53</t>
  </si>
  <si>
    <t>12.82</t>
  </si>
  <si>
    <t>11.8</t>
  </si>
  <si>
    <t>7.59</t>
  </si>
  <si>
    <t>12.3</t>
  </si>
  <si>
    <t>12.46</t>
  </si>
  <si>
    <t>11.15</t>
  </si>
  <si>
    <t>12.56</t>
  </si>
  <si>
    <t>11.42</t>
  </si>
  <si>
    <t>12.21</t>
  </si>
  <si>
    <t>0.604</t>
  </si>
  <si>
    <t>12.42</t>
  </si>
  <si>
    <t>6.1</t>
  </si>
  <si>
    <t>7.26</t>
  </si>
  <si>
    <t>15.06</t>
  </si>
  <si>
    <t>14.07</t>
  </si>
  <si>
    <t>15.17</t>
  </si>
  <si>
    <t>14.53</t>
  </si>
  <si>
    <t>5.97</t>
  </si>
  <si>
    <t>5.25</t>
  </si>
  <si>
    <t>1.79</t>
  </si>
  <si>
    <t>6.21</t>
  </si>
  <si>
    <t>3.21</t>
  </si>
  <si>
    <t>8.46</t>
  </si>
  <si>
    <t>6.45</t>
  </si>
  <si>
    <t>6.28</t>
  </si>
  <si>
    <t>6.15</t>
  </si>
  <si>
    <t>8.96</t>
  </si>
  <si>
    <t>8.02</t>
  </si>
  <si>
    <t>9.57</t>
  </si>
  <si>
    <t>11.17</t>
  </si>
  <si>
    <t>13.86</t>
  </si>
  <si>
    <t>13.95</t>
  </si>
  <si>
    <t>13.76</t>
  </si>
  <si>
    <t>12.62</t>
  </si>
  <si>
    <t>12.44</t>
  </si>
  <si>
    <t>12.59</t>
  </si>
  <si>
    <t>12.52</t>
  </si>
  <si>
    <t>12.12</t>
  </si>
  <si>
    <t>15.74</t>
  </si>
  <si>
    <t>12.28</t>
  </si>
  <si>
    <t>12.29</t>
  </si>
  <si>
    <t>12.33</t>
  </si>
  <si>
    <t>12.31</t>
  </si>
  <si>
    <t>12.4</t>
  </si>
  <si>
    <t>12.23</t>
  </si>
  <si>
    <t>12.39</t>
  </si>
  <si>
    <t>11.73</t>
  </si>
  <si>
    <t>5.94</t>
  </si>
  <si>
    <t>5.21</t>
  </si>
  <si>
    <t>8.88</t>
  </si>
  <si>
    <t>10.81</t>
  </si>
  <si>
    <t>7.9</t>
  </si>
  <si>
    <t>12.35</t>
  </si>
  <si>
    <t>11.59</t>
  </si>
  <si>
    <t>0.532</t>
  </si>
  <si>
    <t>4.83</t>
  </si>
  <si>
    <t>8.69</t>
  </si>
  <si>
    <t>6.67</t>
  </si>
  <si>
    <t>14.44</t>
  </si>
  <si>
    <t>13.79</t>
  </si>
  <si>
    <t>0.494</t>
  </si>
  <si>
    <t>12.27</t>
  </si>
  <si>
    <t>5.92</t>
  </si>
  <si>
    <t>4.55</t>
  </si>
  <si>
    <t>12.02</t>
  </si>
  <si>
    <t>11.97</t>
  </si>
  <si>
    <t>8.84</t>
  </si>
  <si>
    <t>0.525</t>
  </si>
  <si>
    <t>4.12</t>
  </si>
  <si>
    <t>12.06</t>
  </si>
  <si>
    <t>7.77</t>
  </si>
  <si>
    <t>11.38</t>
  </si>
  <si>
    <t>11.56</t>
  </si>
  <si>
    <t>3.34</t>
  </si>
  <si>
    <t>1.69</t>
  </si>
  <si>
    <t>6.52</t>
  </si>
  <si>
    <t>10.99</t>
  </si>
  <si>
    <t>11.6</t>
  </si>
  <si>
    <t>5.05</t>
  </si>
  <si>
    <t>12.19</t>
  </si>
  <si>
    <t>7.6</t>
  </si>
  <si>
    <t>10.66</t>
  </si>
  <si>
    <t>2.12</t>
  </si>
  <si>
    <t>10.98</t>
  </si>
  <si>
    <t>13.01</t>
  </si>
  <si>
    <t>13.82</t>
  </si>
  <si>
    <t>7.81</t>
  </si>
  <si>
    <t>7.65</t>
  </si>
  <si>
    <t>1.71</t>
  </si>
  <si>
    <t>10.52</t>
  </si>
  <si>
    <t>11.21</t>
  </si>
  <si>
    <t>6.35</t>
  </si>
  <si>
    <t>0.637</t>
  </si>
  <si>
    <t>6.29</t>
  </si>
  <si>
    <t>6.25</t>
  </si>
  <si>
    <t>6.27</t>
  </si>
  <si>
    <t>14.67</t>
  </si>
  <si>
    <t>14.54</t>
  </si>
  <si>
    <t>13.72</t>
  </si>
  <si>
    <t>14.56</t>
  </si>
  <si>
    <t>0.631</t>
  </si>
  <si>
    <t>15.29</t>
  </si>
  <si>
    <t>14.58</t>
  </si>
  <si>
    <t>13.32</t>
  </si>
  <si>
    <t>19.85</t>
  </si>
  <si>
    <t>12.37</t>
  </si>
  <si>
    <t>12.24</t>
  </si>
  <si>
    <t>11.5</t>
  </si>
  <si>
    <t>10.31</t>
  </si>
  <si>
    <t>5.08</t>
  </si>
  <si>
    <t>7.48</t>
  </si>
  <si>
    <t>14.88</t>
  </si>
  <si>
    <t>14.66</t>
  </si>
  <si>
    <t>9.06</t>
  </si>
  <si>
    <t>6.6</t>
  </si>
  <si>
    <t>13.66</t>
  </si>
  <si>
    <t>17.97</t>
  </si>
  <si>
    <t>14.73</t>
  </si>
  <si>
    <t>18.86</t>
  </si>
  <si>
    <t>19.48</t>
  </si>
  <si>
    <t>22.15</t>
  </si>
  <si>
    <t>20.22</t>
  </si>
  <si>
    <t>7.71</t>
  </si>
  <si>
    <t>23.25</t>
  </si>
  <si>
    <t>6.83</t>
  </si>
  <si>
    <t>14.13</t>
  </si>
  <si>
    <t>13.5</t>
  </si>
  <si>
    <t>19.64</t>
  </si>
  <si>
    <t>14.01</t>
  </si>
  <si>
    <t>7.02</t>
  </si>
  <si>
    <t>12.74</t>
  </si>
  <si>
    <t>11.62</t>
  </si>
  <si>
    <t>11.02</t>
  </si>
  <si>
    <t>9.91</t>
  </si>
  <si>
    <t>12.18</t>
  </si>
  <si>
    <t>3.6</t>
  </si>
  <si>
    <t>8.09</t>
  </si>
  <si>
    <t>12.64</t>
  </si>
  <si>
    <t>11.58</t>
  </si>
  <si>
    <t>12.8</t>
  </si>
  <si>
    <t>0.746</t>
  </si>
  <si>
    <t>11.77</t>
  </si>
  <si>
    <t>0.668</t>
  </si>
  <si>
    <t>13.52</t>
  </si>
  <si>
    <t>11.98</t>
  </si>
  <si>
    <t>11.18</t>
  </si>
  <si>
    <t>22.73</t>
  </si>
  <si>
    <t>34.42</t>
  </si>
  <si>
    <t>26.55</t>
  </si>
  <si>
    <t>11.68</t>
  </si>
  <si>
    <t>33.29</t>
  </si>
  <si>
    <t>33.47</t>
  </si>
  <si>
    <t>33.38</t>
  </si>
  <si>
    <t>33.36</t>
  </si>
  <si>
    <t>32.92</t>
  </si>
  <si>
    <t>0.553</t>
  </si>
  <si>
    <t>31.92</t>
  </si>
  <si>
    <t>28.98</t>
  </si>
  <si>
    <t>30.92</t>
  </si>
  <si>
    <t>0.437</t>
  </si>
  <si>
    <t>24.17</t>
  </si>
  <si>
    <t>6.36</t>
  </si>
  <si>
    <t>9.13</t>
  </si>
  <si>
    <t>10.89</t>
  </si>
  <si>
    <t>11.4</t>
  </si>
  <si>
    <t>11.35</t>
  </si>
  <si>
    <t>11.09</t>
  </si>
  <si>
    <t>5.52</t>
  </si>
  <si>
    <t>3.75</t>
  </si>
  <si>
    <t>7.58</t>
  </si>
  <si>
    <t>4.4</t>
  </si>
  <si>
    <t>18.45</t>
  </si>
  <si>
    <t>22.31</t>
  </si>
  <si>
    <t>8.18</t>
  </si>
  <si>
    <t>13.64</t>
  </si>
  <si>
    <t>13.97</t>
  </si>
  <si>
    <t>7.08</t>
  </si>
  <si>
    <t>15.61</t>
  </si>
  <si>
    <t>22.48</t>
  </si>
  <si>
    <t>22.43</t>
  </si>
  <si>
    <t>9.68</t>
  </si>
  <si>
    <t>14.24</t>
  </si>
  <si>
    <t>18.22</t>
  </si>
  <si>
    <t>18.2</t>
  </si>
  <si>
    <t>18.29</t>
  </si>
  <si>
    <t>18.69</t>
  </si>
  <si>
    <t>18.85</t>
  </si>
  <si>
    <t>18.63</t>
  </si>
  <si>
    <t>0.333</t>
  </si>
  <si>
    <t>18.44</t>
  </si>
  <si>
    <t>19.19</t>
  </si>
  <si>
    <t>18.59</t>
  </si>
  <si>
    <t>19.14</t>
  </si>
  <si>
    <t>0.285</t>
  </si>
  <si>
    <t>13.47</t>
  </si>
  <si>
    <t>14.17</t>
  </si>
  <si>
    <t>18.17</t>
  </si>
  <si>
    <t>16.43</t>
  </si>
  <si>
    <t>17.03</t>
  </si>
  <si>
    <t>32.15</t>
  </si>
  <si>
    <t>35.72</t>
  </si>
  <si>
    <t>36.14</t>
  </si>
  <si>
    <t>37.72</t>
  </si>
  <si>
    <t>36.47</t>
  </si>
  <si>
    <t>14.46</t>
  </si>
  <si>
    <t>24.47</t>
  </si>
  <si>
    <t>11.65</t>
  </si>
  <si>
    <t>3.38</t>
  </si>
  <si>
    <t>12.1</t>
  </si>
  <si>
    <t>8.6</t>
  </si>
  <si>
    <t>14.47</t>
  </si>
  <si>
    <t>14.06</t>
  </si>
  <si>
    <t>13.84</t>
  </si>
  <si>
    <t>0.398</t>
  </si>
  <si>
    <t>14.55</t>
  </si>
  <si>
    <t>15.14</t>
  </si>
  <si>
    <t>16.27</t>
  </si>
  <si>
    <t>16.42</t>
  </si>
  <si>
    <t>14.75</t>
  </si>
  <si>
    <t>0.432</t>
  </si>
  <si>
    <t>0.325</t>
  </si>
  <si>
    <t>5.69</t>
  </si>
  <si>
    <t>19.38</t>
  </si>
  <si>
    <t>7.24</t>
  </si>
  <si>
    <t>0.491</t>
  </si>
  <si>
    <t>21.77</t>
  </si>
  <si>
    <t>22.56</t>
  </si>
  <si>
    <t>21.99</t>
  </si>
  <si>
    <t>22.8</t>
  </si>
  <si>
    <t>22.67</t>
  </si>
  <si>
    <t>17.94</t>
  </si>
  <si>
    <t>14.94</t>
  </si>
  <si>
    <t>29.04</t>
  </si>
  <si>
    <t>19.01</t>
  </si>
  <si>
    <t>17.39</t>
  </si>
  <si>
    <t>17.79</t>
  </si>
  <si>
    <t>8.94</t>
  </si>
  <si>
    <t>19.21</t>
  </si>
  <si>
    <t>15.21</t>
  </si>
  <si>
    <t>18.61</t>
  </si>
  <si>
    <t>17.54</t>
  </si>
  <si>
    <t>24.6</t>
  </si>
  <si>
    <t>33.81</t>
  </si>
  <si>
    <t>30.4</t>
  </si>
  <si>
    <t>27.85</t>
  </si>
  <si>
    <t>23.5</t>
  </si>
  <si>
    <t>23.74</t>
  </si>
  <si>
    <t>24.01</t>
  </si>
  <si>
    <t>24.02</t>
  </si>
  <si>
    <t>23.54</t>
  </si>
  <si>
    <t>24.22</t>
  </si>
  <si>
    <t>21.13</t>
  </si>
  <si>
    <t>0.729</t>
  </si>
  <si>
    <t>19.05</t>
  </si>
  <si>
    <t>19.91</t>
  </si>
  <si>
    <t>0.251</t>
  </si>
  <si>
    <t>18.91</t>
  </si>
  <si>
    <t>18.57</t>
  </si>
  <si>
    <t>19.27</t>
  </si>
  <si>
    <t>0.626</t>
  </si>
  <si>
    <t>30.27</t>
  </si>
  <si>
    <t>31.08</t>
  </si>
  <si>
    <t>0.303</t>
  </si>
  <si>
    <t>30.29</t>
  </si>
  <si>
    <t>35.11</t>
  </si>
  <si>
    <t>31.17</t>
  </si>
  <si>
    <t>34.36</t>
  </si>
  <si>
    <t>34.81</t>
  </si>
  <si>
    <t>36.26</t>
  </si>
  <si>
    <t>34.71</t>
  </si>
  <si>
    <t>31.02</t>
  </si>
  <si>
    <t>32.27</t>
  </si>
  <si>
    <t>31.66</t>
  </si>
  <si>
    <t>31.23</t>
  </si>
  <si>
    <t>31.85</t>
  </si>
  <si>
    <t>30.79</t>
  </si>
  <si>
    <t>31.44</t>
  </si>
  <si>
    <t>31.12</t>
  </si>
  <si>
    <t>30.98</t>
  </si>
  <si>
    <t>31.26</t>
  </si>
  <si>
    <t>31.15</t>
  </si>
  <si>
    <t>28.16</t>
  </si>
  <si>
    <t>26.07</t>
  </si>
  <si>
    <t>26.54</t>
  </si>
  <si>
    <t>0.403</t>
  </si>
  <si>
    <t>28.25</t>
  </si>
  <si>
    <t>0.777</t>
  </si>
  <si>
    <t>28.71</t>
  </si>
  <si>
    <t>29.69</t>
  </si>
  <si>
    <t>30.33</t>
  </si>
  <si>
    <t>28.88</t>
  </si>
  <si>
    <t>29.12</t>
  </si>
  <si>
    <t>27.5</t>
  </si>
  <si>
    <t>0.466</t>
  </si>
  <si>
    <t>30.42</t>
  </si>
  <si>
    <t>28.39</t>
  </si>
  <si>
    <t>30.71</t>
  </si>
  <si>
    <t>31.25</t>
  </si>
  <si>
    <t>30.54</t>
  </si>
  <si>
    <t>29.39</t>
  </si>
  <si>
    <t>29.97</t>
  </si>
  <si>
    <t>0.661</t>
  </si>
  <si>
    <t>27.96</t>
  </si>
  <si>
    <t>26.14</t>
  </si>
  <si>
    <t>22.5</t>
  </si>
  <si>
    <t>47.08</t>
  </si>
  <si>
    <t>48.46</t>
  </si>
  <si>
    <t>46.61</t>
  </si>
  <si>
    <t>46.77</t>
  </si>
  <si>
    <t>47.1</t>
  </si>
  <si>
    <t>19.67</t>
  </si>
  <si>
    <t>18.35</t>
  </si>
  <si>
    <t>18.64</t>
  </si>
  <si>
    <t>17.98</t>
  </si>
  <si>
    <t>55.29</t>
  </si>
  <si>
    <t>31.54</t>
  </si>
  <si>
    <t>17.84</t>
  </si>
  <si>
    <t>0.108</t>
  </si>
  <si>
    <t>11.52</t>
  </si>
  <si>
    <t>8.98</t>
  </si>
  <si>
    <t>9.8</t>
  </si>
  <si>
    <t>10.68</t>
  </si>
  <si>
    <t>8.71</t>
  </si>
  <si>
    <t>7.25</t>
  </si>
  <si>
    <t>6.11</t>
  </si>
  <si>
    <t>0.272</t>
  </si>
  <si>
    <t>7.17</t>
  </si>
  <si>
    <t>6.47</t>
  </si>
  <si>
    <t>0.515</t>
  </si>
  <si>
    <t>7.06</t>
  </si>
  <si>
    <t>6.84</t>
  </si>
  <si>
    <t>6.49</t>
  </si>
  <si>
    <t>5.42</t>
  </si>
  <si>
    <t>5.74</t>
  </si>
  <si>
    <t>5.29</t>
  </si>
  <si>
    <t>4.37</t>
  </si>
  <si>
    <t>4.15</t>
  </si>
  <si>
    <t>4.29</t>
  </si>
  <si>
    <t>4.51</t>
  </si>
  <si>
    <t>4.38</t>
  </si>
  <si>
    <t>3.79</t>
  </si>
  <si>
    <t>3.35</t>
  </si>
  <si>
    <t>3.4</t>
  </si>
  <si>
    <t>0.172</t>
  </si>
  <si>
    <t>2.4</t>
  </si>
  <si>
    <t>1.83</t>
  </si>
  <si>
    <t>68.2</t>
  </si>
  <si>
    <t>68.54</t>
  </si>
  <si>
    <t>74.52</t>
  </si>
  <si>
    <t>66.75</t>
  </si>
  <si>
    <t>64.59</t>
  </si>
  <si>
    <t>67.88</t>
  </si>
  <si>
    <t>65.4</t>
  </si>
  <si>
    <t>69.5</t>
  </si>
  <si>
    <t>71.94</t>
  </si>
  <si>
    <t>70.19</t>
  </si>
  <si>
    <t>0.771</t>
  </si>
  <si>
    <t>71.7</t>
  </si>
  <si>
    <t>71.4</t>
  </si>
  <si>
    <t>67.48</t>
  </si>
  <si>
    <t>66.33</t>
  </si>
  <si>
    <t>66.56</t>
  </si>
  <si>
    <t>67.03</t>
  </si>
  <si>
    <t>0.315</t>
  </si>
  <si>
    <t>64.9</t>
  </si>
  <si>
    <t>66.42</t>
  </si>
  <si>
    <t>65.31</t>
  </si>
  <si>
    <t>63.44</t>
  </si>
  <si>
    <t>65.45</t>
  </si>
  <si>
    <t>64.06</t>
  </si>
  <si>
    <t>63.4</t>
  </si>
  <si>
    <t>0.643</t>
  </si>
  <si>
    <t>61.75</t>
  </si>
  <si>
    <t>74.73</t>
  </si>
  <si>
    <t>48.92</t>
  </si>
  <si>
    <t>45.58</t>
  </si>
  <si>
    <t>46.17</t>
  </si>
  <si>
    <t>44.79</t>
  </si>
  <si>
    <t>45.33</t>
  </si>
  <si>
    <t>43.75</t>
  </si>
  <si>
    <t>42.38</t>
  </si>
  <si>
    <t>0.337</t>
  </si>
  <si>
    <t>42.87</t>
  </si>
  <si>
    <t>42.78</t>
  </si>
  <si>
    <t>41.22</t>
  </si>
  <si>
    <t>0.605</t>
  </si>
  <si>
    <t>49.27</t>
  </si>
  <si>
    <t>50.91</t>
  </si>
  <si>
    <t>51.24</t>
  </si>
  <si>
    <t>52.77</t>
  </si>
  <si>
    <t>44.44</t>
  </si>
  <si>
    <t>29.33</t>
  </si>
  <si>
    <t>32.61</t>
  </si>
  <si>
    <t>29.75</t>
  </si>
  <si>
    <t>28.11</t>
  </si>
  <si>
    <t>4.13</t>
  </si>
  <si>
    <t>33.11</t>
  </si>
  <si>
    <t>19.78</t>
  </si>
  <si>
    <t>43.5</t>
  </si>
  <si>
    <t>28.29</t>
  </si>
  <si>
    <t>28.5</t>
  </si>
  <si>
    <t>28.65</t>
  </si>
  <si>
    <t>22.96</t>
  </si>
  <si>
    <t>15.7</t>
  </si>
  <si>
    <t>28.49</t>
  </si>
  <si>
    <t>7.85</t>
  </si>
  <si>
    <t>1.81</t>
  </si>
  <si>
    <t>6.65</t>
  </si>
  <si>
    <t>42.88</t>
  </si>
  <si>
    <t>43.58</t>
  </si>
  <si>
    <t>43.46</t>
  </si>
  <si>
    <t>43.11</t>
  </si>
  <si>
    <t>43.47</t>
  </si>
  <si>
    <t>48.77</t>
  </si>
  <si>
    <t>48.88</t>
  </si>
  <si>
    <t>48.8</t>
  </si>
  <si>
    <t>48.78</t>
  </si>
  <si>
    <t>48.85</t>
  </si>
  <si>
    <t>49.67</t>
  </si>
  <si>
    <t>40.22</t>
  </si>
  <si>
    <t>39.67</t>
  </si>
  <si>
    <t>39.14</t>
  </si>
  <si>
    <t>40.02</t>
  </si>
  <si>
    <t>0.678</t>
  </si>
  <si>
    <t>38.61</t>
  </si>
  <si>
    <t>42.44</t>
  </si>
  <si>
    <t>39.47</t>
  </si>
  <si>
    <t>38.97</t>
  </si>
  <si>
    <t>40.21</t>
  </si>
  <si>
    <t>41.92</t>
  </si>
  <si>
    <t>46.54</t>
  </si>
  <si>
    <t>42.61</t>
  </si>
  <si>
    <t>42.01</t>
  </si>
  <si>
    <t>46.25</t>
  </si>
  <si>
    <t>43.83</t>
  </si>
  <si>
    <t>47.35</t>
  </si>
  <si>
    <t>46.31</t>
  </si>
  <si>
    <t>44.2</t>
  </si>
  <si>
    <t>47.03</t>
  </si>
  <si>
    <t>43.88</t>
  </si>
  <si>
    <t>43.19</t>
  </si>
  <si>
    <t>41.25</t>
  </si>
  <si>
    <t>43.31</t>
  </si>
  <si>
    <t>38.47</t>
  </si>
  <si>
    <t>40.6</t>
  </si>
  <si>
    <t>39.46</t>
  </si>
  <si>
    <t>38.92</t>
  </si>
  <si>
    <t>40.04</t>
  </si>
  <si>
    <t>0.638</t>
  </si>
  <si>
    <t>40.08</t>
  </si>
  <si>
    <t>42.56</t>
  </si>
  <si>
    <t>41.28</t>
  </si>
  <si>
    <t>42.15</t>
  </si>
  <si>
    <t>0.699</t>
  </si>
  <si>
    <t>38.02</t>
  </si>
  <si>
    <t>41.35</t>
  </si>
  <si>
    <t>39.29</t>
  </si>
  <si>
    <t>38.43</t>
  </si>
  <si>
    <t>40.54</t>
  </si>
  <si>
    <t>36.72</t>
  </si>
  <si>
    <t>39.33</t>
  </si>
  <si>
    <t>37.83</t>
  </si>
  <si>
    <t>38.89</t>
  </si>
  <si>
    <t>0.715</t>
  </si>
  <si>
    <t>35.58</t>
  </si>
  <si>
    <t>34.84</t>
  </si>
  <si>
    <t>35.86</t>
  </si>
  <si>
    <t>0.594</t>
  </si>
  <si>
    <t>33.1</t>
  </si>
  <si>
    <t>35.29</t>
  </si>
  <si>
    <t>34.45</t>
  </si>
  <si>
    <t>33.22</t>
  </si>
  <si>
    <t>34.13</t>
  </si>
  <si>
    <t>33.46</t>
  </si>
  <si>
    <t>37.15</t>
  </si>
  <si>
    <t>38.85</t>
  </si>
  <si>
    <t>41.27</t>
  </si>
  <si>
    <t>39.24</t>
  </si>
  <si>
    <t>39.09</t>
  </si>
  <si>
    <t>39.59</t>
  </si>
  <si>
    <t>39.27</t>
  </si>
  <si>
    <t>39.97</t>
  </si>
  <si>
    <t>39.63</t>
  </si>
  <si>
    <t>39.49</t>
  </si>
  <si>
    <t>39.76</t>
  </si>
  <si>
    <t>39.52</t>
  </si>
  <si>
    <t>44.56</t>
  </si>
  <si>
    <t>40.98</t>
  </si>
  <si>
    <t>40.32</t>
  </si>
  <si>
    <t>42.91</t>
  </si>
  <si>
    <t>39.38</t>
  </si>
  <si>
    <t>44.69</t>
  </si>
  <si>
    <t>43.81</t>
  </si>
  <si>
    <t>41.26</t>
  </si>
  <si>
    <t>44.26</t>
  </si>
  <si>
    <t>37.31</t>
  </si>
  <si>
    <t>39.35</t>
  </si>
  <si>
    <t>38.75</t>
  </si>
  <si>
    <t>37.54</t>
  </si>
  <si>
    <t>39.15</t>
  </si>
  <si>
    <t>0.814</t>
  </si>
  <si>
    <t>36.25</t>
  </si>
  <si>
    <t>38.08</t>
  </si>
  <si>
    <t>37.17</t>
  </si>
  <si>
    <t>37.02</t>
  </si>
  <si>
    <t>37.59</t>
  </si>
  <si>
    <t>36.22</t>
  </si>
  <si>
    <t>35.1</t>
  </si>
  <si>
    <t>34.03</t>
  </si>
  <si>
    <t>35.81</t>
  </si>
  <si>
    <t>38.21</t>
  </si>
  <si>
    <t>33.99</t>
  </si>
  <si>
    <t>33.9</t>
  </si>
  <si>
    <t>36.09</t>
  </si>
  <si>
    <t>34.69</t>
  </si>
  <si>
    <t>39.71</t>
  </si>
  <si>
    <t>38.65</t>
  </si>
  <si>
    <t>37.06</t>
  </si>
  <si>
    <t>39.04</t>
  </si>
  <si>
    <t>34.39</t>
  </si>
  <si>
    <t>33.88</t>
  </si>
  <si>
    <t>34.88</t>
  </si>
  <si>
    <t>39.22</t>
  </si>
  <si>
    <t>37.13</t>
  </si>
  <si>
    <t>41.17</t>
  </si>
  <si>
    <t>34.92</t>
  </si>
  <si>
    <t>38.35</t>
  </si>
  <si>
    <t>42.06</t>
  </si>
  <si>
    <t>41.18</t>
  </si>
  <si>
    <t>41.72</t>
  </si>
  <si>
    <t>0.927</t>
  </si>
  <si>
    <t>43.42</t>
  </si>
  <si>
    <t>40.69</t>
  </si>
  <si>
    <t>40.39</t>
  </si>
  <si>
    <t>43.05</t>
  </si>
  <si>
    <t>42.29</t>
  </si>
  <si>
    <t>43.96</t>
  </si>
  <si>
    <t>42.77</t>
  </si>
  <si>
    <t>42.47</t>
  </si>
  <si>
    <t>43.18</t>
  </si>
  <si>
    <t>45.38</t>
  </si>
  <si>
    <t>44.25</t>
  </si>
  <si>
    <t>44.18</t>
  </si>
  <si>
    <t>44.94</t>
  </si>
  <si>
    <t>0.443</t>
  </si>
  <si>
    <t>44.41</t>
  </si>
  <si>
    <t>44.04</t>
  </si>
  <si>
    <t>44.53</t>
  </si>
  <si>
    <t>39.31</t>
  </si>
  <si>
    <t>42.43</t>
  </si>
  <si>
    <t>41.11</t>
  </si>
  <si>
    <t>42.82</t>
  </si>
  <si>
    <t>35.25</t>
  </si>
  <si>
    <t>40.29</t>
  </si>
  <si>
    <t>39.44</t>
  </si>
  <si>
    <t>37.08</t>
  </si>
  <si>
    <t>34.04</t>
  </si>
  <si>
    <t>34.46</t>
  </si>
  <si>
    <t>34.29</t>
  </si>
  <si>
    <t>34.68</t>
  </si>
  <si>
    <t>34.44</t>
  </si>
  <si>
    <t>33.74</t>
  </si>
  <si>
    <t>33.6</t>
  </si>
  <si>
    <t>34.21</t>
  </si>
  <si>
    <t>0.346</t>
  </si>
  <si>
    <t>33.39</t>
  </si>
  <si>
    <t>32.86</t>
  </si>
  <si>
    <t>33.58</t>
  </si>
  <si>
    <t>28.19</t>
  </si>
  <si>
    <t>27.9</t>
  </si>
  <si>
    <t>28.13</t>
  </si>
  <si>
    <t>26.5</t>
  </si>
  <si>
    <t>26.89</t>
  </si>
  <si>
    <t>27.58</t>
  </si>
  <si>
    <t>28.81</t>
  </si>
  <si>
    <t>28.14</t>
  </si>
  <si>
    <t>28.74</t>
  </si>
  <si>
    <t>28.37</t>
  </si>
  <si>
    <t>29.53</t>
  </si>
  <si>
    <t>29.21</t>
  </si>
  <si>
    <t>30.75</t>
  </si>
  <si>
    <t>29.58</t>
  </si>
  <si>
    <t>29.45</t>
  </si>
  <si>
    <t>29.93</t>
  </si>
  <si>
    <t>30.69</t>
  </si>
  <si>
    <t>31.19</t>
  </si>
  <si>
    <t>30.95</t>
  </si>
  <si>
    <t>30.6</t>
  </si>
  <si>
    <t>30.99</t>
  </si>
  <si>
    <t>30.84</t>
  </si>
  <si>
    <t>0.198</t>
  </si>
  <si>
    <t>28.17</t>
  </si>
  <si>
    <t>30.77</t>
  </si>
  <si>
    <t>28.86</t>
  </si>
  <si>
    <t>30.82</t>
  </si>
  <si>
    <t>28.6</t>
  </si>
  <si>
    <t>0.342</t>
  </si>
  <si>
    <t>34.77</t>
  </si>
  <si>
    <t>30.76</t>
  </si>
  <si>
    <t>34.96</t>
  </si>
  <si>
    <t>38.1</t>
  </si>
  <si>
    <t>36.34</t>
  </si>
  <si>
    <t>0.862</t>
  </si>
  <si>
    <t>37.88</t>
  </si>
  <si>
    <t>40.06</t>
  </si>
  <si>
    <t>38.93</t>
  </si>
  <si>
    <t>38.36</t>
  </si>
  <si>
    <t>0.648</t>
  </si>
  <si>
    <t>36.56</t>
  </si>
  <si>
    <t>38.29</t>
  </si>
  <si>
    <t>37.07</t>
  </si>
  <si>
    <t>36.99</t>
  </si>
  <si>
    <t>37.67</t>
  </si>
  <si>
    <t>0.475</t>
  </si>
  <si>
    <t>37.33</t>
  </si>
  <si>
    <t>38.9</t>
  </si>
  <si>
    <t>38.15</t>
  </si>
  <si>
    <t>37.71</t>
  </si>
  <si>
    <t>38.5</t>
  </si>
  <si>
    <t>38.11</t>
  </si>
  <si>
    <t>37.78</t>
  </si>
  <si>
    <t>0.275</t>
  </si>
  <si>
    <t>40.9</t>
  </si>
  <si>
    <t>38.94</t>
  </si>
  <si>
    <t>40.47</t>
  </si>
  <si>
    <t>0.782</t>
  </si>
  <si>
    <t>40.67</t>
  </si>
  <si>
    <t>40.18</t>
  </si>
  <si>
    <t>38.46</t>
  </si>
  <si>
    <t>40.31</t>
  </si>
  <si>
    <t>15.28</t>
  </si>
  <si>
    <t>30.19</t>
  </si>
  <si>
    <t>19.35</t>
  </si>
  <si>
    <t>57.25</t>
  </si>
  <si>
    <t>12.76</t>
  </si>
  <si>
    <t>13.8</t>
  </si>
  <si>
    <t>20.48</t>
  </si>
  <si>
    <t>13.87</t>
  </si>
  <si>
    <t>12.17</t>
  </si>
  <si>
    <t>14.04</t>
  </si>
  <si>
    <t>12.16</t>
  </si>
  <si>
    <t>12.66</t>
  </si>
  <si>
    <t>12.58</t>
  </si>
  <si>
    <t>13.67</t>
  </si>
  <si>
    <t>13.26</t>
  </si>
  <si>
    <t>13.51</t>
  </si>
  <si>
    <t>13.28</t>
  </si>
  <si>
    <t>13.57</t>
  </si>
  <si>
    <t>0.232</t>
  </si>
  <si>
    <t>12.72</t>
  </si>
  <si>
    <t>0.233</t>
  </si>
  <si>
    <t>13.77</t>
  </si>
  <si>
    <t>13.61</t>
  </si>
  <si>
    <t>13.83</t>
  </si>
  <si>
    <t>14.98</t>
  </si>
  <si>
    <t>14.59</t>
  </si>
  <si>
    <t>15.05</t>
  </si>
  <si>
    <t>16.03</t>
  </si>
  <si>
    <t>0.485</t>
  </si>
  <si>
    <t>16.09</t>
  </si>
  <si>
    <t>16.29</t>
  </si>
  <si>
    <t>16.16</t>
  </si>
  <si>
    <t>15.86</t>
  </si>
  <si>
    <t>16.59</t>
  </si>
  <si>
    <t>0.117</t>
  </si>
  <si>
    <t>15.79</t>
  </si>
  <si>
    <t>0.282</t>
  </si>
  <si>
    <t>16.48</t>
  </si>
  <si>
    <t>15.97</t>
  </si>
  <si>
    <t>91.32</t>
  </si>
  <si>
    <t>29.68</t>
  </si>
  <si>
    <t>64.25</t>
  </si>
  <si>
    <t>96.91</t>
  </si>
  <si>
    <t>140.15</t>
  </si>
  <si>
    <t>135.97</t>
  </si>
  <si>
    <t>124.11</t>
  </si>
  <si>
    <t>138.38</t>
  </si>
  <si>
    <t>131.94</t>
  </si>
  <si>
    <t>141.65</t>
  </si>
  <si>
    <t>140.37</t>
  </si>
  <si>
    <t>136.66</t>
  </si>
  <si>
    <t>141.44</t>
  </si>
  <si>
    <t>129.47</t>
  </si>
  <si>
    <t>132.15</t>
  </si>
  <si>
    <t>129.93</t>
  </si>
  <si>
    <t>129.66</t>
  </si>
  <si>
    <t>130.63</t>
  </si>
  <si>
    <t>0.736</t>
  </si>
  <si>
    <t>132.16</t>
  </si>
  <si>
    <t>135.44</t>
  </si>
  <si>
    <t>132.82</t>
  </si>
  <si>
    <t>132.32</t>
  </si>
  <si>
    <t>134.34</t>
  </si>
  <si>
    <t>135.62</t>
  </si>
  <si>
    <t>137.44</t>
  </si>
  <si>
    <t>136.87</t>
  </si>
  <si>
    <t>136.27</t>
  </si>
  <si>
    <t>137.21</t>
  </si>
  <si>
    <t>0.555</t>
  </si>
  <si>
    <t>134.27</t>
  </si>
  <si>
    <t>136.5</t>
  </si>
  <si>
    <t>135.04</t>
  </si>
  <si>
    <t>134.46</t>
  </si>
  <si>
    <t>135.21</t>
  </si>
  <si>
    <t>0.535</t>
  </si>
  <si>
    <t>135.81</t>
  </si>
  <si>
    <t>139.27</t>
  </si>
  <si>
    <t>138.31</t>
  </si>
  <si>
    <t>137.82</t>
  </si>
  <si>
    <t>138.78</t>
  </si>
  <si>
    <t>0.789</t>
  </si>
  <si>
    <t>133.19</t>
  </si>
  <si>
    <t>135.08</t>
  </si>
  <si>
    <t>133.88</t>
  </si>
  <si>
    <t>133.63</t>
  </si>
  <si>
    <t>134.25</t>
  </si>
  <si>
    <t>0.438</t>
  </si>
  <si>
    <t>129.56</t>
  </si>
  <si>
    <t>134.5</t>
  </si>
  <si>
    <t>131.75</t>
  </si>
  <si>
    <t>130.07</t>
  </si>
  <si>
    <t>133.08</t>
  </si>
  <si>
    <t>130.4</t>
  </si>
  <si>
    <t>132.56</t>
  </si>
  <si>
    <t>131.87</t>
  </si>
  <si>
    <t>131.66</t>
  </si>
  <si>
    <t>132.11</t>
  </si>
  <si>
    <t>0.564</t>
  </si>
  <si>
    <t>131.04</t>
  </si>
  <si>
    <t>133.06</t>
  </si>
  <si>
    <t>132.49</t>
  </si>
  <si>
    <t>132.63</t>
  </si>
  <si>
    <t>0.545</t>
  </si>
  <si>
    <t>130.75</t>
  </si>
  <si>
    <t>132.01</t>
  </si>
  <si>
    <t>132.57</t>
  </si>
  <si>
    <t>0.581</t>
  </si>
  <si>
    <t>130.25</t>
  </si>
  <si>
    <t>127.71</t>
  </si>
  <si>
    <t>128.91</t>
  </si>
  <si>
    <t>46.94</t>
  </si>
  <si>
    <t>43.85</t>
  </si>
  <si>
    <t>46.73</t>
  </si>
  <si>
    <t>44.84</t>
  </si>
  <si>
    <t>44.3</t>
  </si>
  <si>
    <t>45.14</t>
  </si>
  <si>
    <t>0.714</t>
  </si>
  <si>
    <t>43.94</t>
  </si>
  <si>
    <t>42.73</t>
  </si>
  <si>
    <t>41.13</t>
  </si>
  <si>
    <t>43.03</t>
  </si>
  <si>
    <t>41.42</t>
  </si>
  <si>
    <t>40.14</t>
  </si>
  <si>
    <t>39.64</t>
  </si>
  <si>
    <t>40.49</t>
  </si>
  <si>
    <t>0.58</t>
  </si>
  <si>
    <t>41.52</t>
  </si>
  <si>
    <t>43.62</t>
  </si>
  <si>
    <t>43.08</t>
  </si>
  <si>
    <t>42.34</t>
  </si>
  <si>
    <t>43.43</t>
  </si>
  <si>
    <t>45.15</t>
  </si>
  <si>
    <t>42.74</t>
  </si>
  <si>
    <t>43.79</t>
  </si>
  <si>
    <t>0.908</t>
  </si>
  <si>
    <t>45.27</t>
  </si>
  <si>
    <t>50.19</t>
  </si>
  <si>
    <t>46.99</t>
  </si>
  <si>
    <t>45.91</t>
  </si>
  <si>
    <t>48.15</t>
  </si>
  <si>
    <t>50.5</t>
  </si>
  <si>
    <t>55.52</t>
  </si>
  <si>
    <t>51.61</t>
  </si>
  <si>
    <t>54.52</t>
  </si>
  <si>
    <t>55.04</t>
  </si>
  <si>
    <t>51.03</t>
  </si>
  <si>
    <t>48.63</t>
  </si>
  <si>
    <t>54.09</t>
  </si>
  <si>
    <t>45.29</t>
  </si>
  <si>
    <t>47.54</t>
  </si>
  <si>
    <t>46.82</t>
  </si>
  <si>
    <t>46.34</t>
  </si>
  <si>
    <t>47.23</t>
  </si>
  <si>
    <t>42.1</t>
  </si>
  <si>
    <t>45.12</t>
  </si>
  <si>
    <t>43.04</t>
  </si>
  <si>
    <t>42.81</t>
  </si>
  <si>
    <t>44.33</t>
  </si>
  <si>
    <t>0.873</t>
  </si>
  <si>
    <t>42.08</t>
  </si>
  <si>
    <t>43.25</t>
  </si>
  <si>
    <t>42.32</t>
  </si>
  <si>
    <t>42.92</t>
  </si>
  <si>
    <t>47.5</t>
  </si>
  <si>
    <t>44.92</t>
  </si>
  <si>
    <t>43.89</t>
  </si>
  <si>
    <t>41.81</t>
  </si>
  <si>
    <t>42.12</t>
  </si>
  <si>
    <t>41.46</t>
  </si>
  <si>
    <t>44.63</t>
  </si>
  <si>
    <t>42.52</t>
  </si>
  <si>
    <t>45.9</t>
  </si>
  <si>
    <t>30.88</t>
  </si>
  <si>
    <t>46.23</t>
  </si>
  <si>
    <t>35.44</t>
  </si>
  <si>
    <t>27.98</t>
  </si>
  <si>
    <t>30.25</t>
  </si>
  <si>
    <t>28.97</t>
  </si>
  <si>
    <t>28.69</t>
  </si>
  <si>
    <t>29.22</t>
  </si>
  <si>
    <t>0.518</t>
  </si>
  <si>
    <t>27.23</t>
  </si>
  <si>
    <t>28.04</t>
  </si>
  <si>
    <t>0.406</t>
  </si>
  <si>
    <t>28.1</t>
  </si>
  <si>
    <t>28.62</t>
  </si>
  <si>
    <t>28.41</t>
  </si>
  <si>
    <t>28.84</t>
  </si>
  <si>
    <t>28.76</t>
  </si>
  <si>
    <t>28.96</t>
  </si>
  <si>
    <t>29.35</t>
  </si>
  <si>
    <t>28.32</t>
  </si>
  <si>
    <t>0.468</t>
  </si>
  <si>
    <t>29.94</t>
  </si>
  <si>
    <t>29.66</t>
  </si>
  <si>
    <t>29.79</t>
  </si>
  <si>
    <t>0.548</t>
  </si>
  <si>
    <t>0.921</t>
  </si>
  <si>
    <t>22.25</t>
  </si>
  <si>
    <t>24.14</t>
  </si>
  <si>
    <t>23.04</t>
  </si>
  <si>
    <t>0.952</t>
  </si>
  <si>
    <t>22.28</t>
  </si>
  <si>
    <t>0.244</t>
  </si>
  <si>
    <t>21.92</t>
  </si>
  <si>
    <t>23.22</t>
  </si>
  <si>
    <t>0.663</t>
  </si>
  <si>
    <t>25.96</t>
  </si>
  <si>
    <t>25.22</t>
  </si>
  <si>
    <t>24.84</t>
  </si>
  <si>
    <t>25.59</t>
  </si>
  <si>
    <t>12.14</t>
  </si>
  <si>
    <t>21.26</t>
  </si>
  <si>
    <t>20.73</t>
  </si>
  <si>
    <t>31.46</t>
  </si>
  <si>
    <t>0.949</t>
  </si>
  <si>
    <t>26.32</t>
  </si>
  <si>
    <t>28.92</t>
  </si>
  <si>
    <t>21.16</t>
  </si>
  <si>
    <t>0.379</t>
  </si>
  <si>
    <t>20.38</t>
  </si>
  <si>
    <t>21.37</t>
  </si>
  <si>
    <t>0.516</t>
  </si>
  <si>
    <t>17.47</t>
  </si>
  <si>
    <t>0.911</t>
  </si>
  <si>
    <t>15.12</t>
  </si>
  <si>
    <t>17.29</t>
  </si>
  <si>
    <t>0.511</t>
  </si>
  <si>
    <t>14.82</t>
  </si>
  <si>
    <t>14.96</t>
  </si>
  <si>
    <t>15.1</t>
  </si>
  <si>
    <t>15.08</t>
  </si>
  <si>
    <t>15.18</t>
  </si>
  <si>
    <t>17.93</t>
  </si>
  <si>
    <t>0.735</t>
  </si>
  <si>
    <t>81.7</t>
  </si>
  <si>
    <t>36.96</t>
  </si>
  <si>
    <t>60.68</t>
  </si>
  <si>
    <t>85.93</t>
  </si>
  <si>
    <t>107.07</t>
  </si>
  <si>
    <t>105.73</t>
  </si>
  <si>
    <t>104.7</t>
  </si>
  <si>
    <t>105.88</t>
  </si>
  <si>
    <t>105.96</t>
  </si>
  <si>
    <t>109.69</t>
  </si>
  <si>
    <t>107.63</t>
  </si>
  <si>
    <t>106.79</t>
  </si>
  <si>
    <t>109.02</t>
  </si>
  <si>
    <t>108.23</t>
  </si>
  <si>
    <t>109.32</t>
  </si>
  <si>
    <t>108.77</t>
  </si>
  <si>
    <t>109.52</t>
  </si>
  <si>
    <t>0.505</t>
  </si>
  <si>
    <t>108.48</t>
  </si>
  <si>
    <t>112.08</t>
  </si>
  <si>
    <t>110.55</t>
  </si>
  <si>
    <t>109.27</t>
  </si>
  <si>
    <t>111.58</t>
  </si>
  <si>
    <t>112.83</t>
  </si>
  <si>
    <t>112.33</t>
  </si>
  <si>
    <t>112.21</t>
  </si>
  <si>
    <t>112.56</t>
  </si>
  <si>
    <t>107.48</t>
  </si>
  <si>
    <t>108.2</t>
  </si>
  <si>
    <t>111.89</t>
  </si>
  <si>
    <t>106.88</t>
  </si>
  <si>
    <t>110.19</t>
  </si>
  <si>
    <t>107.88</t>
  </si>
  <si>
    <t>107.17</t>
  </si>
  <si>
    <t>109.53</t>
  </si>
  <si>
    <t>110.15</t>
  </si>
  <si>
    <t>113.27</t>
  </si>
  <si>
    <t>111.13</t>
  </si>
  <si>
    <t>110.38</t>
  </si>
  <si>
    <t>111.91</t>
  </si>
  <si>
    <t>0.968</t>
  </si>
  <si>
    <t>114.15</t>
  </si>
  <si>
    <t>113.58</t>
  </si>
  <si>
    <t>113.32</t>
  </si>
  <si>
    <t>113.9</t>
  </si>
  <si>
    <t>0.542</t>
  </si>
  <si>
    <t>112.12</t>
  </si>
  <si>
    <t>113.29</t>
  </si>
  <si>
    <t>112.85</t>
  </si>
  <si>
    <t>112.53</t>
  </si>
  <si>
    <t>113.08</t>
  </si>
  <si>
    <t>106.1</t>
  </si>
  <si>
    <t>108.29</t>
  </si>
  <si>
    <t>106.9</t>
  </si>
  <si>
    <t>110.34</t>
  </si>
  <si>
    <t>1.89</t>
  </si>
  <si>
    <t>101.56</t>
  </si>
  <si>
    <t>106.02</t>
  </si>
  <si>
    <t>104.52</t>
  </si>
  <si>
    <t>102.55</t>
  </si>
  <si>
    <t>105.53</t>
  </si>
  <si>
    <t>99.29</t>
  </si>
  <si>
    <t>101.31</t>
  </si>
  <si>
    <t>100.23</t>
  </si>
  <si>
    <t>99.68</t>
  </si>
  <si>
    <t>100.94</t>
  </si>
  <si>
    <t>0.664</t>
  </si>
  <si>
    <t>99.04</t>
  </si>
  <si>
    <t>99.92</t>
  </si>
  <si>
    <t>99.33</t>
  </si>
  <si>
    <t>99.18</t>
  </si>
  <si>
    <t>99.44</t>
  </si>
  <si>
    <t>65.63</t>
  </si>
  <si>
    <t>44.77</t>
  </si>
  <si>
    <t>84.93</t>
  </si>
  <si>
    <t>0.599</t>
  </si>
  <si>
    <t>11.64</t>
  </si>
  <si>
    <t>11.95</t>
  </si>
  <si>
    <t>11.94</t>
  </si>
  <si>
    <t>13.03</t>
  </si>
  <si>
    <t>11.71</t>
  </si>
  <si>
    <t>12.2</t>
  </si>
  <si>
    <t>11.87</t>
  </si>
  <si>
    <t>11.79</t>
  </si>
  <si>
    <t>12.07</t>
  </si>
  <si>
    <t>12.22</t>
  </si>
  <si>
    <t>12.93</t>
  </si>
  <si>
    <t>12.99</t>
  </si>
  <si>
    <t>12.36</t>
  </si>
  <si>
    <t>11.83</t>
  </si>
  <si>
    <t>11.69</t>
  </si>
  <si>
    <t>0.224</t>
  </si>
  <si>
    <t>0.051</t>
  </si>
  <si>
    <t>11.44</t>
  </si>
  <si>
    <t>11.45</t>
  </si>
  <si>
    <t>11.34</t>
  </si>
  <si>
    <t>11.31</t>
  </si>
  <si>
    <t>0.181</t>
  </si>
  <si>
    <t>11.19</t>
  </si>
  <si>
    <t>0.573</t>
  </si>
  <si>
    <t>11.25</t>
  </si>
  <si>
    <t>11.22</t>
  </si>
  <si>
    <t>11.04</t>
  </si>
  <si>
    <t>11.07</t>
  </si>
  <si>
    <t>11.23</t>
  </si>
  <si>
    <t>11.29</t>
  </si>
  <si>
    <t>11.28</t>
  </si>
  <si>
    <t>11.08</t>
  </si>
  <si>
    <t>15.71</t>
  </si>
  <si>
    <t>14.33</t>
  </si>
  <si>
    <t>16.22</t>
  </si>
  <si>
    <t>0.701</t>
  </si>
  <si>
    <t>14.83</t>
  </si>
  <si>
    <t>15.04</t>
  </si>
  <si>
    <t>15.01</t>
  </si>
  <si>
    <t>14.37</t>
  </si>
  <si>
    <t>14.65</t>
  </si>
  <si>
    <t>14.61</t>
  </si>
  <si>
    <t>15.23</t>
  </si>
  <si>
    <t>14.4</t>
  </si>
  <si>
    <t>14.9</t>
  </si>
  <si>
    <t>0.305</t>
  </si>
  <si>
    <t>14.5</t>
  </si>
  <si>
    <t>14.64</t>
  </si>
  <si>
    <t>14.81</t>
  </si>
  <si>
    <t>15.63</t>
  </si>
  <si>
    <t>15.72</t>
  </si>
  <si>
    <t>15.41</t>
  </si>
  <si>
    <t>0.124</t>
  </si>
  <si>
    <t>15.38</t>
  </si>
  <si>
    <t>16.12</t>
  </si>
  <si>
    <t>15.51</t>
  </si>
  <si>
    <t>16.01</t>
  </si>
  <si>
    <t>0.291</t>
  </si>
  <si>
    <t>15.45</t>
  </si>
  <si>
    <t>15.07</t>
  </si>
  <si>
    <t>15.25</t>
  </si>
  <si>
    <t>15.95</t>
  </si>
  <si>
    <t>0.427</t>
  </si>
  <si>
    <t>17.09</t>
  </si>
  <si>
    <t>16.68</t>
  </si>
  <si>
    <t>0.522</t>
  </si>
  <si>
    <t>15.9</t>
  </si>
  <si>
    <t>0.245</t>
  </si>
  <si>
    <t>0.292</t>
  </si>
  <si>
    <t>15.99</t>
  </si>
  <si>
    <t>15.11</t>
  </si>
  <si>
    <t>16.21</t>
  </si>
  <si>
    <t>16.66</t>
  </si>
  <si>
    <t>17.1</t>
  </si>
  <si>
    <t>16.1</t>
  </si>
  <si>
    <t>18.52</t>
  </si>
  <si>
    <t>0.986</t>
  </si>
  <si>
    <t>15.22</t>
  </si>
  <si>
    <t>15.3</t>
  </si>
  <si>
    <t>14.95</t>
  </si>
  <si>
    <t>14.38</t>
  </si>
  <si>
    <t>14.69</t>
  </si>
  <si>
    <t>14.28</t>
  </si>
  <si>
    <t>14.92</t>
  </si>
  <si>
    <t>0.316</t>
  </si>
  <si>
    <t>14.63</t>
  </si>
  <si>
    <t>14.72</t>
  </si>
  <si>
    <t>14.25</t>
  </si>
  <si>
    <t>0.137</t>
  </si>
  <si>
    <t>14.8</t>
  </si>
  <si>
    <t>14.78</t>
  </si>
  <si>
    <t>14.97</t>
  </si>
  <si>
    <t>15.46</t>
  </si>
  <si>
    <t>15.24</t>
  </si>
  <si>
    <t>0.274</t>
  </si>
  <si>
    <t>14.62</t>
  </si>
  <si>
    <t>14.26</t>
  </si>
  <si>
    <t>14.15</t>
  </si>
  <si>
    <t>14.34</t>
  </si>
  <si>
    <t>14.99</t>
  </si>
  <si>
    <t>14.76</t>
  </si>
  <si>
    <t>14.7</t>
  </si>
  <si>
    <t>0.176</t>
  </si>
  <si>
    <t>15.4</t>
  </si>
  <si>
    <t>0.926</t>
  </si>
  <si>
    <t>23.07</t>
  </si>
  <si>
    <t>21.66</t>
  </si>
  <si>
    <t>30.57</t>
  </si>
  <si>
    <t>27.07</t>
  </si>
  <si>
    <t>33.19</t>
  </si>
  <si>
    <t>33.4</t>
  </si>
  <si>
    <t>31.27</t>
  </si>
  <si>
    <t>30.96</t>
  </si>
  <si>
    <t>31.09</t>
  </si>
  <si>
    <t>32.56</t>
  </si>
  <si>
    <t>30.49</t>
  </si>
  <si>
    <t>29.91</t>
  </si>
  <si>
    <t>31.28</t>
  </si>
  <si>
    <t>0.974</t>
  </si>
  <si>
    <t>34.19</t>
  </si>
  <si>
    <t>33.32</t>
  </si>
  <si>
    <t>30.44</t>
  </si>
  <si>
    <t>33.31</t>
  </si>
  <si>
    <t>31.94</t>
  </si>
  <si>
    <t>29.81</t>
  </si>
  <si>
    <t>31.75</t>
  </si>
  <si>
    <t>30.41</t>
  </si>
  <si>
    <t>31.55</t>
  </si>
  <si>
    <t>0.659</t>
  </si>
  <si>
    <t>29.42</t>
  </si>
  <si>
    <t>31.35</t>
  </si>
  <si>
    <t>29.74</t>
  </si>
  <si>
    <t>29.54</t>
  </si>
  <si>
    <t>0.614</t>
  </si>
  <si>
    <t>29.52</t>
  </si>
  <si>
    <t>29.8</t>
  </si>
  <si>
    <t>29.71</t>
  </si>
  <si>
    <t>30.16</t>
  </si>
  <si>
    <t>29.23</t>
  </si>
  <si>
    <t>29.27</t>
  </si>
  <si>
    <t>32.4</t>
  </si>
  <si>
    <t>28.35</t>
  </si>
  <si>
    <t>28.07</t>
  </si>
  <si>
    <t>29.51</t>
  </si>
  <si>
    <t>32.97</t>
  </si>
  <si>
    <t>34.17</t>
  </si>
  <si>
    <t>33.69</t>
  </si>
  <si>
    <t>33.95</t>
  </si>
  <si>
    <t>31.65</t>
  </si>
  <si>
    <t>32.72</t>
  </si>
  <si>
    <t>31.82</t>
  </si>
  <si>
    <t>33.09</t>
  </si>
  <si>
    <t>0.667</t>
  </si>
  <si>
    <t>32.17</t>
  </si>
  <si>
    <t>33.64</t>
  </si>
  <si>
    <t>0.875</t>
  </si>
  <si>
    <t>37.61</t>
  </si>
  <si>
    <t>34.07</t>
  </si>
  <si>
    <t>35.76</t>
  </si>
  <si>
    <t>33.08</t>
  </si>
  <si>
    <t>30.7</t>
  </si>
  <si>
    <t>34.79</t>
  </si>
  <si>
    <t>34.22</t>
  </si>
  <si>
    <t>34.64</t>
  </si>
  <si>
    <t>33.67</t>
  </si>
  <si>
    <t>36.02</t>
  </si>
  <si>
    <t>35.35</t>
  </si>
  <si>
    <t>35.67</t>
  </si>
  <si>
    <t>0.762</t>
  </si>
  <si>
    <t>30.45</t>
  </si>
  <si>
    <t>40.88</t>
  </si>
  <si>
    <t>35.7</t>
  </si>
  <si>
    <t>32.44</t>
  </si>
  <si>
    <t>3.06</t>
  </si>
  <si>
    <t>29.08</t>
  </si>
  <si>
    <t>31.07</t>
  </si>
  <si>
    <t>32.58</t>
  </si>
  <si>
    <t>32.14</t>
  </si>
  <si>
    <t>32.51</t>
  </si>
  <si>
    <t>0.447</t>
  </si>
  <si>
    <t>33.27</t>
  </si>
  <si>
    <t>32.64</t>
  </si>
  <si>
    <t>32.88</t>
  </si>
  <si>
    <t>32.29</t>
  </si>
  <si>
    <t>32.36</t>
  </si>
  <si>
    <t>29.4</t>
  </si>
  <si>
    <t>29.31</t>
  </si>
  <si>
    <t>28.54</t>
  </si>
  <si>
    <t>28.24</t>
  </si>
  <si>
    <t>0.787</t>
  </si>
  <si>
    <t>28.08</t>
  </si>
  <si>
    <t>26.97</t>
  </si>
  <si>
    <t>30.83</t>
  </si>
  <si>
    <t>29.34</t>
  </si>
  <si>
    <t>36.04</t>
  </si>
  <si>
    <t>34.56</t>
  </si>
  <si>
    <t>33.49</t>
  </si>
  <si>
    <t>35.83</t>
  </si>
  <si>
    <t>38.2</t>
  </si>
  <si>
    <t>40.15</t>
  </si>
  <si>
    <t>41.85</t>
  </si>
  <si>
    <t>41.03</t>
  </si>
  <si>
    <t>40.58</t>
  </si>
  <si>
    <t>41.37</t>
  </si>
  <si>
    <t>0.477</t>
  </si>
  <si>
    <t>41.96</t>
  </si>
  <si>
    <t>43.15</t>
  </si>
  <si>
    <t>42.68</t>
  </si>
  <si>
    <t>0.327</t>
  </si>
  <si>
    <t>43.73</t>
  </si>
  <si>
    <t>43.41</t>
  </si>
  <si>
    <t>43.16</t>
  </si>
  <si>
    <t>43.61</t>
  </si>
  <si>
    <t>0.246</t>
  </si>
  <si>
    <t>42.67</t>
  </si>
  <si>
    <t>43.21</t>
  </si>
  <si>
    <t>42.79</t>
  </si>
  <si>
    <t>43.52</t>
  </si>
  <si>
    <t>0.335</t>
  </si>
  <si>
    <t>43.39</t>
  </si>
  <si>
    <t>43.24</t>
  </si>
  <si>
    <t>43.45</t>
  </si>
  <si>
    <t>45.77</t>
  </si>
  <si>
    <t>44.1</t>
  </si>
  <si>
    <t>45.26</t>
  </si>
  <si>
    <t>44.54</t>
  </si>
  <si>
    <t>45.56</t>
  </si>
  <si>
    <t>44.83</t>
  </si>
  <si>
    <t>45.1</t>
  </si>
  <si>
    <t>43.17</t>
  </si>
  <si>
    <t>43.4</t>
  </si>
  <si>
    <t>43.27</t>
  </si>
  <si>
    <t>44.4</t>
  </si>
  <si>
    <t>43.86</t>
  </si>
  <si>
    <t>43.69</t>
  </si>
  <si>
    <t>44.58</t>
  </si>
  <si>
    <t>44.17</t>
  </si>
  <si>
    <t>44.38</t>
  </si>
  <si>
    <t>44.35</t>
  </si>
  <si>
    <t>45.06</t>
  </si>
  <si>
    <t>44.75</t>
  </si>
  <si>
    <t>44.65</t>
  </si>
  <si>
    <t>44.81</t>
  </si>
  <si>
    <t>43.33</t>
  </si>
  <si>
    <t>44.96</t>
  </si>
  <si>
    <t>43.8</t>
  </si>
  <si>
    <t>43.54</t>
  </si>
  <si>
    <t>43.65</t>
  </si>
  <si>
    <t>44.73</t>
  </si>
  <si>
    <t>44.19</t>
  </si>
  <si>
    <t>43.98</t>
  </si>
  <si>
    <t>0.307</t>
  </si>
  <si>
    <t>42.42</t>
  </si>
  <si>
    <t>42.04</t>
  </si>
  <si>
    <t>42.27</t>
  </si>
  <si>
    <t>42.18</t>
  </si>
  <si>
    <t>42.09</t>
  </si>
  <si>
    <t>42.23</t>
  </si>
  <si>
    <t>15.2</t>
  </si>
  <si>
    <t>12.43</t>
  </si>
  <si>
    <t>12.84</t>
  </si>
  <si>
    <t>0.889</t>
  </si>
  <si>
    <t>22.77</t>
  </si>
  <si>
    <t>0.439</t>
  </si>
  <si>
    <t>20.72</t>
  </si>
  <si>
    <t>0.217</t>
  </si>
  <si>
    <t>20.8</t>
  </si>
  <si>
    <t>0.267</t>
  </si>
  <si>
    <t>0.997</t>
  </si>
  <si>
    <t>16.61</t>
  </si>
  <si>
    <t>0.644</t>
  </si>
  <si>
    <t>15.94</t>
  </si>
  <si>
    <t>13.9</t>
  </si>
  <si>
    <t>13.62</t>
  </si>
  <si>
    <t>13.78</t>
  </si>
  <si>
    <t>13.7</t>
  </si>
  <si>
    <t>14.93</t>
  </si>
  <si>
    <t>21.85</t>
  </si>
  <si>
    <t>21.78</t>
  </si>
  <si>
    <t>27.92</t>
  </si>
  <si>
    <t>28.52</t>
  </si>
  <si>
    <t>28.01</t>
  </si>
  <si>
    <t>28.12</t>
  </si>
  <si>
    <t>27.34</t>
  </si>
  <si>
    <t>23.35</t>
  </si>
  <si>
    <t>23.43</t>
  </si>
  <si>
    <t>0.243</t>
  </si>
  <si>
    <t>31.48</t>
  </si>
  <si>
    <t>25.94</t>
  </si>
  <si>
    <t>24.78</t>
  </si>
  <si>
    <t>30.93</t>
  </si>
  <si>
    <t>30.08</t>
  </si>
  <si>
    <t>34.97</t>
  </si>
  <si>
    <t>30.56</t>
  </si>
  <si>
    <t>32.81</t>
  </si>
  <si>
    <t>35.31</t>
  </si>
  <si>
    <t>37.89</t>
  </si>
  <si>
    <t>36.52</t>
  </si>
  <si>
    <t>39.42</t>
  </si>
  <si>
    <t>2.28</t>
  </si>
  <si>
    <t>47.98</t>
  </si>
  <si>
    <t>45.73</t>
  </si>
  <si>
    <t>35.08</t>
  </si>
  <si>
    <t>17.91</t>
  </si>
  <si>
    <t>0.861</t>
  </si>
  <si>
    <t>11.3</t>
  </si>
  <si>
    <t>10.43</t>
  </si>
  <si>
    <t>11.86</t>
  </si>
  <si>
    <t>5.34</t>
  </si>
  <si>
    <t>5.16</t>
  </si>
  <si>
    <t>66.55</t>
  </si>
  <si>
    <t>71.98</t>
  </si>
  <si>
    <t>132.83</t>
  </si>
  <si>
    <t>124.18</t>
  </si>
  <si>
    <t>130.28</t>
  </si>
  <si>
    <t>130.31</t>
  </si>
  <si>
    <t>100.1</t>
  </si>
  <si>
    <t>115.46</t>
  </si>
  <si>
    <t>103.15</t>
  </si>
  <si>
    <t>137.56</t>
  </si>
  <si>
    <t>135.76</t>
  </si>
  <si>
    <t>118.88</t>
  </si>
  <si>
    <t>137.1</t>
  </si>
  <si>
    <t>132.77</t>
  </si>
  <si>
    <t>134.12</t>
  </si>
  <si>
    <t>132.96</t>
  </si>
  <si>
    <t>135.85</t>
  </si>
  <si>
    <t>131.83</t>
  </si>
  <si>
    <t>132.94</t>
  </si>
  <si>
    <t>132.25</t>
  </si>
  <si>
    <t>131.99</t>
  </si>
  <si>
    <t>132.51</t>
  </si>
  <si>
    <t>0.302</t>
  </si>
  <si>
    <t>122.38</t>
  </si>
  <si>
    <t>131.6</t>
  </si>
  <si>
    <t>129.01</t>
  </si>
  <si>
    <t>125.13</t>
  </si>
  <si>
    <t>130.91</t>
  </si>
  <si>
    <t>17.23</t>
  </si>
  <si>
    <t>117.19</t>
  </si>
  <si>
    <t>66.16</t>
  </si>
  <si>
    <t>91.7</t>
  </si>
  <si>
    <t>0.956</t>
  </si>
  <si>
    <t>23.37</t>
  </si>
  <si>
    <t>23.4</t>
  </si>
  <si>
    <t>10.14</t>
  </si>
  <si>
    <t>14.68</t>
  </si>
  <si>
    <t>5.04</t>
  </si>
  <si>
    <t>17.32</t>
  </si>
  <si>
    <t>2.58</t>
  </si>
  <si>
    <t>36.44</t>
  </si>
  <si>
    <t>36.17</t>
  </si>
  <si>
    <t>7.29</t>
  </si>
  <si>
    <t>17.51</t>
  </si>
  <si>
    <t>31.38</t>
  </si>
  <si>
    <t>29.41</t>
  </si>
  <si>
    <t>8.3</t>
  </si>
  <si>
    <t>5.79</t>
  </si>
  <si>
    <t>14.86</t>
  </si>
  <si>
    <t>24.95</t>
  </si>
  <si>
    <t>24.09</t>
  </si>
  <si>
    <t>17.86</t>
  </si>
  <si>
    <t>12.55</t>
  </si>
  <si>
    <t>10.1</t>
  </si>
  <si>
    <t>32.38</t>
  </si>
  <si>
    <t>30.24</t>
  </si>
  <si>
    <t>4.75</t>
  </si>
  <si>
    <t>3.19</t>
  </si>
  <si>
    <t>5.27</t>
  </si>
  <si>
    <t>2.5</t>
  </si>
  <si>
    <t>19.22</t>
  </si>
  <si>
    <t>18.36</t>
  </si>
  <si>
    <t>8.73</t>
  </si>
  <si>
    <t>4.08</t>
  </si>
  <si>
    <t>24.45</t>
  </si>
  <si>
    <t>47.27</t>
  </si>
  <si>
    <t>44.16</t>
  </si>
  <si>
    <t>44.29</t>
  </si>
  <si>
    <t>42.02</t>
  </si>
  <si>
    <t>22.66</t>
  </si>
  <si>
    <t>29.7</t>
  </si>
  <si>
    <t>3.33</t>
  </si>
  <si>
    <t>9.63</t>
  </si>
  <si>
    <t>8.44</t>
  </si>
  <si>
    <t>8.85</t>
  </si>
  <si>
    <t>17.52</t>
  </si>
  <si>
    <t>0.132</t>
  </si>
  <si>
    <t>8.75</t>
  </si>
  <si>
    <t>28.94</t>
  </si>
  <si>
    <t>11.27</t>
  </si>
  <si>
    <t>10.6</t>
  </si>
  <si>
    <t>10.87</t>
  </si>
  <si>
    <t>3.02</t>
  </si>
  <si>
    <t>10.95</t>
  </si>
  <si>
    <t>8.11</t>
  </si>
  <si>
    <t>8.17</t>
  </si>
  <si>
    <t>6.04</t>
  </si>
  <si>
    <t>6.12</t>
  </si>
  <si>
    <t>11.12</t>
  </si>
  <si>
    <t>0.331</t>
  </si>
  <si>
    <t>12.47</t>
  </si>
  <si>
    <t>14.45</t>
  </si>
  <si>
    <t>13.11</t>
  </si>
  <si>
    <t>11.91</t>
  </si>
  <si>
    <t>15.62</t>
  </si>
  <si>
    <t>0.737</t>
  </si>
  <si>
    <t>15.56</t>
  </si>
  <si>
    <t>15.58</t>
  </si>
  <si>
    <t>13.39</t>
  </si>
  <si>
    <t>17.19</t>
  </si>
  <si>
    <t>0.691</t>
  </si>
  <si>
    <t>22.79</t>
  </si>
  <si>
    <t>7.23</t>
  </si>
  <si>
    <t>9.21</t>
  </si>
  <si>
    <t>7.38</t>
  </si>
  <si>
    <t>7.46</t>
  </si>
  <si>
    <t>5.85</t>
  </si>
  <si>
    <t>7.42</t>
  </si>
  <si>
    <t>11.57</t>
  </si>
  <si>
    <t>6.85</t>
  </si>
  <si>
    <t>7.04</t>
  </si>
  <si>
    <t>2.65</t>
  </si>
  <si>
    <t>7.44</t>
  </si>
  <si>
    <t>15.98</t>
  </si>
  <si>
    <t>5.38</t>
  </si>
  <si>
    <t>17.07</t>
  </si>
  <si>
    <t>16.63</t>
  </si>
  <si>
    <t>16.96</t>
  </si>
  <si>
    <t>19.5</t>
  </si>
  <si>
    <t>27.94</t>
  </si>
  <si>
    <t>18.43</t>
  </si>
  <si>
    <t>19.54</t>
  </si>
  <si>
    <t>20.41</t>
  </si>
  <si>
    <t>22.16</t>
  </si>
  <si>
    <t>15.84</t>
  </si>
  <si>
    <t>24.27</t>
  </si>
  <si>
    <t>25.46</t>
  </si>
  <si>
    <t>25.16</t>
  </si>
  <si>
    <t>23.96</t>
  </si>
  <si>
    <t>6.87</t>
  </si>
  <si>
    <t>24.23</t>
  </si>
  <si>
    <t>6.97</t>
  </si>
  <si>
    <t>23.12</t>
  </si>
  <si>
    <t>17.72</t>
  </si>
  <si>
    <t>21.63</t>
  </si>
  <si>
    <t>24.43</t>
  </si>
  <si>
    <t>37.94</t>
  </si>
  <si>
    <t>20.84</t>
  </si>
  <si>
    <t>20.49</t>
  </si>
  <si>
    <t>29.5</t>
  </si>
  <si>
    <t>47.33</t>
  </si>
  <si>
    <t>36.27</t>
  </si>
  <si>
    <t>4.76</t>
  </si>
  <si>
    <t>6.64</t>
  </si>
  <si>
    <t>17.02</t>
  </si>
  <si>
    <t>11.36</t>
  </si>
  <si>
    <t>0.552</t>
  </si>
  <si>
    <t>19.72</t>
  </si>
  <si>
    <t>20.6</t>
  </si>
  <si>
    <t>5.24</t>
  </si>
  <si>
    <t>7.86</t>
  </si>
  <si>
    <t>24.76</t>
  </si>
  <si>
    <t>19.52</t>
  </si>
  <si>
    <t>19.46</t>
  </si>
  <si>
    <t>0.876</t>
  </si>
  <si>
    <t>4.58</t>
  </si>
  <si>
    <t>25.55</t>
  </si>
  <si>
    <t>20.05</t>
  </si>
  <si>
    <t>24.88</t>
  </si>
  <si>
    <t>27.77</t>
  </si>
  <si>
    <t>22.26</t>
  </si>
  <si>
    <t>17.69</t>
  </si>
  <si>
    <t>17.2</t>
  </si>
  <si>
    <t>0.456</t>
  </si>
  <si>
    <t>41.6</t>
  </si>
  <si>
    <t>39.58</t>
  </si>
  <si>
    <t>11.32</t>
  </si>
  <si>
    <t>10.88</t>
  </si>
  <si>
    <t>20.67</t>
  </si>
  <si>
    <t>8.36</t>
  </si>
  <si>
    <t>15.82</t>
  </si>
  <si>
    <t>11.61</t>
  </si>
  <si>
    <t>18.73</t>
  </si>
  <si>
    <t>0.855</t>
  </si>
  <si>
    <t>22.59</t>
  </si>
  <si>
    <t>22.91</t>
  </si>
  <si>
    <t>0.716</t>
  </si>
  <si>
    <t>21.84</t>
  </si>
  <si>
    <t>30.07</t>
  </si>
  <si>
    <t>30.64</t>
  </si>
  <si>
    <t>34.89</t>
  </si>
  <si>
    <t>27.55</t>
  </si>
  <si>
    <t>24.41</t>
  </si>
  <si>
    <t>0.851</t>
  </si>
  <si>
    <t>25.27</t>
  </si>
  <si>
    <t>24.15</t>
  </si>
  <si>
    <t>23.9</t>
  </si>
  <si>
    <t>0.577</t>
  </si>
  <si>
    <t>28.45</t>
  </si>
  <si>
    <t>31.69</t>
  </si>
  <si>
    <t>32.42</t>
  </si>
  <si>
    <t>28.44</t>
  </si>
  <si>
    <t>29.61</t>
  </si>
  <si>
    <t>22.53</t>
  </si>
  <si>
    <t>18.37</t>
  </si>
  <si>
    <t>0.651</t>
  </si>
  <si>
    <t>18.78</t>
  </si>
  <si>
    <t>20.28</t>
  </si>
  <si>
    <t>0.534</t>
  </si>
  <si>
    <t>24.46</t>
  </si>
  <si>
    <t>27.28</t>
  </si>
  <si>
    <t>24.66</t>
  </si>
  <si>
    <t>0.902</t>
  </si>
  <si>
    <t>19.13</t>
  </si>
  <si>
    <t>19.82</t>
  </si>
  <si>
    <t>18.94</t>
  </si>
  <si>
    <t>0.479</t>
  </si>
  <si>
    <t>14.51</t>
  </si>
  <si>
    <t>14.09</t>
  </si>
  <si>
    <t>10.97</t>
  </si>
  <si>
    <t>0.344</t>
  </si>
  <si>
    <t>15.76</t>
  </si>
  <si>
    <t>16.95</t>
  </si>
  <si>
    <t>19.2</t>
  </si>
  <si>
    <t>15.68</t>
  </si>
  <si>
    <t>15.16</t>
  </si>
  <si>
    <t>9.59</t>
  </si>
  <si>
    <t>0.467</t>
  </si>
  <si>
    <t>10.64</t>
  </si>
  <si>
    <t>11.89</t>
  </si>
  <si>
    <t>11.46</t>
  </si>
  <si>
    <t>0.507</t>
  </si>
  <si>
    <t>0.538</t>
  </si>
  <si>
    <t>0.118</t>
  </si>
  <si>
    <t>12.26</t>
  </si>
  <si>
    <t>36.9</t>
  </si>
  <si>
    <t>29.17</t>
  </si>
  <si>
    <t>17.95</t>
  </si>
  <si>
    <t>15.49</t>
  </si>
  <si>
    <t>19.59</t>
  </si>
  <si>
    <t>0.628</t>
  </si>
  <si>
    <t>18.84</t>
  </si>
  <si>
    <t>35.61</t>
  </si>
  <si>
    <t>34.54</t>
  </si>
  <si>
    <t>2.89</t>
  </si>
  <si>
    <t>19.95</t>
  </si>
  <si>
    <t>10.05</t>
  </si>
  <si>
    <t>23.45</t>
  </si>
  <si>
    <t>13.63</t>
  </si>
  <si>
    <t>10.09</t>
  </si>
  <si>
    <t>13.22</t>
  </si>
  <si>
    <t>0.999</t>
  </si>
  <si>
    <t>1.88</t>
  </si>
  <si>
    <t>0.959</t>
  </si>
  <si>
    <t>2.04</t>
  </si>
  <si>
    <t>32.54</t>
  </si>
  <si>
    <t>19.45</t>
  </si>
  <si>
    <t>66.52</t>
  </si>
  <si>
    <t>12.08</t>
  </si>
  <si>
    <t>66.98</t>
  </si>
  <si>
    <t>29.6</t>
  </si>
  <si>
    <t>29.96</t>
  </si>
  <si>
    <t>29.73</t>
  </si>
  <si>
    <t>29.9</t>
  </si>
  <si>
    <t>0.672</t>
  </si>
  <si>
    <t>0.472</t>
  </si>
  <si>
    <t>11.39</t>
  </si>
  <si>
    <t>10.8</t>
  </si>
  <si>
    <t>0.767</t>
  </si>
  <si>
    <t>0.508</t>
  </si>
  <si>
    <t>0.966</t>
  </si>
  <si>
    <t>18.02</t>
  </si>
  <si>
    <t>19.93</t>
  </si>
  <si>
    <t>12.91</t>
  </si>
  <si>
    <t>31.98</t>
  </si>
  <si>
    <t>29.46</t>
  </si>
  <si>
    <t>27.16</t>
  </si>
  <si>
    <t>20.43</t>
  </si>
  <si>
    <t>22.07</t>
  </si>
  <si>
    <t>17.36</t>
  </si>
  <si>
    <t>32.08</t>
  </si>
  <si>
    <t>29.48</t>
  </si>
  <si>
    <t>27.99</t>
  </si>
  <si>
    <t>32.9</t>
  </si>
  <si>
    <t>31.45</t>
  </si>
  <si>
    <t>32.45</t>
  </si>
  <si>
    <t>28.02</t>
  </si>
  <si>
    <t>33.25</t>
  </si>
  <si>
    <t>24.37</t>
  </si>
  <si>
    <t>0.964</t>
  </si>
  <si>
    <t>24.04</t>
  </si>
  <si>
    <t>22.9</t>
  </si>
  <si>
    <t>0.695</t>
  </si>
  <si>
    <t>30.62</t>
  </si>
  <si>
    <t>36.06</t>
  </si>
  <si>
    <t>37.38</t>
  </si>
  <si>
    <t>35.71</t>
  </si>
  <si>
    <t>36.45</t>
  </si>
  <si>
    <t>39.92</t>
  </si>
  <si>
    <t>36.2</t>
  </si>
  <si>
    <t>34.95</t>
  </si>
  <si>
    <t>36.29</t>
  </si>
  <si>
    <t>33.75</t>
  </si>
  <si>
    <t>35.27</t>
  </si>
  <si>
    <t>46.46</t>
  </si>
  <si>
    <t>35.14</t>
  </si>
  <si>
    <t>43.28</t>
  </si>
  <si>
    <t>32.04</t>
  </si>
  <si>
    <t>47.19</t>
  </si>
  <si>
    <t>46.32</t>
  </si>
  <si>
    <t>28.2</t>
  </si>
  <si>
    <t>29.67</t>
  </si>
  <si>
    <t>30.22</t>
  </si>
  <si>
    <t>28.95</t>
  </si>
  <si>
    <t>31.68</t>
  </si>
  <si>
    <t>37.4</t>
  </si>
  <si>
    <t>31.04</t>
  </si>
  <si>
    <t>35.46</t>
  </si>
  <si>
    <t>38.63</t>
  </si>
  <si>
    <t>39.6</t>
  </si>
  <si>
    <t>30.55</t>
  </si>
  <si>
    <t>42.4</t>
  </si>
  <si>
    <t>31.52</t>
  </si>
  <si>
    <t>28.47</t>
  </si>
  <si>
    <t>30.46</t>
  </si>
  <si>
    <t>30.74</t>
  </si>
  <si>
    <t>28.57</t>
  </si>
  <si>
    <t>31.91</t>
  </si>
  <si>
    <t>23.3</t>
  </si>
  <si>
    <t>29.85</t>
  </si>
  <si>
    <t>25.95</t>
  </si>
  <si>
    <t>29.11</t>
  </si>
  <si>
    <t>30.94</t>
  </si>
  <si>
    <t>28.93</t>
  </si>
  <si>
    <t>0.836</t>
  </si>
  <si>
    <t>28.34</t>
  </si>
  <si>
    <t>30.02</t>
  </si>
  <si>
    <t>29.32</t>
  </si>
  <si>
    <t>0.995</t>
  </si>
  <si>
    <t>30.28</t>
  </si>
  <si>
    <t>40.96</t>
  </si>
  <si>
    <t>40.19</t>
  </si>
  <si>
    <t>2.63</t>
  </si>
  <si>
    <t>38.67</t>
  </si>
  <si>
    <t>31.79</t>
  </si>
  <si>
    <t>37.29</t>
  </si>
  <si>
    <t>47.94</t>
  </si>
  <si>
    <t>44.45</t>
  </si>
  <si>
    <t>46.78</t>
  </si>
  <si>
    <t>36.61</t>
  </si>
  <si>
    <t>53.85</t>
  </si>
  <si>
    <t>50.93</t>
  </si>
  <si>
    <t>30.65</t>
  </si>
  <si>
    <t>37.21</t>
  </si>
  <si>
    <t>33.26</t>
  </si>
  <si>
    <t>32.93</t>
  </si>
  <si>
    <t>0.987</t>
  </si>
  <si>
    <t>19.47</t>
  </si>
  <si>
    <t>0.393</t>
  </si>
  <si>
    <t>22.3</t>
  </si>
  <si>
    <t>24.65</t>
  </si>
  <si>
    <t>16.76</t>
  </si>
  <si>
    <t>18.89</t>
  </si>
  <si>
    <t>24.32</t>
  </si>
  <si>
    <t>11.96</t>
  </si>
  <si>
    <t>1.86</t>
  </si>
  <si>
    <t>16.72</t>
  </si>
  <si>
    <t>0.971</t>
  </si>
  <si>
    <t>27.88</t>
  </si>
  <si>
    <t>0.683</t>
  </si>
  <si>
    <t>25.09</t>
  </si>
  <si>
    <t>22.57</t>
  </si>
  <si>
    <t>20.86</t>
  </si>
  <si>
    <t>0.781</t>
  </si>
  <si>
    <t>0.674</t>
  </si>
  <si>
    <t>0.709</t>
  </si>
  <si>
    <t>19.43</t>
  </si>
  <si>
    <t>18.34</t>
  </si>
  <si>
    <t>19.34</t>
  </si>
  <si>
    <t>18.41</t>
  </si>
  <si>
    <t>0.827</t>
  </si>
  <si>
    <t>26.11</t>
  </si>
  <si>
    <t>0.983</t>
  </si>
  <si>
    <t>0.407</t>
  </si>
  <si>
    <t>17.62</t>
  </si>
  <si>
    <t>23.52</t>
  </si>
  <si>
    <t>25.17</t>
  </si>
  <si>
    <t>11.53</t>
  </si>
  <si>
    <t>11.51</t>
  </si>
  <si>
    <t>11.88</t>
  </si>
  <si>
    <t>0.568</t>
  </si>
  <si>
    <t>0.912</t>
  </si>
  <si>
    <t>0.627</t>
  </si>
  <si>
    <t>0.349</t>
  </si>
  <si>
    <t>14.11</t>
  </si>
  <si>
    <t>0.575</t>
  </si>
  <si>
    <t>11.05</t>
  </si>
  <si>
    <t>0.423</t>
  </si>
  <si>
    <t>23.16</t>
  </si>
  <si>
    <t>0.496</t>
  </si>
  <si>
    <t>29.06</t>
  </si>
  <si>
    <t>32.11</t>
  </si>
  <si>
    <t>30.67</t>
  </si>
  <si>
    <t>29.47</t>
  </si>
  <si>
    <t>29.76</t>
  </si>
  <si>
    <t>27.84</t>
  </si>
  <si>
    <t>0.669</t>
  </si>
  <si>
    <t>22.84</t>
  </si>
  <si>
    <t>0.797</t>
  </si>
  <si>
    <t>15.03</t>
  </si>
  <si>
    <t>9.97</t>
  </si>
  <si>
    <t>2.07</t>
  </si>
  <si>
    <t>9.84</t>
  </si>
  <si>
    <t>13.74</t>
  </si>
  <si>
    <t>0.662</t>
  </si>
  <si>
    <t>0.649</t>
  </si>
  <si>
    <t>0.686</t>
  </si>
  <si>
    <t>15.36</t>
  </si>
  <si>
    <t>19.18</t>
  </si>
  <si>
    <t>16.7</t>
  </si>
  <si>
    <t>38.33</t>
  </si>
  <si>
    <t>35.21</t>
  </si>
  <si>
    <t>37.09</t>
  </si>
  <si>
    <t>22.63</t>
  </si>
  <si>
    <t>21.53</t>
  </si>
  <si>
    <t>0.719</t>
  </si>
  <si>
    <t>0.412</t>
  </si>
  <si>
    <t>33.59</t>
  </si>
  <si>
    <t>27.64</t>
  </si>
  <si>
    <t>29.29</t>
  </si>
  <si>
    <t>50.46</t>
  </si>
  <si>
    <t>58.75</t>
  </si>
  <si>
    <t>54.47</t>
  </si>
  <si>
    <t>53.56</t>
  </si>
  <si>
    <t>57.02</t>
  </si>
  <si>
    <t>53.4</t>
  </si>
  <si>
    <t>60.81</t>
  </si>
  <si>
    <t>60.19</t>
  </si>
  <si>
    <t>57.92</t>
  </si>
  <si>
    <t>60.56</t>
  </si>
  <si>
    <t>58.92</t>
  </si>
  <si>
    <t>66.04</t>
  </si>
  <si>
    <t>62.07</t>
  </si>
  <si>
    <t>60.74</t>
  </si>
  <si>
    <t>64.89</t>
  </si>
  <si>
    <t>50.9</t>
  </si>
  <si>
    <t>63.6</t>
  </si>
  <si>
    <t>55.8</t>
  </si>
  <si>
    <t>52.38</t>
  </si>
  <si>
    <t>60.65</t>
  </si>
  <si>
    <t>48.94</t>
  </si>
  <si>
    <t>41.44</t>
  </si>
  <si>
    <t>53.07</t>
  </si>
  <si>
    <t>19.17</t>
  </si>
  <si>
    <t>0.849</t>
  </si>
  <si>
    <t>30.89</t>
  </si>
  <si>
    <t>31.95</t>
  </si>
  <si>
    <t>6.81</t>
  </si>
  <si>
    <t>0.984</t>
  </si>
  <si>
    <t>6.55</t>
  </si>
  <si>
    <t>5.71</t>
  </si>
  <si>
    <t>5.47</t>
  </si>
  <si>
    <t>0.453</t>
  </si>
  <si>
    <t>7.69</t>
  </si>
  <si>
    <t>7.09</t>
  </si>
  <si>
    <t>9.66</t>
  </si>
  <si>
    <t>16.28</t>
  </si>
  <si>
    <t>7.22</t>
  </si>
  <si>
    <t>2.05</t>
  </si>
  <si>
    <t>23.06</t>
  </si>
  <si>
    <t>7.72</t>
  </si>
  <si>
    <t>8.89</t>
  </si>
  <si>
    <t>29.25</t>
  </si>
  <si>
    <t>26.24</t>
  </si>
  <si>
    <t>23.61</t>
  </si>
  <si>
    <t>0.487</t>
  </si>
  <si>
    <t>19.02</t>
  </si>
  <si>
    <t>15.39</t>
  </si>
  <si>
    <t>0.593</t>
  </si>
  <si>
    <t>23.24</t>
  </si>
  <si>
    <t>20.39</t>
  </si>
  <si>
    <t>23.41</t>
  </si>
  <si>
    <t>17.68</t>
  </si>
  <si>
    <t>20.37</t>
  </si>
  <si>
    <t>5.15</t>
  </si>
  <si>
    <t>5.17</t>
  </si>
  <si>
    <t>5.46</t>
  </si>
  <si>
    <t>3.52</t>
  </si>
  <si>
    <t>22.14</t>
  </si>
  <si>
    <t>21.28</t>
  </si>
  <si>
    <t>9.14</t>
  </si>
  <si>
    <t>0.391</t>
  </si>
  <si>
    <t>10.41</t>
  </si>
  <si>
    <t>0.449</t>
  </si>
  <si>
    <t>18.09</t>
  </si>
  <si>
    <t>0.996</t>
  </si>
  <si>
    <t>18.27</t>
  </si>
  <si>
    <t>25.87</t>
  </si>
  <si>
    <t>8.52</t>
  </si>
  <si>
    <t>0.361</t>
  </si>
  <si>
    <t>27.53</t>
  </si>
  <si>
    <t>29.02</t>
  </si>
  <si>
    <t>26.82</t>
  </si>
  <si>
    <t>10.78</t>
  </si>
  <si>
    <t>0.904</t>
  </si>
  <si>
    <t>31.13</t>
  </si>
  <si>
    <t>29.13</t>
  </si>
  <si>
    <t>0.582</t>
  </si>
  <si>
    <t>29.05</t>
  </si>
  <si>
    <t>24.64</t>
  </si>
  <si>
    <t>18.88</t>
  </si>
  <si>
    <t>1.94</t>
  </si>
  <si>
    <t>29.92</t>
  </si>
  <si>
    <t>0.688</t>
  </si>
  <si>
    <t>0.591</t>
  </si>
  <si>
    <t>26.34</t>
  </si>
  <si>
    <t>0.775</t>
  </si>
  <si>
    <t>22.72</t>
  </si>
  <si>
    <t>26.58</t>
  </si>
  <si>
    <t>40.4</t>
  </si>
  <si>
    <t>48.48</t>
  </si>
  <si>
    <t>43.77</t>
  </si>
  <si>
    <t>41.23</t>
  </si>
  <si>
    <t>12.03</t>
  </si>
  <si>
    <t>26.2</t>
  </si>
  <si>
    <t>27.13</t>
  </si>
  <si>
    <t>42.5</t>
  </si>
  <si>
    <t>40.25</t>
  </si>
  <si>
    <t>19.7</t>
  </si>
  <si>
    <t>22.74</t>
  </si>
  <si>
    <t>45.67</t>
  </si>
  <si>
    <t>37.5</t>
  </si>
  <si>
    <t>20.42</t>
  </si>
  <si>
    <t>46.12</t>
  </si>
  <si>
    <t>24.77</t>
  </si>
  <si>
    <t>20.12</t>
  </si>
  <si>
    <t>7.43</t>
  </si>
  <si>
    <t>37.85</t>
  </si>
  <si>
    <t>28.63</t>
  </si>
  <si>
    <t>49.06</t>
  </si>
  <si>
    <t>42.49</t>
  </si>
  <si>
    <t>48.04</t>
  </si>
  <si>
    <t>0.913</t>
  </si>
  <si>
    <t>45.8</t>
  </si>
  <si>
    <t>34.83</t>
  </si>
  <si>
    <t>57.29</t>
  </si>
  <si>
    <t>46.09</t>
  </si>
  <si>
    <t>54.94</t>
  </si>
  <si>
    <t>8.63</t>
  </si>
  <si>
    <t>28.36</t>
  </si>
  <si>
    <t>29.62</t>
  </si>
  <si>
    <t>34.38</t>
  </si>
  <si>
    <t>33.18</t>
  </si>
  <si>
    <t>24.71</t>
  </si>
  <si>
    <t>26.68</t>
  </si>
  <si>
    <t>25.98</t>
  </si>
  <si>
    <t>29.38</t>
  </si>
  <si>
    <t>29.3</t>
  </si>
  <si>
    <t>34.4</t>
  </si>
  <si>
    <t>31.51</t>
  </si>
  <si>
    <t>33.7</t>
  </si>
  <si>
    <t>23.05</t>
  </si>
  <si>
    <t>23.72</t>
  </si>
  <si>
    <t>23.26</t>
  </si>
  <si>
    <t>3.87</t>
  </si>
  <si>
    <t>25.61</t>
  </si>
  <si>
    <t>1.48</t>
  </si>
  <si>
    <t>6.9</t>
  </si>
  <si>
    <t>4.84</t>
  </si>
  <si>
    <t>3.22</t>
  </si>
  <si>
    <t>26.47</t>
  </si>
  <si>
    <t>30.9</t>
  </si>
  <si>
    <t>27.61</t>
  </si>
  <si>
    <t>30.35</t>
  </si>
  <si>
    <t>30.11</t>
  </si>
  <si>
    <t>20.03</t>
  </si>
  <si>
    <t>11.63</t>
  </si>
  <si>
    <t>8.34</t>
  </si>
  <si>
    <t>2.92</t>
  </si>
  <si>
    <t>46.29</t>
  </si>
  <si>
    <t>34.63</t>
  </si>
  <si>
    <t>44.88</t>
  </si>
  <si>
    <t>23.63</t>
  </si>
  <si>
    <t>32.76</t>
  </si>
  <si>
    <t>3.32</t>
  </si>
  <si>
    <t>1.75</t>
  </si>
  <si>
    <t>8.19</t>
  </si>
  <si>
    <t>3.36</t>
  </si>
  <si>
    <t>47.47</t>
  </si>
  <si>
    <t>40.44</t>
  </si>
  <si>
    <t>51.52</t>
  </si>
  <si>
    <t>29.98</t>
  </si>
  <si>
    <t>3.46</t>
  </si>
  <si>
    <t>8.8</t>
  </si>
  <si>
    <t>12.61</t>
  </si>
  <si>
    <t>29.83</t>
  </si>
  <si>
    <t>8.42</t>
  </si>
  <si>
    <t>31.77</t>
  </si>
  <si>
    <t>56.67</t>
  </si>
  <si>
    <t>36.11</t>
  </si>
  <si>
    <t>50.2</t>
  </si>
  <si>
    <t>23.27</t>
  </si>
  <si>
    <t>18.51</t>
  </si>
  <si>
    <t>42.59</t>
  </si>
  <si>
    <t>42.85</t>
  </si>
  <si>
    <t>0.225</t>
  </si>
  <si>
    <t>40.53</t>
  </si>
  <si>
    <t>32.19</t>
  </si>
  <si>
    <t>33.71</t>
  </si>
  <si>
    <t>32.77</t>
  </si>
  <si>
    <t>29.24</t>
  </si>
  <si>
    <t>24.03</t>
  </si>
  <si>
    <t>0.788</t>
  </si>
  <si>
    <t>23.8</t>
  </si>
  <si>
    <t>4.98</t>
  </si>
  <si>
    <t>55.12</t>
  </si>
  <si>
    <t>47.97</t>
  </si>
  <si>
    <t>54.27</t>
  </si>
  <si>
    <t>41.2</t>
  </si>
  <si>
    <t>49.91</t>
  </si>
  <si>
    <t>14.57</t>
  </si>
  <si>
    <t>0.976</t>
  </si>
  <si>
    <t>3.29</t>
  </si>
  <si>
    <t>7.94</t>
  </si>
  <si>
    <t>0.942</t>
  </si>
  <si>
    <t>31.88</t>
  </si>
  <si>
    <t>9.07</t>
  </si>
  <si>
    <t>8.57</t>
  </si>
  <si>
    <t>0.556</t>
  </si>
  <si>
    <t>4.19</t>
  </si>
  <si>
    <t>5.61</t>
  </si>
  <si>
    <t>7.2</t>
  </si>
  <si>
    <t>3.71</t>
  </si>
  <si>
    <t>7.8</t>
  </si>
  <si>
    <t>3.17</t>
  </si>
  <si>
    <t>0.925</t>
  </si>
  <si>
    <t>4.05</t>
  </si>
  <si>
    <t>15.64</t>
  </si>
  <si>
    <t>19.62</t>
  </si>
  <si>
    <t>4.8</t>
  </si>
  <si>
    <t>0.469</t>
  </si>
  <si>
    <t>0.603</t>
  </si>
  <si>
    <t>4.01</t>
  </si>
  <si>
    <t>2.15</t>
  </si>
  <si>
    <t>5.91</t>
  </si>
  <si>
    <t>14.2</t>
  </si>
  <si>
    <t>3.48</t>
  </si>
  <si>
    <t>12.05</t>
  </si>
  <si>
    <t>16.36</t>
  </si>
  <si>
    <t>1.9</t>
  </si>
  <si>
    <t>0.451</t>
  </si>
  <si>
    <t>10.32</t>
  </si>
  <si>
    <t>7.54</t>
  </si>
  <si>
    <t>23.09</t>
  </si>
  <si>
    <t>22.03</t>
  </si>
  <si>
    <t>62.29</t>
  </si>
  <si>
    <t>5.75</t>
  </si>
  <si>
    <t>3.27</t>
  </si>
  <si>
    <t>18.6</t>
  </si>
  <si>
    <t>7.79</t>
  </si>
  <si>
    <t>11.99</t>
  </si>
  <si>
    <t>32.1</t>
  </si>
  <si>
    <t>21.7</t>
  </si>
  <si>
    <t>29.15</t>
  </si>
  <si>
    <t>9.34</t>
  </si>
  <si>
    <t>10.86</t>
  </si>
  <si>
    <t>16.53</t>
  </si>
  <si>
    <t>15.37</t>
  </si>
  <si>
    <t>26.09</t>
  </si>
  <si>
    <t>31.21</t>
  </si>
  <si>
    <t>34.65</t>
  </si>
  <si>
    <t>31.71</t>
  </si>
  <si>
    <t>0.961</t>
  </si>
  <si>
    <t>32.79</t>
  </si>
  <si>
    <t>46.22</t>
  </si>
  <si>
    <t>35.85</t>
  </si>
  <si>
    <t>34.85</t>
  </si>
  <si>
    <t>0.802</t>
  </si>
  <si>
    <t>23.19</t>
  </si>
  <si>
    <t>38.22</t>
  </si>
  <si>
    <t>25.83</t>
  </si>
  <si>
    <t>31.4</t>
  </si>
  <si>
    <t>31.1</t>
  </si>
  <si>
    <t>34.78</t>
  </si>
  <si>
    <t>32.31</t>
  </si>
  <si>
    <t>35.94</t>
  </si>
  <si>
    <t>35.69</t>
  </si>
  <si>
    <t>0.602</t>
  </si>
  <si>
    <t>23.39</t>
  </si>
  <si>
    <t>20.89</t>
  </si>
  <si>
    <t>0.687</t>
  </si>
  <si>
    <t>22.01</t>
  </si>
  <si>
    <t>0.808</t>
  </si>
  <si>
    <t>0.763</t>
  </si>
  <si>
    <t>22.45</t>
  </si>
  <si>
    <t>14.22</t>
  </si>
  <si>
    <t>0.895</t>
  </si>
  <si>
    <t>11.24</t>
  </si>
  <si>
    <t>9.47</t>
  </si>
  <si>
    <t>0.381</t>
  </si>
  <si>
    <t>0.769</t>
  </si>
  <si>
    <t>0.454</t>
  </si>
  <si>
    <t>0.287</t>
  </si>
  <si>
    <t>16.37</t>
  </si>
  <si>
    <t>0.734</t>
  </si>
  <si>
    <t>13.09</t>
  </si>
  <si>
    <t>22.64</t>
  </si>
  <si>
    <t>35.4</t>
  </si>
  <si>
    <t>17.59</t>
  </si>
  <si>
    <t>0.772</t>
  </si>
  <si>
    <t>19.28</t>
  </si>
  <si>
    <t>22.78</t>
  </si>
  <si>
    <t>8.64</t>
  </si>
  <si>
    <t>4.34</t>
  </si>
  <si>
    <t>25.68</t>
  </si>
  <si>
    <t>64.52</t>
  </si>
  <si>
    <t>0.657</t>
  </si>
  <si>
    <t>0.347</t>
  </si>
  <si>
    <t>21.05</t>
  </si>
  <si>
    <t>16.87</t>
  </si>
  <si>
    <t>0.717</t>
  </si>
  <si>
    <t>0.673</t>
  </si>
  <si>
    <t>0.943</t>
  </si>
  <si>
    <t>29.65</t>
  </si>
  <si>
    <t>22.37</t>
  </si>
  <si>
    <t>20.36</t>
  </si>
  <si>
    <t>28.33</t>
  </si>
  <si>
    <t>25.49</t>
  </si>
  <si>
    <t>31.49</t>
  </si>
  <si>
    <t>27.69</t>
  </si>
  <si>
    <t>32.94</t>
  </si>
  <si>
    <t>38.27</t>
  </si>
  <si>
    <t>41.56</t>
  </si>
  <si>
    <t>35.17</t>
  </si>
  <si>
    <t>40.5</t>
  </si>
  <si>
    <t>38.24</t>
  </si>
  <si>
    <t>35.88</t>
  </si>
  <si>
    <t>38.81</t>
  </si>
  <si>
    <t>34.82</t>
  </si>
  <si>
    <t>42.94</t>
  </si>
  <si>
    <t>39.4</t>
  </si>
  <si>
    <t>36.54</t>
  </si>
  <si>
    <t>41.65</t>
  </si>
  <si>
    <t>35.92</t>
  </si>
  <si>
    <t>34.28</t>
  </si>
  <si>
    <t>34.5</t>
  </si>
  <si>
    <t>33.83</t>
  </si>
  <si>
    <t>46.9</t>
  </si>
  <si>
    <t>40.09</t>
  </si>
  <si>
    <t>43.78</t>
  </si>
  <si>
    <t>38.17</t>
  </si>
  <si>
    <t>46.6</t>
  </si>
  <si>
    <t>28.26</t>
  </si>
  <si>
    <t>27.56</t>
  </si>
  <si>
    <t>32.18</t>
  </si>
  <si>
    <t>30.1</t>
  </si>
  <si>
    <t>35.9</t>
  </si>
  <si>
    <t>39.88</t>
  </si>
  <si>
    <t>37.11</t>
  </si>
  <si>
    <t>30.2</t>
  </si>
  <si>
    <t>31.57</t>
  </si>
  <si>
    <t>0.852</t>
  </si>
  <si>
    <t>30.86</t>
  </si>
  <si>
    <t>35.02</t>
  </si>
  <si>
    <t>23.64</t>
  </si>
  <si>
    <t>25.86</t>
  </si>
  <si>
    <t>0.894</t>
  </si>
  <si>
    <t>27.43</t>
  </si>
  <si>
    <t>29.99</t>
  </si>
  <si>
    <t>33.92</t>
  </si>
  <si>
    <t>38.96</t>
  </si>
  <si>
    <t>34.33</t>
  </si>
  <si>
    <t>37.46</t>
  </si>
  <si>
    <t>48.83</t>
  </si>
  <si>
    <t>41.64</t>
  </si>
  <si>
    <t>47.3</t>
  </si>
  <si>
    <t>45.23</t>
  </si>
  <si>
    <t>32.2</t>
  </si>
  <si>
    <t>47.45</t>
  </si>
  <si>
    <t>42.72</t>
  </si>
  <si>
    <t>51.57</t>
  </si>
  <si>
    <t>31.81</t>
  </si>
  <si>
    <t>19.37</t>
  </si>
  <si>
    <t>0.923</t>
  </si>
  <si>
    <t>19.03</t>
  </si>
  <si>
    <t>18.76</t>
  </si>
  <si>
    <t>2.42</t>
  </si>
  <si>
    <t>36.08</t>
  </si>
  <si>
    <t>33.77</t>
  </si>
  <si>
    <t>4.39</t>
  </si>
  <si>
    <t>31.8</t>
  </si>
  <si>
    <t>34.11</t>
  </si>
  <si>
    <t>39.08</t>
  </si>
  <si>
    <t>37.92</t>
  </si>
  <si>
    <t>39.9</t>
  </si>
  <si>
    <t>12.51</t>
  </si>
  <si>
    <t>31.76</t>
  </si>
  <si>
    <t>32.09</t>
  </si>
  <si>
    <t>30.91</t>
  </si>
  <si>
    <t>30.3</t>
  </si>
  <si>
    <t>18.93</t>
  </si>
  <si>
    <t>24.68</t>
  </si>
  <si>
    <t>21.76</t>
  </si>
  <si>
    <t>0.533</t>
  </si>
  <si>
    <t>18.18</t>
  </si>
  <si>
    <t>18.97</t>
  </si>
  <si>
    <t>0.778</t>
  </si>
  <si>
    <t>17.87</t>
  </si>
  <si>
    <t>13.14</t>
  </si>
  <si>
    <t>19.16</t>
  </si>
  <si>
    <t>28.22</t>
  </si>
  <si>
    <t>0.273</t>
  </si>
  <si>
    <t>12.11</t>
  </si>
  <si>
    <t>13.34</t>
  </si>
  <si>
    <t>0.646</t>
  </si>
  <si>
    <t>13.99</t>
  </si>
  <si>
    <t>0.834</t>
  </si>
  <si>
    <t>0.562</t>
  </si>
  <si>
    <t>0.202</t>
  </si>
  <si>
    <t>0.411</t>
  </si>
  <si>
    <t>27.18</t>
  </si>
  <si>
    <t>29.59</t>
  </si>
  <si>
    <t>0.764</t>
  </si>
  <si>
    <t>31.67</t>
  </si>
  <si>
    <t>30.15</t>
  </si>
  <si>
    <t>21.74</t>
  </si>
  <si>
    <t>23.87</t>
  </si>
  <si>
    <t>0.495</t>
  </si>
  <si>
    <t>0.975</t>
  </si>
  <si>
    <t>2.29</t>
  </si>
  <si>
    <t>11.7</t>
  </si>
  <si>
    <t>0.632</t>
  </si>
  <si>
    <t>0.431</t>
  </si>
  <si>
    <t>0.698</t>
  </si>
  <si>
    <t>35.52</t>
  </si>
  <si>
    <t>29.72</t>
  </si>
  <si>
    <t>38.44</t>
  </si>
  <si>
    <t>37.01</t>
  </si>
  <si>
    <t>21.36</t>
  </si>
  <si>
    <t>37.1</t>
  </si>
  <si>
    <t>34.72</t>
  </si>
  <si>
    <t>36.38</t>
  </si>
  <si>
    <t>28.43</t>
  </si>
  <si>
    <t>52.08</t>
  </si>
  <si>
    <t>28.99</t>
  </si>
  <si>
    <t>45.34</t>
  </si>
  <si>
    <t>54.19</t>
  </si>
  <si>
    <t>64.48</t>
  </si>
  <si>
    <t>60.07</t>
  </si>
  <si>
    <t>58.11</t>
  </si>
  <si>
    <t>62.33</t>
  </si>
  <si>
    <t>59.79</t>
  </si>
  <si>
    <t>65.92</t>
  </si>
  <si>
    <t>64.93</t>
  </si>
  <si>
    <t>64.09</t>
  </si>
  <si>
    <t>63.35</t>
  </si>
  <si>
    <t>67.22</t>
  </si>
  <si>
    <t>65.56</t>
  </si>
  <si>
    <t>70.65</t>
  </si>
  <si>
    <t>69.31</t>
  </si>
  <si>
    <t>59.22</t>
  </si>
  <si>
    <t>55.36</t>
  </si>
  <si>
    <t>66.95</t>
  </si>
  <si>
    <t>33.21</t>
  </si>
  <si>
    <t>62.12</t>
  </si>
  <si>
    <t>49.95</t>
  </si>
  <si>
    <t>43.01</t>
  </si>
  <si>
    <t>53.96</t>
  </si>
  <si>
    <t>3.57</t>
  </si>
  <si>
    <t>22.18</t>
  </si>
  <si>
    <t>31.2</t>
  </si>
  <si>
    <t>34.08</t>
  </si>
  <si>
    <t>6.86</t>
  </si>
  <si>
    <t>7.37</t>
  </si>
  <si>
    <t>6.63</t>
  </si>
  <si>
    <t>7.34</t>
  </si>
  <si>
    <t>0.838</t>
  </si>
  <si>
    <t>4.99</t>
  </si>
  <si>
    <t>0.486</t>
  </si>
  <si>
    <t>0.461</t>
  </si>
  <si>
    <t>7.75</t>
  </si>
  <si>
    <t>0.513</t>
  </si>
  <si>
    <t>39.77</t>
  </si>
  <si>
    <t>37.36</t>
  </si>
  <si>
    <t>38.53</t>
  </si>
  <si>
    <t>6.16</t>
  </si>
  <si>
    <t>13.59</t>
  </si>
  <si>
    <t>21.64</t>
  </si>
  <si>
    <t>0.366</t>
  </si>
  <si>
    <t>7.97</t>
  </si>
  <si>
    <t>7.36</t>
  </si>
  <si>
    <t>9.18</t>
  </si>
  <si>
    <t>0.676</t>
  </si>
  <si>
    <t>0.262</t>
  </si>
  <si>
    <t>32.83</t>
  </si>
  <si>
    <t>30.09</t>
  </si>
  <si>
    <t>32.21</t>
  </si>
  <si>
    <t>0.847</t>
  </si>
  <si>
    <t>25.34</t>
  </si>
  <si>
    <t>51.96</t>
  </si>
  <si>
    <t>46.56</t>
  </si>
  <si>
    <t>43.35</t>
  </si>
  <si>
    <t>49.94</t>
  </si>
  <si>
    <t>0.817</t>
  </si>
  <si>
    <t>42.48</t>
  </si>
  <si>
    <t>40.24</t>
  </si>
  <si>
    <t>41.53</t>
  </si>
  <si>
    <t>14.36</t>
  </si>
  <si>
    <t>30.5</t>
  </si>
  <si>
    <t>3.55</t>
  </si>
  <si>
    <t>46.1</t>
  </si>
  <si>
    <t>43.38</t>
  </si>
  <si>
    <t>45.75</t>
  </si>
  <si>
    <t>4.67</t>
  </si>
  <si>
    <t>4.91</t>
  </si>
  <si>
    <t>42.65</t>
  </si>
  <si>
    <t>54.31</t>
  </si>
  <si>
    <t>46.7</t>
  </si>
  <si>
    <t>53.23</t>
  </si>
  <si>
    <t>50.14</t>
  </si>
  <si>
    <t>49.37</t>
  </si>
  <si>
    <t>62.9</t>
  </si>
  <si>
    <t>54.68</t>
  </si>
  <si>
    <t>49.48</t>
  </si>
  <si>
    <t>59.86</t>
  </si>
  <si>
    <t>7.89</t>
  </si>
  <si>
    <t>12.01</t>
  </si>
  <si>
    <t>31.18</t>
  </si>
  <si>
    <t>30.51</t>
  </si>
  <si>
    <t>35.07</t>
  </si>
  <si>
    <t>0.753</t>
  </si>
  <si>
    <t>23.78</t>
  </si>
  <si>
    <t>2.97</t>
  </si>
  <si>
    <t>2.66</t>
  </si>
  <si>
    <t>28.7</t>
  </si>
  <si>
    <t>26.3</t>
  </si>
  <si>
    <t>24.53</t>
  </si>
  <si>
    <t>1.74</t>
  </si>
  <si>
    <t>3.04</t>
  </si>
  <si>
    <t>48.54</t>
  </si>
  <si>
    <t>24.54</t>
  </si>
  <si>
    <t>36.36</t>
  </si>
  <si>
    <t>3.66</t>
  </si>
  <si>
    <t>5.64</t>
  </si>
  <si>
    <t>8.47</t>
  </si>
  <si>
    <t>56.21</t>
  </si>
  <si>
    <t>48.57</t>
  </si>
  <si>
    <t>41.21</t>
  </si>
  <si>
    <t>52.52</t>
  </si>
  <si>
    <t>3.58</t>
  </si>
  <si>
    <t>60.23</t>
  </si>
  <si>
    <t>46.15</t>
  </si>
  <si>
    <t>53.31</t>
  </si>
  <si>
    <t>42.35</t>
  </si>
  <si>
    <t>42.54</t>
  </si>
  <si>
    <t>0.798</t>
  </si>
  <si>
    <t>4.46</t>
  </si>
  <si>
    <t>55.58</t>
  </si>
  <si>
    <t>19.86</t>
  </si>
  <si>
    <t>48.31</t>
  </si>
  <si>
    <t>54.77</t>
  </si>
  <si>
    <t>42.24</t>
  </si>
  <si>
    <t>50.49</t>
  </si>
  <si>
    <t>4.42</t>
  </si>
  <si>
    <t>24.86</t>
  </si>
  <si>
    <t>28.59</t>
  </si>
  <si>
    <t>33.17</t>
  </si>
  <si>
    <t>0.569</t>
  </si>
  <si>
    <t>7.53</t>
  </si>
  <si>
    <t>0.882</t>
  </si>
  <si>
    <t>0.929</t>
  </si>
  <si>
    <t>46.58</t>
  </si>
  <si>
    <t>44.06</t>
  </si>
  <si>
    <t>33.52</t>
  </si>
  <si>
    <t>24.26</t>
  </si>
  <si>
    <t>25.91</t>
  </si>
  <si>
    <t>58.6</t>
  </si>
  <si>
    <t>59.92</t>
  </si>
  <si>
    <t>62.57</t>
  </si>
  <si>
    <t>0.837</t>
  </si>
  <si>
    <t>63.25</t>
  </si>
  <si>
    <t>65.95</t>
  </si>
  <si>
    <t>65.59</t>
  </si>
  <si>
    <t>64.81</t>
  </si>
  <si>
    <t>64.95</t>
  </si>
  <si>
    <t>58.85</t>
  </si>
  <si>
    <t>60.85</t>
  </si>
  <si>
    <t>60.06</t>
  </si>
  <si>
    <t>0.389</t>
  </si>
  <si>
    <t>59.06</t>
  </si>
  <si>
    <t>75.94</t>
  </si>
  <si>
    <t>75.81</t>
  </si>
  <si>
    <t>0.623</t>
  </si>
  <si>
    <t>46.42</t>
  </si>
  <si>
    <t>63.02</t>
  </si>
  <si>
    <t>45.08</t>
  </si>
  <si>
    <t>47.69</t>
  </si>
  <si>
    <t>72.31</t>
  </si>
  <si>
    <t>74.17</t>
  </si>
  <si>
    <t>41.12</t>
  </si>
  <si>
    <t>40.71</t>
  </si>
  <si>
    <t>64.75</t>
  </si>
  <si>
    <t>53.52</t>
  </si>
  <si>
    <t>49.35</t>
  </si>
  <si>
    <t>52.06</t>
  </si>
  <si>
    <t>68.34</t>
  </si>
  <si>
    <t>72.34</t>
  </si>
  <si>
    <t>76.67</t>
  </si>
  <si>
    <t>0.394</t>
  </si>
  <si>
    <t>23.53</t>
  </si>
  <si>
    <t>32.47</t>
  </si>
  <si>
    <t>27.66</t>
  </si>
  <si>
    <t>26.91</t>
  </si>
  <si>
    <t>0.932</t>
  </si>
  <si>
    <t>0.388</t>
  </si>
  <si>
    <t>0.712</t>
  </si>
  <si>
    <t>37.58</t>
  </si>
  <si>
    <t>36.53</t>
  </si>
  <si>
    <t>37.28</t>
  </si>
  <si>
    <t>2.79</t>
  </si>
  <si>
    <t>0.296</t>
  </si>
  <si>
    <t>23.93</t>
  </si>
  <si>
    <t>0.367</t>
  </si>
  <si>
    <t>0.756</t>
  </si>
  <si>
    <t>0.634</t>
  </si>
  <si>
    <t>0.493</t>
  </si>
  <si>
    <t>21.93</t>
  </si>
  <si>
    <t>0.981</t>
  </si>
  <si>
    <t>0.947</t>
  </si>
  <si>
    <t>69.48</t>
  </si>
  <si>
    <t>51.18</t>
  </si>
  <si>
    <t>65.06</t>
  </si>
  <si>
    <t>70.62</t>
  </si>
  <si>
    <t>82.98</t>
  </si>
  <si>
    <t>77.22</t>
  </si>
  <si>
    <t>94.32</t>
  </si>
  <si>
    <t>77.11</t>
  </si>
  <si>
    <t>127.6</t>
  </si>
  <si>
    <t>113.65</t>
  </si>
  <si>
    <t>93.37</t>
  </si>
  <si>
    <t>123.07</t>
  </si>
  <si>
    <t>59.98</t>
  </si>
  <si>
    <t>73.72</t>
  </si>
  <si>
    <t>61.14</t>
  </si>
  <si>
    <t>62.15</t>
  </si>
  <si>
    <t>62.23</t>
  </si>
  <si>
    <t>63.23</t>
  </si>
  <si>
    <t>62.52</t>
  </si>
  <si>
    <t>62.69</t>
  </si>
  <si>
    <t>61.42</t>
  </si>
  <si>
    <t>62.92</t>
  </si>
  <si>
    <t>61.99</t>
  </si>
  <si>
    <t>61.69</t>
  </si>
  <si>
    <t>62.72</t>
  </si>
  <si>
    <t>62.08</t>
  </si>
  <si>
    <t>64.17</t>
  </si>
  <si>
    <t>63.56</t>
  </si>
  <si>
    <t>0.601</t>
  </si>
  <si>
    <t>61.1</t>
  </si>
  <si>
    <t>61.95</t>
  </si>
  <si>
    <t>61.58</t>
  </si>
  <si>
    <t>62.54</t>
  </si>
  <si>
    <t>65.48</t>
  </si>
  <si>
    <t>65.18</t>
  </si>
  <si>
    <t>64.91</t>
  </si>
  <si>
    <t>67.79</t>
  </si>
  <si>
    <t>65.93</t>
  </si>
  <si>
    <t>65.53</t>
  </si>
  <si>
    <t>67.01</t>
  </si>
  <si>
    <t>0.868</t>
  </si>
  <si>
    <t>72.65</t>
  </si>
  <si>
    <t>67.18</t>
  </si>
  <si>
    <t>71.03</t>
  </si>
  <si>
    <t>64.04</t>
  </si>
  <si>
    <t>73.7</t>
  </si>
  <si>
    <t>72.4</t>
  </si>
  <si>
    <t>73.67</t>
  </si>
  <si>
    <t>62.35</t>
  </si>
  <si>
    <t>62.85</t>
  </si>
  <si>
    <t>62.48</t>
  </si>
  <si>
    <t>70.34</t>
  </si>
  <si>
    <t>69.58</t>
  </si>
  <si>
    <t>68.94</t>
  </si>
  <si>
    <t>69.75</t>
  </si>
  <si>
    <t>63.83</t>
  </si>
  <si>
    <t>64.34</t>
  </si>
  <si>
    <t>65.62</t>
  </si>
  <si>
    <t>66.27</t>
  </si>
  <si>
    <t>69.09</t>
  </si>
  <si>
    <t>68.17</t>
  </si>
  <si>
    <t>67.29</t>
  </si>
  <si>
    <t>68.55</t>
  </si>
  <si>
    <t>64.31</t>
  </si>
  <si>
    <t>66.69</t>
  </si>
  <si>
    <t>64.83</t>
  </si>
  <si>
    <t>64.4</t>
  </si>
  <si>
    <t>65.81</t>
  </si>
  <si>
    <t>63.98</t>
  </si>
  <si>
    <t>64.28</t>
  </si>
  <si>
    <t>64.16</t>
  </si>
  <si>
    <t>64.33</t>
  </si>
  <si>
    <t>60.54</t>
  </si>
  <si>
    <t>62.27</t>
  </si>
  <si>
    <t>61.76</t>
  </si>
  <si>
    <t>60.82</t>
  </si>
  <si>
    <t>60.48</t>
  </si>
  <si>
    <t>62.65</t>
  </si>
  <si>
    <t>60.83</t>
  </si>
  <si>
    <t>62.71</t>
  </si>
  <si>
    <t>64.02</t>
  </si>
  <si>
    <t>66.06</t>
  </si>
  <si>
    <t>65.65</t>
  </si>
  <si>
    <t>66.02</t>
  </si>
  <si>
    <t>67.08</t>
  </si>
  <si>
    <t>66.88</t>
  </si>
  <si>
    <t>0.299</t>
  </si>
  <si>
    <t>64.84</t>
  </si>
  <si>
    <t>94.63</t>
  </si>
  <si>
    <t>70.83</t>
  </si>
  <si>
    <t>66.31</t>
  </si>
  <si>
    <t>83.37</t>
  </si>
  <si>
    <t>97.15</t>
  </si>
  <si>
    <t>123.29</t>
  </si>
  <si>
    <t>120.04</t>
  </si>
  <si>
    <t>110.48</t>
  </si>
  <si>
    <t>122.19</t>
  </si>
  <si>
    <t>119.5</t>
  </si>
  <si>
    <t>121.4</t>
  </si>
  <si>
    <t>120.12</t>
  </si>
  <si>
    <t>122.26</t>
  </si>
  <si>
    <t>118.06</t>
  </si>
  <si>
    <t>119.12</t>
  </si>
  <si>
    <t>118.39</t>
  </si>
  <si>
    <t>118.31</t>
  </si>
  <si>
    <t>118.47</t>
  </si>
  <si>
    <t>122.77</t>
  </si>
  <si>
    <t>120.24</t>
  </si>
  <si>
    <t>119.57</t>
  </si>
  <si>
    <t>121.77</t>
  </si>
  <si>
    <t>123.04</t>
  </si>
  <si>
    <t>125.33</t>
  </si>
  <si>
    <t>124.35</t>
  </si>
  <si>
    <t>124.02</t>
  </si>
  <si>
    <t>124.65</t>
  </si>
  <si>
    <t>0.557</t>
  </si>
  <si>
    <t>121.1</t>
  </si>
  <si>
    <t>123.52</t>
  </si>
  <si>
    <t>121.5</t>
  </si>
  <si>
    <t>122.35</t>
  </si>
  <si>
    <t>120.19</t>
  </si>
  <si>
    <t>122.04</t>
  </si>
  <si>
    <t>121.66</t>
  </si>
  <si>
    <t>120.86</t>
  </si>
  <si>
    <t>121.69</t>
  </si>
  <si>
    <t>123.17</t>
  </si>
  <si>
    <t>120.92</t>
  </si>
  <si>
    <t>120.67</t>
  </si>
  <si>
    <t>121.92</t>
  </si>
  <si>
    <t>0.846</t>
  </si>
  <si>
    <t>121.29</t>
  </si>
  <si>
    <t>124.4</t>
  </si>
  <si>
    <t>123.66</t>
  </si>
  <si>
    <t>122.21</t>
  </si>
  <si>
    <t>120.79</t>
  </si>
  <si>
    <t>123.81</t>
  </si>
  <si>
    <t>121.39</t>
  </si>
  <si>
    <t>121.08</t>
  </si>
  <si>
    <t>122.8</t>
  </si>
  <si>
    <t>124.27</t>
  </si>
  <si>
    <t>126.92</t>
  </si>
  <si>
    <t>126.08</t>
  </si>
  <si>
    <t>125.64</t>
  </si>
  <si>
    <t>126.48</t>
  </si>
  <si>
    <t>122.1</t>
  </si>
  <si>
    <t>123.32</t>
  </si>
  <si>
    <t>122.62</t>
  </si>
  <si>
    <t>123.79</t>
  </si>
  <si>
    <t>124.38</t>
  </si>
  <si>
    <t>125.29</t>
  </si>
  <si>
    <t>125.12</t>
  </si>
  <si>
    <t>124.94</t>
  </si>
  <si>
    <t>125.21</t>
  </si>
  <si>
    <t>76.39</t>
  </si>
  <si>
    <t>75.42</t>
  </si>
  <si>
    <t>77.54</t>
  </si>
  <si>
    <t>75.58</t>
  </si>
  <si>
    <t>76.38</t>
  </si>
  <si>
    <t>74.06</t>
  </si>
  <si>
    <t>77.34</t>
  </si>
  <si>
    <t>75.56</t>
  </si>
  <si>
    <t>77.78</t>
  </si>
  <si>
    <t>73.15</t>
  </si>
  <si>
    <t>73.56</t>
  </si>
  <si>
    <t>73.23</t>
  </si>
  <si>
    <t>73.68</t>
  </si>
  <si>
    <t>71.27</t>
  </si>
  <si>
    <t>73.4</t>
  </si>
  <si>
    <t>73.66</t>
  </si>
  <si>
    <t>70.38</t>
  </si>
  <si>
    <t>74.19</t>
  </si>
  <si>
    <t>70.9</t>
  </si>
  <si>
    <t>70.7</t>
  </si>
  <si>
    <t>71.81</t>
  </si>
  <si>
    <t>74.33</t>
  </si>
  <si>
    <t>76.9</t>
  </si>
  <si>
    <t>75.63</t>
  </si>
  <si>
    <t>76.78</t>
  </si>
  <si>
    <t>76.95</t>
  </si>
  <si>
    <t>78.31</t>
  </si>
  <si>
    <t>77.72</t>
  </si>
  <si>
    <t>77.15</t>
  </si>
  <si>
    <t>78.02</t>
  </si>
  <si>
    <t>0.424</t>
  </si>
  <si>
    <t>75.9</t>
  </si>
  <si>
    <t>78.23</t>
  </si>
  <si>
    <t>77.06</t>
  </si>
  <si>
    <t>76.59</t>
  </si>
  <si>
    <t>77.47</t>
  </si>
  <si>
    <t>0.596</t>
  </si>
  <si>
    <t>76.12</t>
  </si>
  <si>
    <t>75.79</t>
  </si>
  <si>
    <t>76.08</t>
  </si>
  <si>
    <t>75.44</t>
  </si>
  <si>
    <t>75.95</t>
  </si>
  <si>
    <t>74.26</t>
  </si>
  <si>
    <t>75.59</t>
  </si>
  <si>
    <t>75.34</t>
  </si>
  <si>
    <t>74.45</t>
  </si>
  <si>
    <t>74.31</t>
  </si>
  <si>
    <t>74.76</t>
  </si>
  <si>
    <t>73.9</t>
  </si>
  <si>
    <t>75.69</t>
  </si>
  <si>
    <t>75.08</t>
  </si>
  <si>
    <t>74.69</t>
  </si>
  <si>
    <t>75.31</t>
  </si>
  <si>
    <t>72.29</t>
  </si>
  <si>
    <t>74.12</t>
  </si>
  <si>
    <t>73.3</t>
  </si>
  <si>
    <t>72.53</t>
  </si>
  <si>
    <t>73.91</t>
  </si>
  <si>
    <t>0.656</t>
  </si>
  <si>
    <t>71.59</t>
  </si>
  <si>
    <t>72.43</t>
  </si>
  <si>
    <t>72.05</t>
  </si>
  <si>
    <t>73.31</t>
  </si>
  <si>
    <t>72.09</t>
  </si>
  <si>
    <t>72.83</t>
  </si>
  <si>
    <t>72.25</t>
  </si>
  <si>
    <t>72.17</t>
  </si>
  <si>
    <t>72.88</t>
  </si>
  <si>
    <t>73.26</t>
  </si>
  <si>
    <t>73.55</t>
  </si>
  <si>
    <t>73.81</t>
  </si>
  <si>
    <t>75.09</t>
  </si>
  <si>
    <t>74.92</t>
  </si>
  <si>
    <t>74.98</t>
  </si>
  <si>
    <t>74.83</t>
  </si>
  <si>
    <t>75.23</t>
  </si>
  <si>
    <t>75.43</t>
  </si>
  <si>
    <t>75.77</t>
  </si>
  <si>
    <t>75.45</t>
  </si>
  <si>
    <t>75.61</t>
  </si>
  <si>
    <t>73.79</t>
  </si>
  <si>
    <t>75.19</t>
  </si>
  <si>
    <t>74.29</t>
  </si>
  <si>
    <t>74.03</t>
  </si>
  <si>
    <t>74.81</t>
  </si>
  <si>
    <t>79.73</t>
  </si>
  <si>
    <t>75.75</t>
  </si>
  <si>
    <t>77.76</t>
  </si>
  <si>
    <t>79.92</t>
  </si>
  <si>
    <t>80.78</t>
  </si>
  <si>
    <t>80.68</t>
  </si>
  <si>
    <t>81.18</t>
  </si>
  <si>
    <t>75.54</t>
  </si>
  <si>
    <t>77.5</t>
  </si>
  <si>
    <t>80.26</t>
  </si>
  <si>
    <t>76.15</t>
  </si>
  <si>
    <t>75.2</t>
  </si>
  <si>
    <t>75.06</t>
  </si>
  <si>
    <t>75.64</t>
  </si>
  <si>
    <t>76.91</t>
  </si>
  <si>
    <t>76.48</t>
  </si>
  <si>
    <t>77.37</t>
  </si>
  <si>
    <t>0.543</t>
  </si>
  <si>
    <t>75.98</t>
  </si>
  <si>
    <t>76.2</t>
  </si>
  <si>
    <t>76.11</t>
  </si>
  <si>
    <t>77.58</t>
  </si>
  <si>
    <t>79.15</t>
  </si>
  <si>
    <t>80.52</t>
  </si>
  <si>
    <t>80.15</t>
  </si>
  <si>
    <t>79.78</t>
  </si>
  <si>
    <t>80.4</t>
  </si>
  <si>
    <t>0.436</t>
  </si>
  <si>
    <t>79.2</t>
  </si>
  <si>
    <t>49.46</t>
  </si>
  <si>
    <t>68.09</t>
  </si>
  <si>
    <t>51.15</t>
  </si>
  <si>
    <t>42.07</t>
  </si>
  <si>
    <t>68.42</t>
  </si>
  <si>
    <t>68.38</t>
  </si>
  <si>
    <t>64.56</t>
  </si>
  <si>
    <t>67.8</t>
  </si>
  <si>
    <t>65.13</t>
  </si>
  <si>
    <t>0.785</t>
  </si>
  <si>
    <t>65.38</t>
  </si>
  <si>
    <t>65.15</t>
  </si>
  <si>
    <t>123.7</t>
  </si>
  <si>
    <t>123.89</t>
  </si>
  <si>
    <t>61.29</t>
  </si>
  <si>
    <t>76.94</t>
  </si>
  <si>
    <t>115.66</t>
  </si>
  <si>
    <t>45.79</t>
  </si>
  <si>
    <t>58.15</t>
  </si>
  <si>
    <t>48.38</t>
  </si>
  <si>
    <t>48.95</t>
  </si>
  <si>
    <t>44.48</t>
  </si>
  <si>
    <t>55.94</t>
  </si>
  <si>
    <t>46.39</t>
  </si>
  <si>
    <t>53.48</t>
  </si>
  <si>
    <t>56.81</t>
  </si>
  <si>
    <t>89.94</t>
  </si>
  <si>
    <t>70.73</t>
  </si>
  <si>
    <t>81.99</t>
  </si>
  <si>
    <t>93.48</t>
  </si>
  <si>
    <t>88.25</t>
  </si>
  <si>
    <t>86.73</t>
  </si>
  <si>
    <t>91.55</t>
  </si>
  <si>
    <t>86.88</t>
  </si>
  <si>
    <t>89.44</t>
  </si>
  <si>
    <t>88.22</t>
  </si>
  <si>
    <t>87.95</t>
  </si>
  <si>
    <t>0.742</t>
  </si>
  <si>
    <t>88.74</t>
  </si>
  <si>
    <t>88.44</t>
  </si>
  <si>
    <t>82.94</t>
  </si>
  <si>
    <t>89.52</t>
  </si>
  <si>
    <t>85.42</t>
  </si>
  <si>
    <t>84.2</t>
  </si>
  <si>
    <t>86.55</t>
  </si>
  <si>
    <t>90.83</t>
  </si>
  <si>
    <t>99.15</t>
  </si>
  <si>
    <t>124.26</t>
  </si>
  <si>
    <t>110.97</t>
  </si>
  <si>
    <t>118.16</t>
  </si>
  <si>
    <t>125.58</t>
  </si>
  <si>
    <t>124.43</t>
  </si>
  <si>
    <t>124.76</t>
  </si>
  <si>
    <t>0.364</t>
  </si>
  <si>
    <t>125.27</t>
  </si>
  <si>
    <t>129.5</t>
  </si>
  <si>
    <t>128.43</t>
  </si>
  <si>
    <t>127.33</t>
  </si>
  <si>
    <t>129.1</t>
  </si>
  <si>
    <t>128.54</t>
  </si>
  <si>
    <t>128.88</t>
  </si>
  <si>
    <t>128.72</t>
  </si>
  <si>
    <t>128.1</t>
  </si>
  <si>
    <t>128.71</t>
  </si>
  <si>
    <t>128.3</t>
  </si>
  <si>
    <t>128.16</t>
  </si>
  <si>
    <t>128.44</t>
  </si>
  <si>
    <t>129.31</t>
  </si>
  <si>
    <t>132.38</t>
  </si>
  <si>
    <t>131.18</t>
  </si>
  <si>
    <t>130.52</t>
  </si>
  <si>
    <t>131.71</t>
  </si>
  <si>
    <t>0.807</t>
  </si>
  <si>
    <t>130.94</t>
  </si>
  <si>
    <t>128.66</t>
  </si>
  <si>
    <t>131.88</t>
  </si>
  <si>
    <t>127.65</t>
  </si>
  <si>
    <t>129.57</t>
  </si>
  <si>
    <t>133.58</t>
  </si>
  <si>
    <t>128.41</t>
  </si>
  <si>
    <t>133.71</t>
  </si>
  <si>
    <t>130.35</t>
  </si>
  <si>
    <t>129.25</t>
  </si>
  <si>
    <t>132.04</t>
  </si>
  <si>
    <t>128.6</t>
  </si>
  <si>
    <t>132.21</t>
  </si>
  <si>
    <t>130.29</t>
  </si>
  <si>
    <t>129.29</t>
  </si>
  <si>
    <t>131.06</t>
  </si>
  <si>
    <t>129.62</t>
  </si>
  <si>
    <t>133.16</t>
  </si>
  <si>
    <t>132.12</t>
  </si>
  <si>
    <t>131.56</t>
  </si>
  <si>
    <t>0.917</t>
  </si>
  <si>
    <t>127.04</t>
  </si>
  <si>
    <t>129.02</t>
  </si>
  <si>
    <t>127.3</t>
  </si>
  <si>
    <t>127.13</t>
  </si>
  <si>
    <t>127.78</t>
  </si>
  <si>
    <t>123.42</t>
  </si>
  <si>
    <t>127.17</t>
  </si>
  <si>
    <t>123.78</t>
  </si>
  <si>
    <t>123.64</t>
  </si>
  <si>
    <t>125.82</t>
  </si>
  <si>
    <t>123.85</t>
  </si>
  <si>
    <t>121.87</t>
  </si>
  <si>
    <t>123.06</t>
  </si>
  <si>
    <t>0.744</t>
  </si>
  <si>
    <t>120.96</t>
  </si>
  <si>
    <t>123.19</t>
  </si>
  <si>
    <t>122.42</t>
  </si>
  <si>
    <t>121.35</t>
  </si>
  <si>
    <t>122.67</t>
  </si>
  <si>
    <t>123.4</t>
  </si>
  <si>
    <t>139.44</t>
  </si>
  <si>
    <t>135.16</t>
  </si>
  <si>
    <t>129.21</t>
  </si>
  <si>
    <t>137.01</t>
  </si>
  <si>
    <t>140.38</t>
  </si>
  <si>
    <t>46.36</t>
  </si>
  <si>
    <t>114.4</t>
  </si>
  <si>
    <t>55.39</t>
  </si>
  <si>
    <t>95.84</t>
  </si>
  <si>
    <t>117.77</t>
  </si>
  <si>
    <t>100.69</t>
  </si>
  <si>
    <t>114.33</t>
  </si>
  <si>
    <t>107.5</t>
  </si>
  <si>
    <t>123.58</t>
  </si>
  <si>
    <t>83.27</t>
  </si>
  <si>
    <t>98.5</t>
  </si>
  <si>
    <t>84.14</t>
  </si>
  <si>
    <t>83.51</t>
  </si>
  <si>
    <t>83.98</t>
  </si>
  <si>
    <t>85.15</t>
  </si>
  <si>
    <t>84.37</t>
  </si>
  <si>
    <t>84.16</t>
  </si>
  <si>
    <t>84.78</t>
  </si>
  <si>
    <t>90.48</t>
  </si>
  <si>
    <t>86.41</t>
  </si>
  <si>
    <t>84.9</t>
  </si>
  <si>
    <t>88.54</t>
  </si>
  <si>
    <t>97.65</t>
  </si>
  <si>
    <t>93.5</t>
  </si>
  <si>
    <t>92.25</t>
  </si>
  <si>
    <t>94.91</t>
  </si>
  <si>
    <t>94.02</t>
  </si>
  <si>
    <t>98.04</t>
  </si>
  <si>
    <t>97.06</t>
  </si>
  <si>
    <t>95.9</t>
  </si>
  <si>
    <t>97.52</t>
  </si>
  <si>
    <t>93.6</t>
  </si>
  <si>
    <t>94.85</t>
  </si>
  <si>
    <t>94.39</t>
  </si>
  <si>
    <t>93.87</t>
  </si>
  <si>
    <t>94.6</t>
  </si>
  <si>
    <t>0.404</t>
  </si>
  <si>
    <t>89.12</t>
  </si>
  <si>
    <t>93.81</t>
  </si>
  <si>
    <t>90.77</t>
  </si>
  <si>
    <t>90.1</t>
  </si>
  <si>
    <t>92.72</t>
  </si>
  <si>
    <t>28.89</t>
  </si>
  <si>
    <t>88.92</t>
  </si>
  <si>
    <t>78.3</t>
  </si>
  <si>
    <t>52.97</t>
  </si>
  <si>
    <t>88.75</t>
  </si>
  <si>
    <t>51.64</t>
  </si>
  <si>
    <t>22.41</t>
  </si>
  <si>
    <t>36.19</t>
  </si>
  <si>
    <t>54.06</t>
  </si>
  <si>
    <t>59.12</t>
  </si>
  <si>
    <t>58.98</t>
  </si>
  <si>
    <t>59.63</t>
  </si>
  <si>
    <t>58.67</t>
  </si>
  <si>
    <t>59.44</t>
  </si>
  <si>
    <t>58.76</t>
  </si>
  <si>
    <t>60.38</t>
  </si>
  <si>
    <t>62.4</t>
  </si>
  <si>
    <t>64.08</t>
  </si>
  <si>
    <t>62.73</t>
  </si>
  <si>
    <t>62.53</t>
  </si>
  <si>
    <t>63.01</t>
  </si>
  <si>
    <t>62.81</t>
  </si>
  <si>
    <t>66.29</t>
  </si>
  <si>
    <t>65.69</t>
  </si>
  <si>
    <t>65.04</t>
  </si>
  <si>
    <t>62.25</t>
  </si>
  <si>
    <t>61.05</t>
  </si>
  <si>
    <t>59.74</t>
  </si>
  <si>
    <t>61.52</t>
  </si>
  <si>
    <t>57.67</t>
  </si>
  <si>
    <t>60.29</t>
  </si>
  <si>
    <t>58.48</t>
  </si>
  <si>
    <t>57.97</t>
  </si>
  <si>
    <t>59.32</t>
  </si>
  <si>
    <t>59.88</t>
  </si>
  <si>
    <t>67.23</t>
  </si>
  <si>
    <t>61.37</t>
  </si>
  <si>
    <t>60.63</t>
  </si>
  <si>
    <t>67.84</t>
  </si>
  <si>
    <t>78.79</t>
  </si>
  <si>
    <t>71.31</t>
  </si>
  <si>
    <t>68.75</t>
  </si>
  <si>
    <t>77.62</t>
  </si>
  <si>
    <t>63.9</t>
  </si>
  <si>
    <t>77.29</t>
  </si>
  <si>
    <t>75.22</t>
  </si>
  <si>
    <t>66.3</t>
  </si>
  <si>
    <t>77.13</t>
  </si>
  <si>
    <t>73.44</t>
  </si>
  <si>
    <t>63.62</t>
  </si>
  <si>
    <t>70.59</t>
  </si>
  <si>
    <t>77.7</t>
  </si>
  <si>
    <t>74.72</t>
  </si>
  <si>
    <t>72.16</t>
  </si>
  <si>
    <t>75.33</t>
  </si>
  <si>
    <t>65.98</t>
  </si>
  <si>
    <t>69.36</t>
  </si>
  <si>
    <t>66.5</t>
  </si>
  <si>
    <t>79.4</t>
  </si>
  <si>
    <t>67.25</t>
  </si>
  <si>
    <t>66.97</t>
  </si>
  <si>
    <t>72.02</t>
  </si>
  <si>
    <t>69.7</t>
  </si>
  <si>
    <t>82.62</t>
  </si>
  <si>
    <t>81.41</t>
  </si>
  <si>
    <t>69.08</t>
  </si>
  <si>
    <t>66.89</t>
  </si>
  <si>
    <t>72.48</t>
  </si>
  <si>
    <t>68.69</t>
  </si>
  <si>
    <t>72.19</t>
  </si>
  <si>
    <t>71.77</t>
  </si>
  <si>
    <t>69.8</t>
  </si>
  <si>
    <t>66.54</t>
  </si>
  <si>
    <t>70.98</t>
  </si>
  <si>
    <t>82.42</t>
  </si>
  <si>
    <t>79.94</t>
  </si>
  <si>
    <t>84.65</t>
  </si>
  <si>
    <t>84.19</t>
  </si>
  <si>
    <t>87.77</t>
  </si>
  <si>
    <t>92.65</t>
  </si>
  <si>
    <t>97.23</t>
  </si>
  <si>
    <t>94.47</t>
  </si>
  <si>
    <t>93.72</t>
  </si>
  <si>
    <t>96.16</t>
  </si>
  <si>
    <t>91.46</t>
  </si>
  <si>
    <t>92.28</t>
  </si>
  <si>
    <t>91.95</t>
  </si>
  <si>
    <t>92.76</t>
  </si>
  <si>
    <t>85.35</t>
  </si>
  <si>
    <t>95.52</t>
  </si>
  <si>
    <t>93.12</t>
  </si>
  <si>
    <t>90.42</t>
  </si>
  <si>
    <t>78.59</t>
  </si>
  <si>
    <t>94.33</t>
  </si>
  <si>
    <t>82.45</t>
  </si>
  <si>
    <t>86.09</t>
  </si>
  <si>
    <t>85.91</t>
  </si>
  <si>
    <t>72.9</t>
  </si>
  <si>
    <t>77.33</t>
  </si>
  <si>
    <t>71.65</t>
  </si>
  <si>
    <t>73.28</t>
  </si>
  <si>
    <t>72.7</t>
  </si>
  <si>
    <t>67.77</t>
  </si>
  <si>
    <t>69.4</t>
  </si>
  <si>
    <t>68.14</t>
  </si>
  <si>
    <t>71.09</t>
  </si>
  <si>
    <t>68.08</t>
  </si>
  <si>
    <t>77.31</t>
  </si>
  <si>
    <t>73.18</t>
  </si>
  <si>
    <t>87.9</t>
  </si>
  <si>
    <t>81.54</t>
  </si>
  <si>
    <t>82.69</t>
  </si>
  <si>
    <t>79.62</t>
  </si>
  <si>
    <t>85.21</t>
  </si>
  <si>
    <t>76.44</t>
  </si>
  <si>
    <t>82.25</t>
  </si>
  <si>
    <t>79.76</t>
  </si>
  <si>
    <t>81.48</t>
  </si>
  <si>
    <t>52.51</t>
  </si>
  <si>
    <t>59.1</t>
  </si>
  <si>
    <t>73.58</t>
  </si>
  <si>
    <t>46.27</t>
  </si>
  <si>
    <t>46.75</t>
  </si>
  <si>
    <t>46.49</t>
  </si>
  <si>
    <t>44.9</t>
  </si>
  <si>
    <t>45.43</t>
  </si>
  <si>
    <t>45.64</t>
  </si>
  <si>
    <t>44.98</t>
  </si>
  <si>
    <t>45.89</t>
  </si>
  <si>
    <t>45.44</t>
  </si>
  <si>
    <t>0.444</t>
  </si>
  <si>
    <t>45.62</t>
  </si>
  <si>
    <t>44.78</t>
  </si>
  <si>
    <t>44.5</t>
  </si>
  <si>
    <t>45.13</t>
  </si>
  <si>
    <t>0.321</t>
  </si>
  <si>
    <t>47.92</t>
  </si>
  <si>
    <t>46.59</t>
  </si>
  <si>
    <t>47.53</t>
  </si>
  <si>
    <t>46.85</t>
  </si>
  <si>
    <t>49.17</t>
  </si>
  <si>
    <t>48.42</t>
  </si>
  <si>
    <t>48.73</t>
  </si>
  <si>
    <t>46.06</t>
  </si>
  <si>
    <t>46.43</t>
  </si>
  <si>
    <t>46.83</t>
  </si>
  <si>
    <t>46.96</t>
  </si>
  <si>
    <t>49.21</t>
  </si>
  <si>
    <t>47.79</t>
  </si>
  <si>
    <t>48.11</t>
  </si>
  <si>
    <t>54.54</t>
  </si>
  <si>
    <t>49.83</t>
  </si>
  <si>
    <t>49.68</t>
  </si>
  <si>
    <t>52.36</t>
  </si>
  <si>
    <t>56.56</t>
  </si>
  <si>
    <t>54.37</t>
  </si>
  <si>
    <t>55.72</t>
  </si>
  <si>
    <t>55.96</t>
  </si>
  <si>
    <t>52.53</t>
  </si>
  <si>
    <t>52.28</t>
  </si>
  <si>
    <t>53.45</t>
  </si>
  <si>
    <t>53.54</t>
  </si>
  <si>
    <t>57.69</t>
  </si>
  <si>
    <t>55.84</t>
  </si>
  <si>
    <t>57.28</t>
  </si>
  <si>
    <t>51.32</t>
  </si>
  <si>
    <t>50.89</t>
  </si>
  <si>
    <t>51.97</t>
  </si>
  <si>
    <t>51.06</t>
  </si>
  <si>
    <t>50.16</t>
  </si>
  <si>
    <t>49.52</t>
  </si>
  <si>
    <t>50.62</t>
  </si>
  <si>
    <t>0.655</t>
  </si>
  <si>
    <t>48.06</t>
  </si>
  <si>
    <t>48.55</t>
  </si>
  <si>
    <t>48.32</t>
  </si>
  <si>
    <t>50.08</t>
  </si>
  <si>
    <t>54.83</t>
  </si>
  <si>
    <t>58.1</t>
  </si>
  <si>
    <t>57.52</t>
  </si>
  <si>
    <t>3.39</t>
  </si>
  <si>
    <t>49.79</t>
  </si>
  <si>
    <t>63.69</t>
  </si>
  <si>
    <t>53.47</t>
  </si>
  <si>
    <t>48.67</t>
  </si>
  <si>
    <t>49.23</t>
  </si>
  <si>
    <t>50.81</t>
  </si>
  <si>
    <t>48.53</t>
  </si>
  <si>
    <t>50.58</t>
  </si>
  <si>
    <t>47.48</t>
  </si>
  <si>
    <t>52.2</t>
  </si>
  <si>
    <t>50.44</t>
  </si>
  <si>
    <t>55.4</t>
  </si>
  <si>
    <t>57.38</t>
  </si>
  <si>
    <t>55.61</t>
  </si>
  <si>
    <t>56.78</t>
  </si>
  <si>
    <t>0.619</t>
  </si>
  <si>
    <t>55.33</t>
  </si>
  <si>
    <t>69.63</t>
  </si>
  <si>
    <t>63.31</t>
  </si>
  <si>
    <t>59.61</t>
  </si>
  <si>
    <t>69.64</t>
  </si>
  <si>
    <t>81.38</t>
  </si>
  <si>
    <t>72.69</t>
  </si>
  <si>
    <t>70.95</t>
  </si>
  <si>
    <t>78.39</t>
  </si>
  <si>
    <t>83.47</t>
  </si>
  <si>
    <t>86.7</t>
  </si>
  <si>
    <t>90.75</t>
  </si>
  <si>
    <t>98.44</t>
  </si>
  <si>
    <t>95.08</t>
  </si>
  <si>
    <t>92.9</t>
  </si>
  <si>
    <t>96.51</t>
  </si>
  <si>
    <t>98.21</t>
  </si>
  <si>
    <t>94.29</t>
  </si>
  <si>
    <t>97.17</t>
  </si>
  <si>
    <t>99.12</t>
  </si>
  <si>
    <t>98.23</t>
  </si>
  <si>
    <t>92.81</t>
  </si>
  <si>
    <t>98.62</t>
  </si>
  <si>
    <t>80.79</t>
  </si>
  <si>
    <t>87.1</t>
  </si>
  <si>
    <t>83.84</t>
  </si>
  <si>
    <t>82.75</t>
  </si>
  <si>
    <t>84.43</t>
  </si>
  <si>
    <t>80.38</t>
  </si>
  <si>
    <t>82.58</t>
  </si>
  <si>
    <t>82.04</t>
  </si>
  <si>
    <t>81.06</t>
  </si>
  <si>
    <t>82.38</t>
  </si>
  <si>
    <t>0.576</t>
  </si>
  <si>
    <t>0.658</t>
  </si>
  <si>
    <t>0.371</t>
  </si>
  <si>
    <t>0.745</t>
  </si>
  <si>
    <t>0.281</t>
  </si>
  <si>
    <t>0.598</t>
  </si>
  <si>
    <t>51.07</t>
  </si>
  <si>
    <t>50.52</t>
  </si>
  <si>
    <t>52.04</t>
  </si>
  <si>
    <t>51.23</t>
  </si>
  <si>
    <t>51.42</t>
  </si>
  <si>
    <t>49.81</t>
  </si>
  <si>
    <t>52.74</t>
  </si>
  <si>
    <t>57.35</t>
  </si>
  <si>
    <t>68.9</t>
  </si>
  <si>
    <t>60.25</t>
  </si>
  <si>
    <t>65.73</t>
  </si>
  <si>
    <t>94.65</t>
  </si>
  <si>
    <t>67.06</t>
  </si>
  <si>
    <t>85.68</t>
  </si>
  <si>
    <t>80.48</t>
  </si>
  <si>
    <t>96.76</t>
  </si>
  <si>
    <t>85.16</t>
  </si>
  <si>
    <t>98.78</t>
  </si>
  <si>
    <t>73.77</t>
  </si>
  <si>
    <t>77.63</t>
  </si>
  <si>
    <t>76.45</t>
  </si>
  <si>
    <t>78.88</t>
  </si>
  <si>
    <t>64.92</t>
  </si>
  <si>
    <t>73.48</t>
  </si>
  <si>
    <t>68.43</t>
  </si>
  <si>
    <t>66.4</t>
  </si>
  <si>
    <t>71.56</t>
  </si>
  <si>
    <t>62.6</t>
  </si>
  <si>
    <t>63.64</t>
  </si>
  <si>
    <t>63.24</t>
  </si>
  <si>
    <t>67.75</t>
  </si>
  <si>
    <t>75.7</t>
  </si>
  <si>
    <t>0.899</t>
  </si>
  <si>
    <t>86.42</t>
  </si>
  <si>
    <t>80.47</t>
  </si>
  <si>
    <t>82.91</t>
  </si>
  <si>
    <t>78.26</t>
  </si>
  <si>
    <t>76.73</t>
  </si>
  <si>
    <t>79.95</t>
  </si>
  <si>
    <t>80.94</t>
  </si>
  <si>
    <t>75.03</t>
  </si>
  <si>
    <t>83.68</t>
  </si>
  <si>
    <t>73.02</t>
  </si>
  <si>
    <t>88.27</t>
  </si>
  <si>
    <t>73.75</t>
  </si>
  <si>
    <t>84.38</t>
  </si>
  <si>
    <t>82.2</t>
  </si>
  <si>
    <t>89.49</t>
  </si>
  <si>
    <t>86.83</t>
  </si>
  <si>
    <t>75.14</t>
  </si>
  <si>
    <t>68.03</t>
  </si>
  <si>
    <t>79.38</t>
  </si>
  <si>
    <t>80.42</t>
  </si>
  <si>
    <t>88.71</t>
  </si>
  <si>
    <t>86.74</t>
  </si>
  <si>
    <t>81.97</t>
  </si>
  <si>
    <t>87.69</t>
  </si>
  <si>
    <t>3.03</t>
  </si>
  <si>
    <t>80.04</t>
  </si>
  <si>
    <t>99.1</t>
  </si>
  <si>
    <t>80.62</t>
  </si>
  <si>
    <t>87.78</t>
  </si>
  <si>
    <t>42.55</t>
  </si>
  <si>
    <t>107.47</t>
  </si>
  <si>
    <t>60.16</t>
  </si>
  <si>
    <t>48.02</t>
  </si>
  <si>
    <t>46.98</t>
  </si>
  <si>
    <t>71.61</t>
  </si>
  <si>
    <t>72.45</t>
  </si>
  <si>
    <t>72.42</t>
  </si>
  <si>
    <t>71.84</t>
  </si>
  <si>
    <t>72.44</t>
  </si>
  <si>
    <t>0.324</t>
  </si>
  <si>
    <t>74.02</t>
  </si>
  <si>
    <t>63.8</t>
  </si>
  <si>
    <t>73.45</t>
  </si>
  <si>
    <t>56.27</t>
  </si>
  <si>
    <t>57.37</t>
  </si>
  <si>
    <t>56.77</t>
  </si>
  <si>
    <t>68.06</t>
  </si>
  <si>
    <t>57.7</t>
  </si>
  <si>
    <t>63.68</t>
  </si>
  <si>
    <t>61.92</t>
  </si>
  <si>
    <t>68.66</t>
  </si>
  <si>
    <t>70.43</t>
  </si>
  <si>
    <t>60.46</t>
  </si>
  <si>
    <t>91.79</t>
  </si>
  <si>
    <t>63.74</t>
  </si>
  <si>
    <t>61.09</t>
  </si>
  <si>
    <t>79.48</t>
  </si>
  <si>
    <t>98.85</t>
  </si>
  <si>
    <t>95.51</t>
  </si>
  <si>
    <t>81.33</t>
  </si>
  <si>
    <t>97.79</t>
  </si>
  <si>
    <t>60.52</t>
  </si>
  <si>
    <t>60.7</t>
  </si>
  <si>
    <t>53.21</t>
  </si>
  <si>
    <t>60.95</t>
  </si>
  <si>
    <t>52.65</t>
  </si>
  <si>
    <t>54.11</t>
  </si>
  <si>
    <t>53.24</t>
  </si>
  <si>
    <t>56.79</t>
  </si>
  <si>
    <t>59.81</t>
  </si>
  <si>
    <t>69.14</t>
  </si>
  <si>
    <t>64.7</t>
  </si>
  <si>
    <t>70.54</t>
  </si>
  <si>
    <t>67.26</t>
  </si>
  <si>
    <t>65.08</t>
  </si>
  <si>
    <t>68.05</t>
  </si>
  <si>
    <t>70.33</t>
  </si>
  <si>
    <t>85.5</t>
  </si>
  <si>
    <t>79.25</t>
  </si>
  <si>
    <t>84.04</t>
  </si>
  <si>
    <t>84.71</t>
  </si>
  <si>
    <t>75.68</t>
  </si>
  <si>
    <t>75.88</t>
  </si>
  <si>
    <t>73.38</t>
  </si>
  <si>
    <t>74.61</t>
  </si>
  <si>
    <t>75.01</t>
  </si>
  <si>
    <t>76.03</t>
  </si>
  <si>
    <t>76.55</t>
  </si>
  <si>
    <t>71.38</t>
  </si>
  <si>
    <t>77.23</t>
  </si>
  <si>
    <t>73.84</t>
  </si>
  <si>
    <t>76.65</t>
  </si>
  <si>
    <t>72.73</t>
  </si>
  <si>
    <t>70.61</t>
  </si>
  <si>
    <t>71.26</t>
  </si>
  <si>
    <t>68.52</t>
  </si>
  <si>
    <t>72.94</t>
  </si>
  <si>
    <t>70.66</t>
  </si>
  <si>
    <t>70.45</t>
  </si>
  <si>
    <t>71.05</t>
  </si>
  <si>
    <t>69.42</t>
  </si>
  <si>
    <t>73.09</t>
  </si>
  <si>
    <t>72.81</t>
  </si>
  <si>
    <t>71.44</t>
  </si>
  <si>
    <t>73.04</t>
  </si>
  <si>
    <t>70.2</t>
  </si>
  <si>
    <t>67.02</t>
  </si>
  <si>
    <t>63.51</t>
  </si>
  <si>
    <t>62.37</t>
  </si>
  <si>
    <t>65.33</t>
  </si>
  <si>
    <t>66.23</t>
  </si>
  <si>
    <t>74.62</t>
  </si>
  <si>
    <t>72.67</t>
  </si>
  <si>
    <t>70.8</t>
  </si>
  <si>
    <t>73.41</t>
  </si>
  <si>
    <t>65.29</t>
  </si>
  <si>
    <t>69.29</t>
  </si>
  <si>
    <t>67.98</t>
  </si>
  <si>
    <t>67.31</t>
  </si>
  <si>
    <t>0.752</t>
  </si>
  <si>
    <t>45.3</t>
  </si>
  <si>
    <t>48.69</t>
  </si>
  <si>
    <t>45.36</t>
  </si>
  <si>
    <t>49.02</t>
  </si>
  <si>
    <t>49.77</t>
  </si>
  <si>
    <t>49.44</t>
  </si>
  <si>
    <t>49.56</t>
  </si>
  <si>
    <t>121.54</t>
  </si>
  <si>
    <t>122.12</t>
  </si>
  <si>
    <t>120.88</t>
  </si>
  <si>
    <t>121.27</t>
  </si>
  <si>
    <t>122.46</t>
  </si>
  <si>
    <t>125.5</t>
  </si>
  <si>
    <t>123.71</t>
  </si>
  <si>
    <t>123.46</t>
  </si>
  <si>
    <t>124.96</t>
  </si>
  <si>
    <t>0.879</t>
  </si>
  <si>
    <t>123.75</t>
  </si>
  <si>
    <t>124.59</t>
  </si>
  <si>
    <t>122.75</t>
  </si>
  <si>
    <t>124.31</t>
  </si>
  <si>
    <t>123.69</t>
  </si>
  <si>
    <t>123.25</t>
  </si>
  <si>
    <t>124.06</t>
  </si>
  <si>
    <t>100.54</t>
  </si>
  <si>
    <t>101.07</t>
  </si>
  <si>
    <t>100.7</t>
  </si>
  <si>
    <t>100.58</t>
  </si>
  <si>
    <t>100.93</t>
  </si>
  <si>
    <t>101.29</t>
  </si>
  <si>
    <t>105.44</t>
  </si>
  <si>
    <t>104.46</t>
  </si>
  <si>
    <t>103.02</t>
  </si>
  <si>
    <t>104.95</t>
  </si>
  <si>
    <t>103.19</t>
  </si>
  <si>
    <t>104.38</t>
  </si>
  <si>
    <t>103.68</t>
  </si>
  <si>
    <t>103.48</t>
  </si>
  <si>
    <t>104.21</t>
  </si>
  <si>
    <t>100.71</t>
  </si>
  <si>
    <t>103.69</t>
  </si>
  <si>
    <t>102.13</t>
  </si>
  <si>
    <t>101.32</t>
  </si>
  <si>
    <t>102.66</t>
  </si>
  <si>
    <t>101.04</t>
  </si>
  <si>
    <t>99.25</t>
  </si>
  <si>
    <t>100.87</t>
  </si>
  <si>
    <t>98.88</t>
  </si>
  <si>
    <t>100.4</t>
  </si>
  <si>
    <t>99.42</t>
  </si>
  <si>
    <t>99.19</t>
  </si>
  <si>
    <t>100.2</t>
  </si>
  <si>
    <t>100.17</t>
  </si>
  <si>
    <t>99.26</t>
  </si>
  <si>
    <t>99.41</t>
  </si>
  <si>
    <t>99.52</t>
  </si>
  <si>
    <t>102.23</t>
  </si>
  <si>
    <t>99.95</t>
  </si>
  <si>
    <t>99.64</t>
  </si>
  <si>
    <t>101.39</t>
  </si>
  <si>
    <t>102.31</t>
  </si>
  <si>
    <t>103.96</t>
  </si>
  <si>
    <t>103.12</t>
  </si>
  <si>
    <t>102.9</t>
  </si>
  <si>
    <t>103.53</t>
  </si>
  <si>
    <t>102.85</t>
  </si>
  <si>
    <t>104.25</t>
  </si>
  <si>
    <t>103.8</t>
  </si>
  <si>
    <t>103.32</t>
  </si>
  <si>
    <t>104.09</t>
  </si>
  <si>
    <t>102.1</t>
  </si>
  <si>
    <t>103.1</t>
  </si>
  <si>
    <t>102.6</t>
  </si>
  <si>
    <t>102.43</t>
  </si>
  <si>
    <t>102.78</t>
  </si>
  <si>
    <t>100.62</t>
  </si>
  <si>
    <t>101.92</t>
  </si>
  <si>
    <t>100.91</t>
  </si>
  <si>
    <t>100.82</t>
  </si>
  <si>
    <t>101.38</t>
  </si>
  <si>
    <t>101.98</t>
  </si>
  <si>
    <t>102.77</t>
  </si>
  <si>
    <t>102.5</t>
  </si>
  <si>
    <t>102.17</t>
  </si>
  <si>
    <t>102.63</t>
  </si>
  <si>
    <t>102.96</t>
  </si>
  <si>
    <t>104.6</t>
  </si>
  <si>
    <t>104.05</t>
  </si>
  <si>
    <t>103.78</t>
  </si>
  <si>
    <t>104.5</t>
  </si>
  <si>
    <t>104.31</t>
  </si>
  <si>
    <t>104.06</t>
  </si>
  <si>
    <t>104.02</t>
  </si>
  <si>
    <t>104.12</t>
  </si>
  <si>
    <t>87.92</t>
  </si>
  <si>
    <t>88.36</t>
  </si>
  <si>
    <t>88.13</t>
  </si>
  <si>
    <t>87.98</t>
  </si>
  <si>
    <t>88.29</t>
  </si>
  <si>
    <t>88.98</t>
  </si>
  <si>
    <t>89.39</t>
  </si>
  <si>
    <t>89.25</t>
  </si>
  <si>
    <t>88.5</t>
  </si>
  <si>
    <t>88.91</t>
  </si>
  <si>
    <t>89.2</t>
  </si>
  <si>
    <t>95.75</t>
  </si>
  <si>
    <t>93.24</t>
  </si>
  <si>
    <t>92.92</t>
  </si>
  <si>
    <t>94.82</t>
  </si>
  <si>
    <t>94.42</t>
  </si>
  <si>
    <t>93.73</t>
  </si>
  <si>
    <t>93.4</t>
  </si>
  <si>
    <t>90.81</t>
  </si>
  <si>
    <t>95.48</t>
  </si>
  <si>
    <t>92.5</t>
  </si>
  <si>
    <t>91.99</t>
  </si>
  <si>
    <t>96.75</t>
  </si>
  <si>
    <t>99.35</t>
  </si>
  <si>
    <t>98.77</t>
  </si>
  <si>
    <t>98.22</t>
  </si>
  <si>
    <t>99.05</t>
  </si>
  <si>
    <t>96.27</t>
  </si>
  <si>
    <t>99.38</t>
  </si>
  <si>
    <t>98.15</t>
  </si>
  <si>
    <t>88.79</t>
  </si>
  <si>
    <t>98.69</t>
  </si>
  <si>
    <t>96.37</t>
  </si>
  <si>
    <t>98.1</t>
  </si>
  <si>
    <t>82.96</t>
  </si>
  <si>
    <t>84.68</t>
  </si>
  <si>
    <t>72.58</t>
  </si>
  <si>
    <t>94.98</t>
  </si>
  <si>
    <t>86.84</t>
  </si>
  <si>
    <t>79.28</t>
  </si>
  <si>
    <t>102.42</t>
  </si>
  <si>
    <t>95.12</t>
  </si>
  <si>
    <t>98.49</t>
  </si>
  <si>
    <t>101.77</t>
  </si>
  <si>
    <t>70.23</t>
  </si>
  <si>
    <t>32.57</t>
  </si>
  <si>
    <t>52.73</t>
  </si>
  <si>
    <t>32.85</t>
  </si>
  <si>
    <t>58.17</t>
  </si>
  <si>
    <t>64.2</t>
  </si>
  <si>
    <t>67.9</t>
  </si>
  <si>
    <t>66.09</t>
  </si>
  <si>
    <t>64.54</t>
  </si>
  <si>
    <t>67.14</t>
  </si>
  <si>
    <t>77.53</t>
  </si>
  <si>
    <t>72.41</t>
  </si>
  <si>
    <t>65.5</t>
  </si>
  <si>
    <t>93.26</t>
  </si>
  <si>
    <t>79.84</t>
  </si>
  <si>
    <t>98.34</t>
  </si>
  <si>
    <t>71.51</t>
  </si>
  <si>
    <t>70.81</t>
  </si>
  <si>
    <t>71.76</t>
  </si>
  <si>
    <t>56.46</t>
  </si>
  <si>
    <t>70.27</t>
  </si>
  <si>
    <t>57.49</t>
  </si>
  <si>
    <t>56.61</t>
  </si>
  <si>
    <t>61.86</t>
  </si>
  <si>
    <t>79.75</t>
  </si>
  <si>
    <t>65.75</t>
  </si>
  <si>
    <t>81.52</t>
  </si>
  <si>
    <t>74.34</t>
  </si>
  <si>
    <t>80.95</t>
  </si>
  <si>
    <t>68.13</t>
  </si>
  <si>
    <t>64.73</t>
  </si>
  <si>
    <t>64.53</t>
  </si>
  <si>
    <t>56.85</t>
  </si>
  <si>
    <t>71.06</t>
  </si>
  <si>
    <t>67.13</t>
  </si>
  <si>
    <t>62.21</t>
  </si>
  <si>
    <t>69.51</t>
  </si>
  <si>
    <t>51.38</t>
  </si>
  <si>
    <t>55.05</t>
  </si>
  <si>
    <t>52.45</t>
  </si>
  <si>
    <t>58.72</t>
  </si>
  <si>
    <t>59.69</t>
  </si>
  <si>
    <t>65.86</t>
  </si>
  <si>
    <t>70.29</t>
  </si>
  <si>
    <t>74.27</t>
  </si>
  <si>
    <t>71.72</t>
  </si>
  <si>
    <t>74.5</t>
  </si>
  <si>
    <t>79.59</t>
  </si>
  <si>
    <t>74.77</t>
  </si>
  <si>
    <t>82.44</t>
  </si>
  <si>
    <t>81.68</t>
  </si>
  <si>
    <t>80.72</t>
  </si>
  <si>
    <t>82.29</t>
  </si>
  <si>
    <t>80.27</t>
  </si>
  <si>
    <t>80.18</t>
  </si>
  <si>
    <t>79.23</t>
  </si>
  <si>
    <t>79.69</t>
  </si>
  <si>
    <t>54.25</t>
  </si>
  <si>
    <t>52.54</t>
  </si>
  <si>
    <t>49.15</t>
  </si>
  <si>
    <t>31.05</t>
  </si>
  <si>
    <t>51.51</t>
  </si>
  <si>
    <t>50.54</t>
  </si>
  <si>
    <t>42.7</t>
  </si>
  <si>
    <t>36.71</t>
  </si>
  <si>
    <t>46.51</t>
  </si>
  <si>
    <t>31.37</t>
  </si>
  <si>
    <t>39.94</t>
  </si>
  <si>
    <t>51.5</t>
  </si>
  <si>
    <t>28.28</t>
  </si>
  <si>
    <t>27.09</t>
  </si>
  <si>
    <t>51.71</t>
  </si>
  <si>
    <t>52.4</t>
  </si>
  <si>
    <t>51.92</t>
  </si>
  <si>
    <t>52.17</t>
  </si>
  <si>
    <t>52.44</t>
  </si>
  <si>
    <t>58.77</t>
  </si>
  <si>
    <t>72.23</t>
  </si>
  <si>
    <t>50.42</t>
  </si>
  <si>
    <t>49.05</t>
  </si>
  <si>
    <t>50.28</t>
  </si>
  <si>
    <t>62.5</t>
  </si>
  <si>
    <t>38.58</t>
  </si>
  <si>
    <t>51.29</t>
  </si>
  <si>
    <t>85.02</t>
  </si>
  <si>
    <t>77.41</t>
  </si>
  <si>
    <t>74.63</t>
  </si>
  <si>
    <t>79.58</t>
  </si>
  <si>
    <t>85.96</t>
  </si>
  <si>
    <t>104.04</t>
  </si>
  <si>
    <t>95.6</t>
  </si>
  <si>
    <t>91.98</t>
  </si>
  <si>
    <t>99.86</t>
  </si>
  <si>
    <t>91.29</t>
  </si>
  <si>
    <t>117.1</t>
  </si>
  <si>
    <t>94.19</t>
  </si>
  <si>
    <t>92.98</t>
  </si>
  <si>
    <t>93.42</t>
  </si>
  <si>
    <t>102.61</t>
  </si>
  <si>
    <t>97.91</t>
  </si>
  <si>
    <t>108.92</t>
  </si>
  <si>
    <t>95.4</t>
  </si>
  <si>
    <t>116.62</t>
  </si>
  <si>
    <t>106.4</t>
  </si>
  <si>
    <t>117.31</t>
  </si>
  <si>
    <t>106.44</t>
  </si>
  <si>
    <t>125.71</t>
  </si>
  <si>
    <t>122.07</t>
  </si>
  <si>
    <t>116.25</t>
  </si>
  <si>
    <t>124.3</t>
  </si>
  <si>
    <t>101.42</t>
  </si>
  <si>
    <t>105.62</t>
  </si>
  <si>
    <t>102.35</t>
  </si>
  <si>
    <t>97.63</t>
  </si>
  <si>
    <t>120.7</t>
  </si>
  <si>
    <t>102.91</t>
  </si>
  <si>
    <t>101.06</t>
  </si>
  <si>
    <t>111.46</t>
  </si>
  <si>
    <t>6.76</t>
  </si>
  <si>
    <t>122.72</t>
  </si>
  <si>
    <t>132.71</t>
  </si>
  <si>
    <t>129.49</t>
  </si>
  <si>
    <t>124.07</t>
  </si>
  <si>
    <t>130.66</t>
  </si>
  <si>
    <t>78.76</t>
  </si>
  <si>
    <t>81.16</t>
  </si>
  <si>
    <t>83.21</t>
  </si>
  <si>
    <t>78.45</t>
  </si>
  <si>
    <t>73.63</t>
  </si>
  <si>
    <t>76.41</t>
  </si>
  <si>
    <t>60.12</t>
  </si>
  <si>
    <t>71.5</t>
  </si>
  <si>
    <t>4.35</t>
  </si>
  <si>
    <t>61.33</t>
  </si>
  <si>
    <t>64.19</t>
  </si>
  <si>
    <t>68.91</t>
  </si>
  <si>
    <t>106.69</t>
  </si>
  <si>
    <t>103.5</t>
  </si>
  <si>
    <t>101.83</t>
  </si>
  <si>
    <t>105.98</t>
  </si>
  <si>
    <t>87.94</t>
  </si>
  <si>
    <t>101.73</t>
  </si>
  <si>
    <t>89.58</t>
  </si>
  <si>
    <t>88.83</t>
  </si>
  <si>
    <t>77.56</t>
  </si>
  <si>
    <t>78.09</t>
  </si>
  <si>
    <t>77.67</t>
  </si>
  <si>
    <t>103.73</t>
  </si>
  <si>
    <t>89.72</t>
  </si>
  <si>
    <t>97.43</t>
  </si>
  <si>
    <t>106.33</t>
  </si>
  <si>
    <t>113.31</t>
  </si>
  <si>
    <t>110.05</t>
  </si>
  <si>
    <t>108.98</t>
  </si>
  <si>
    <t>112.64</t>
  </si>
  <si>
    <t>96.98</t>
  </si>
  <si>
    <t>95.98</t>
  </si>
  <si>
    <t>104.45</t>
  </si>
  <si>
    <t>94.81</t>
  </si>
  <si>
    <t>96.52</t>
  </si>
  <si>
    <t>96.47</t>
  </si>
  <si>
    <t>95.45</t>
  </si>
  <si>
    <t>88.19</t>
  </si>
  <si>
    <t>95.26</t>
  </si>
  <si>
    <t>93.43</t>
  </si>
  <si>
    <t>97.58</t>
  </si>
  <si>
    <t>90.23</t>
  </si>
  <si>
    <t>89.57</t>
  </si>
  <si>
    <t>85.56</t>
  </si>
  <si>
    <t>91.94</t>
  </si>
  <si>
    <t>91.39</t>
  </si>
  <si>
    <t>87.65</t>
  </si>
  <si>
    <t>85.6</t>
  </si>
  <si>
    <t>91.88</t>
  </si>
  <si>
    <t>86.57</t>
  </si>
  <si>
    <t>85.24</t>
  </si>
  <si>
    <t>90.3</t>
  </si>
  <si>
    <t>94.54</t>
  </si>
  <si>
    <t>91.87</t>
  </si>
  <si>
    <t>94.41</t>
  </si>
  <si>
    <t>94.4</t>
  </si>
  <si>
    <t>91.14</t>
  </si>
  <si>
    <t>93.79</t>
  </si>
  <si>
    <t>90.17</t>
  </si>
  <si>
    <t>91.4</t>
  </si>
  <si>
    <t>90.79</t>
  </si>
  <si>
    <t>94.76</t>
  </si>
  <si>
    <t>95.89</t>
  </si>
  <si>
    <t>95.56</t>
  </si>
  <si>
    <t>96.36</t>
  </si>
  <si>
    <t>106.23</t>
  </si>
  <si>
    <t>104.83</t>
  </si>
  <si>
    <t>100.07</t>
  </si>
  <si>
    <t>105.74</t>
  </si>
  <si>
    <t>104.69</t>
  </si>
  <si>
    <t>109.81</t>
  </si>
  <si>
    <t>106.84</t>
  </si>
  <si>
    <t>106.22</t>
  </si>
  <si>
    <t>107.59</t>
  </si>
  <si>
    <t>103.08</t>
  </si>
  <si>
    <t>106.75</t>
  </si>
  <si>
    <t>105.26</t>
  </si>
  <si>
    <t>110.94</t>
  </si>
  <si>
    <t>91.3</t>
  </si>
  <si>
    <t>92.41</t>
  </si>
  <si>
    <t>94.58</t>
  </si>
  <si>
    <t>102.65</t>
  </si>
  <si>
    <t>99.82</t>
  </si>
  <si>
    <t>99.03</t>
  </si>
  <si>
    <t>101.8</t>
  </si>
  <si>
    <t>1.95</t>
  </si>
  <si>
    <t>102.06</t>
  </si>
  <si>
    <t>97.1</t>
  </si>
  <si>
    <t>100.35</t>
  </si>
  <si>
    <t>93.19</t>
  </si>
  <si>
    <t>97.16</t>
  </si>
  <si>
    <t>105.69</t>
  </si>
  <si>
    <t>TANGGAL</t>
  </si>
  <si>
    <t>MOTOR</t>
  </si>
  <si>
    <t>MOBIL</t>
  </si>
  <si>
    <t>BIS / TRUK</t>
  </si>
  <si>
    <t>JUMLAH KENDARAAN</t>
  </si>
  <si>
    <t>cek</t>
  </si>
  <si>
    <t>CO</t>
  </si>
  <si>
    <t>NO2</t>
  </si>
  <si>
    <t>O3</t>
  </si>
  <si>
    <t>PM10</t>
  </si>
  <si>
    <t>PM2.5</t>
  </si>
  <si>
    <t>SO2</t>
  </si>
  <si>
    <t>SEPEDA MOTOR</t>
  </si>
  <si>
    <t>MOBIL PRIBADI</t>
  </si>
  <si>
    <t>BIS/TRUCK BARANG</t>
  </si>
  <si>
    <t>CEK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</si>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</sst>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FB2F-CAE4-4C7A-B9C8-D2DE5269311A}">
  <dimension ref="A1:L453"/>
  <sheetViews>
    <sheetView tabSelected="1" workbookViewId="0">
      <selection activeCell="L12" sqref="L12"/>
    </sheetView>
  </sheetViews>
  <sheetFormatPr defaultRowHeight="14.25" x14ac:dyDescent="0.45"/>
  <cols>
    <col min="1" max="1" width="12.59765625" bestFit="1" customWidth="1"/>
    <col min="8" max="8" width="13.19921875" bestFit="1" customWidth="1"/>
    <col min="9" max="9" width="12.3984375" bestFit="1" customWidth="1"/>
    <col min="10" max="10" width="16.265625" bestFit="1" customWidth="1"/>
  </cols>
  <sheetData>
    <row r="1" spans="1:12" x14ac:dyDescent="0.45">
      <c r="A1" s="3" t="s">
        <v>5188</v>
      </c>
      <c r="B1" t="s">
        <v>5194</v>
      </c>
      <c r="C1" t="s">
        <v>5195</v>
      </c>
      <c r="D1" t="s">
        <v>5196</v>
      </c>
      <c r="E1" t="s">
        <v>5197</v>
      </c>
      <c r="F1" t="s">
        <v>5198</v>
      </c>
      <c r="G1" t="s">
        <v>5199</v>
      </c>
      <c r="H1" t="s">
        <v>5200</v>
      </c>
      <c r="I1" t="s">
        <v>5201</v>
      </c>
      <c r="J1" t="s">
        <v>5202</v>
      </c>
    </row>
    <row r="2" spans="1:12" x14ac:dyDescent="0.45">
      <c r="A2" s="4">
        <v>45337</v>
      </c>
      <c r="B2">
        <v>1</v>
      </c>
      <c r="C2">
        <v>20</v>
      </c>
      <c r="D2" t="s">
        <v>2139</v>
      </c>
      <c r="E2" t="s">
        <v>1778</v>
      </c>
      <c r="F2" t="s">
        <v>1330</v>
      </c>
      <c r="G2" t="s">
        <v>335</v>
      </c>
      <c r="H2" s="1">
        <v>148384</v>
      </c>
      <c r="I2" s="1">
        <v>55102</v>
      </c>
      <c r="J2" s="1">
        <v>21131</v>
      </c>
    </row>
    <row r="3" spans="1:12" x14ac:dyDescent="0.45">
      <c r="A3" s="4">
        <v>45338</v>
      </c>
      <c r="B3" t="s">
        <v>119</v>
      </c>
      <c r="C3" t="s">
        <v>452</v>
      </c>
      <c r="D3" t="s">
        <v>2143</v>
      </c>
      <c r="E3" t="s">
        <v>3225</v>
      </c>
      <c r="F3" t="s">
        <v>2608</v>
      </c>
      <c r="G3" t="s">
        <v>3064</v>
      </c>
      <c r="H3" s="1">
        <v>161673</v>
      </c>
      <c r="I3" s="1">
        <v>60396</v>
      </c>
      <c r="J3" s="1">
        <v>26323</v>
      </c>
    </row>
    <row r="4" spans="1:12" x14ac:dyDescent="0.45">
      <c r="A4" s="4">
        <v>45342</v>
      </c>
      <c r="B4" t="s">
        <v>41</v>
      </c>
      <c r="C4" t="s">
        <v>449</v>
      </c>
      <c r="D4" t="s">
        <v>2145</v>
      </c>
      <c r="E4" t="s">
        <v>1132</v>
      </c>
      <c r="F4" t="s">
        <v>1102</v>
      </c>
      <c r="G4" t="s">
        <v>1929</v>
      </c>
      <c r="H4" s="1">
        <v>165764</v>
      </c>
      <c r="I4" s="1">
        <v>60934</v>
      </c>
      <c r="J4" s="1">
        <v>26548</v>
      </c>
    </row>
    <row r="5" spans="1:12" x14ac:dyDescent="0.45">
      <c r="A5" s="4">
        <v>45343</v>
      </c>
      <c r="B5" t="s">
        <v>117</v>
      </c>
      <c r="C5" t="s">
        <v>458</v>
      </c>
      <c r="D5" t="s">
        <v>2148</v>
      </c>
      <c r="E5" t="s">
        <v>1912</v>
      </c>
      <c r="F5" t="s">
        <v>2402</v>
      </c>
      <c r="G5" t="s">
        <v>3992</v>
      </c>
      <c r="H5" s="1">
        <v>143283</v>
      </c>
      <c r="I5" s="1">
        <v>54033</v>
      </c>
      <c r="J5" s="1">
        <v>26256</v>
      </c>
    </row>
    <row r="6" spans="1:12" x14ac:dyDescent="0.45">
      <c r="A6" s="4">
        <v>45344</v>
      </c>
      <c r="B6" t="s">
        <v>114</v>
      </c>
      <c r="C6">
        <v>113</v>
      </c>
      <c r="D6" t="s">
        <v>1722</v>
      </c>
      <c r="E6" t="s">
        <v>3241</v>
      </c>
      <c r="F6" t="s">
        <v>1673</v>
      </c>
      <c r="G6">
        <v>81</v>
      </c>
      <c r="H6" s="1">
        <v>184188</v>
      </c>
      <c r="I6" s="1">
        <v>63106</v>
      </c>
      <c r="J6" s="1">
        <v>26807</v>
      </c>
    </row>
    <row r="7" spans="1:12" x14ac:dyDescent="0.45">
      <c r="A7" s="4">
        <v>45372</v>
      </c>
      <c r="B7" t="s">
        <v>137</v>
      </c>
      <c r="C7" t="s">
        <v>464</v>
      </c>
      <c r="D7" t="s">
        <v>2156</v>
      </c>
      <c r="E7" t="s">
        <v>3115</v>
      </c>
      <c r="F7">
        <v>19</v>
      </c>
      <c r="G7" t="s">
        <v>1931</v>
      </c>
      <c r="H7" s="1">
        <v>185771</v>
      </c>
      <c r="I7" s="1">
        <v>59183</v>
      </c>
      <c r="J7" s="1">
        <v>25106</v>
      </c>
    </row>
    <row r="8" spans="1:12" x14ac:dyDescent="0.45">
      <c r="A8" s="4">
        <v>45373</v>
      </c>
      <c r="B8" t="s">
        <v>115</v>
      </c>
      <c r="C8" t="s">
        <v>470</v>
      </c>
      <c r="D8" t="s">
        <v>2161</v>
      </c>
      <c r="E8" t="s">
        <v>3249</v>
      </c>
      <c r="F8" t="s">
        <v>3416</v>
      </c>
      <c r="G8" t="s">
        <v>1239</v>
      </c>
      <c r="H8" s="1">
        <v>172673</v>
      </c>
      <c r="I8" s="1">
        <v>61134</v>
      </c>
      <c r="J8" s="1">
        <v>23582</v>
      </c>
    </row>
    <row r="9" spans="1:12" x14ac:dyDescent="0.45">
      <c r="A9" s="4">
        <v>45377</v>
      </c>
      <c r="B9" t="s">
        <v>137</v>
      </c>
      <c r="C9" t="s">
        <v>474</v>
      </c>
      <c r="D9" t="s">
        <v>2164</v>
      </c>
      <c r="E9" t="s">
        <v>1156</v>
      </c>
      <c r="F9">
        <v>19</v>
      </c>
      <c r="G9" t="s">
        <v>1103</v>
      </c>
      <c r="H9" s="1">
        <v>171563</v>
      </c>
      <c r="I9" s="1">
        <v>60161</v>
      </c>
      <c r="J9" s="1">
        <v>26248</v>
      </c>
    </row>
    <row r="10" spans="1:12" x14ac:dyDescent="0.45">
      <c r="A10" s="4">
        <v>45383</v>
      </c>
      <c r="B10" t="s">
        <v>142</v>
      </c>
      <c r="C10" t="s">
        <v>477</v>
      </c>
      <c r="D10" t="s">
        <v>2166</v>
      </c>
      <c r="E10" t="s">
        <v>1884</v>
      </c>
      <c r="F10" t="s">
        <v>1287</v>
      </c>
      <c r="G10" t="s">
        <v>1199</v>
      </c>
      <c r="H10" s="1">
        <v>185013</v>
      </c>
      <c r="I10" s="1">
        <v>69963</v>
      </c>
      <c r="J10" s="1">
        <v>26633</v>
      </c>
    </row>
    <row r="11" spans="1:12" x14ac:dyDescent="0.45">
      <c r="A11" s="4">
        <v>45384</v>
      </c>
      <c r="B11" t="s">
        <v>147</v>
      </c>
      <c r="C11" t="s">
        <v>483</v>
      </c>
      <c r="D11" t="s">
        <v>2172</v>
      </c>
      <c r="E11" t="s">
        <v>3049</v>
      </c>
      <c r="F11" t="s">
        <v>2695</v>
      </c>
      <c r="G11" t="s">
        <v>503</v>
      </c>
      <c r="H11" s="1">
        <v>148613</v>
      </c>
      <c r="I11" s="1">
        <v>57298</v>
      </c>
      <c r="J11" s="1">
        <v>25567</v>
      </c>
    </row>
    <row r="12" spans="1:12" x14ac:dyDescent="0.45">
      <c r="A12" s="4">
        <v>45385</v>
      </c>
      <c r="B12" t="s">
        <v>149</v>
      </c>
      <c r="C12" t="s">
        <v>488</v>
      </c>
      <c r="D12" t="s">
        <v>2177</v>
      </c>
      <c r="E12" t="s">
        <v>1133</v>
      </c>
      <c r="F12" t="s">
        <v>1070</v>
      </c>
      <c r="G12" t="s">
        <v>1650</v>
      </c>
      <c r="H12" s="1">
        <v>185635</v>
      </c>
      <c r="I12" s="1">
        <v>66703</v>
      </c>
      <c r="J12" s="1">
        <v>27783</v>
      </c>
      <c r="L12" t="s">
        <v>5204</v>
      </c>
    </row>
    <row r="13" spans="1:12" x14ac:dyDescent="0.45">
      <c r="A13" s="4">
        <v>45386</v>
      </c>
      <c r="B13" t="s">
        <v>110</v>
      </c>
      <c r="C13" t="s">
        <v>493</v>
      </c>
      <c r="D13" t="s">
        <v>2182</v>
      </c>
      <c r="E13">
        <v>14</v>
      </c>
      <c r="F13" t="s">
        <v>2389</v>
      </c>
      <c r="G13" t="s">
        <v>1738</v>
      </c>
      <c r="H13" s="1">
        <v>162905</v>
      </c>
      <c r="I13" s="1">
        <v>66811</v>
      </c>
      <c r="J13" s="1">
        <v>32650</v>
      </c>
    </row>
    <row r="14" spans="1:12" x14ac:dyDescent="0.45">
      <c r="A14" s="4">
        <v>45387</v>
      </c>
      <c r="B14" t="s">
        <v>151</v>
      </c>
      <c r="C14" t="s">
        <v>410</v>
      </c>
      <c r="D14" t="s">
        <v>2186</v>
      </c>
      <c r="E14" t="s">
        <v>1340</v>
      </c>
      <c r="F14" t="s">
        <v>1752</v>
      </c>
      <c r="G14" t="s">
        <v>1930</v>
      </c>
      <c r="H14" s="1">
        <v>185156</v>
      </c>
      <c r="I14" s="1">
        <v>77105</v>
      </c>
      <c r="J14" s="1">
        <v>25781</v>
      </c>
    </row>
    <row r="15" spans="1:12" x14ac:dyDescent="0.45">
      <c r="A15" s="4">
        <v>45388</v>
      </c>
      <c r="B15" t="s">
        <v>111</v>
      </c>
      <c r="C15" t="s">
        <v>502</v>
      </c>
      <c r="D15" t="s">
        <v>2191</v>
      </c>
      <c r="E15" t="s">
        <v>2790</v>
      </c>
      <c r="F15" t="s">
        <v>2604</v>
      </c>
      <c r="G15" t="s">
        <v>3191</v>
      </c>
      <c r="H15" s="1">
        <v>132394</v>
      </c>
      <c r="I15" s="1">
        <v>65332</v>
      </c>
      <c r="J15" s="1">
        <v>26447</v>
      </c>
    </row>
    <row r="16" spans="1:12" x14ac:dyDescent="0.45">
      <c r="A16" s="4">
        <v>45389</v>
      </c>
      <c r="B16" t="s">
        <v>152</v>
      </c>
      <c r="C16" t="s">
        <v>507</v>
      </c>
      <c r="D16" t="s">
        <v>2175</v>
      </c>
      <c r="E16" t="s">
        <v>1218</v>
      </c>
      <c r="F16" t="s">
        <v>1202</v>
      </c>
      <c r="G16" t="s">
        <v>3996</v>
      </c>
      <c r="H16" s="1">
        <v>131300</v>
      </c>
      <c r="I16" s="1">
        <v>73922</v>
      </c>
      <c r="J16" s="1">
        <v>20660</v>
      </c>
    </row>
    <row r="17" spans="1:10" x14ac:dyDescent="0.45">
      <c r="A17" s="4">
        <v>45390</v>
      </c>
      <c r="B17" t="s">
        <v>136</v>
      </c>
      <c r="C17" t="s">
        <v>512</v>
      </c>
      <c r="D17" t="s">
        <v>2202</v>
      </c>
      <c r="E17" t="s">
        <v>1873</v>
      </c>
      <c r="F17" t="s">
        <v>3210</v>
      </c>
      <c r="G17" t="s">
        <v>1945</v>
      </c>
      <c r="H17" s="1">
        <v>138682</v>
      </c>
      <c r="I17" s="1">
        <v>75842</v>
      </c>
      <c r="J17" s="1">
        <v>26904</v>
      </c>
    </row>
    <row r="18" spans="1:10" x14ac:dyDescent="0.45">
      <c r="A18" s="4">
        <v>45391</v>
      </c>
      <c r="B18" t="s">
        <v>156</v>
      </c>
      <c r="C18" t="s">
        <v>517</v>
      </c>
      <c r="D18" t="s">
        <v>2189</v>
      </c>
      <c r="E18" t="s">
        <v>1628</v>
      </c>
      <c r="F18" t="s">
        <v>1168</v>
      </c>
      <c r="G18" t="s">
        <v>398</v>
      </c>
      <c r="H18" s="1">
        <v>145227</v>
      </c>
      <c r="I18" s="1">
        <v>69217</v>
      </c>
      <c r="J18" s="1">
        <v>15346</v>
      </c>
    </row>
    <row r="19" spans="1:10" x14ac:dyDescent="0.45">
      <c r="A19" s="4">
        <v>45392</v>
      </c>
      <c r="B19" t="s">
        <v>156</v>
      </c>
      <c r="C19" t="s">
        <v>522</v>
      </c>
      <c r="D19" t="s">
        <v>2210</v>
      </c>
      <c r="E19" t="s">
        <v>2960</v>
      </c>
      <c r="F19" t="s">
        <v>1301</v>
      </c>
      <c r="G19" t="s">
        <v>3597</v>
      </c>
      <c r="H19" s="1">
        <v>83315</v>
      </c>
      <c r="I19" s="1">
        <v>70686</v>
      </c>
      <c r="J19" s="1">
        <v>17916</v>
      </c>
    </row>
    <row r="20" spans="1:10" x14ac:dyDescent="0.45">
      <c r="A20" s="4">
        <v>45393</v>
      </c>
      <c r="B20" t="s">
        <v>156</v>
      </c>
      <c r="C20" t="s">
        <v>527</v>
      </c>
      <c r="D20" t="s">
        <v>2216</v>
      </c>
      <c r="E20" t="s">
        <v>3233</v>
      </c>
      <c r="F20" t="s">
        <v>1774</v>
      </c>
      <c r="G20" t="s">
        <v>3710</v>
      </c>
      <c r="H20" s="1">
        <v>96864</v>
      </c>
      <c r="I20" s="1">
        <v>80354</v>
      </c>
      <c r="J20" s="1">
        <v>18746</v>
      </c>
    </row>
    <row r="21" spans="1:10" x14ac:dyDescent="0.45">
      <c r="A21" s="4">
        <v>45394</v>
      </c>
      <c r="B21" t="s">
        <v>148</v>
      </c>
      <c r="C21" t="s">
        <v>533</v>
      </c>
      <c r="D21" t="s">
        <v>2218</v>
      </c>
      <c r="E21" t="s">
        <v>3253</v>
      </c>
      <c r="F21" t="s">
        <v>2714</v>
      </c>
      <c r="G21" t="s">
        <v>823</v>
      </c>
      <c r="H21" s="1">
        <v>136910</v>
      </c>
      <c r="I21" s="1">
        <v>72175</v>
      </c>
      <c r="J21" s="1">
        <v>14803</v>
      </c>
    </row>
    <row r="22" spans="1:10" x14ac:dyDescent="0.45">
      <c r="A22" s="4">
        <v>45395</v>
      </c>
      <c r="B22" t="s">
        <v>162</v>
      </c>
      <c r="C22">
        <v>27</v>
      </c>
      <c r="D22" t="s">
        <v>2223</v>
      </c>
      <c r="E22" t="s">
        <v>1315</v>
      </c>
      <c r="F22" t="s">
        <v>3706</v>
      </c>
      <c r="G22" t="s">
        <v>3658</v>
      </c>
      <c r="H22" s="1">
        <v>116389</v>
      </c>
      <c r="I22" s="1">
        <v>82775</v>
      </c>
      <c r="J22" s="1">
        <v>25296</v>
      </c>
    </row>
    <row r="23" spans="1:10" x14ac:dyDescent="0.45">
      <c r="A23" s="4">
        <v>45396</v>
      </c>
      <c r="B23" t="s">
        <v>163</v>
      </c>
      <c r="C23" t="s">
        <v>404</v>
      </c>
      <c r="D23" t="s">
        <v>2228</v>
      </c>
      <c r="E23" t="s">
        <v>1980</v>
      </c>
      <c r="F23" t="s">
        <v>2062</v>
      </c>
      <c r="G23" t="s">
        <v>3546</v>
      </c>
      <c r="H23" s="1">
        <v>136340</v>
      </c>
      <c r="I23" s="1">
        <v>84449</v>
      </c>
      <c r="J23" s="1">
        <v>21273</v>
      </c>
    </row>
    <row r="24" spans="1:10" x14ac:dyDescent="0.45">
      <c r="A24" s="4">
        <v>45397</v>
      </c>
      <c r="B24" t="s">
        <v>156</v>
      </c>
      <c r="C24" t="s">
        <v>545</v>
      </c>
      <c r="D24" t="s">
        <v>2233</v>
      </c>
      <c r="E24" t="s">
        <v>1917</v>
      </c>
      <c r="F24" t="s">
        <v>1460</v>
      </c>
      <c r="G24" t="s">
        <v>625</v>
      </c>
      <c r="H24" s="1">
        <v>161911</v>
      </c>
      <c r="I24" s="1">
        <v>77932</v>
      </c>
      <c r="J24" s="1">
        <v>22331</v>
      </c>
    </row>
    <row r="25" spans="1:10" x14ac:dyDescent="0.45">
      <c r="A25" s="4">
        <v>45398</v>
      </c>
      <c r="B25" t="s">
        <v>110</v>
      </c>
      <c r="C25" t="s">
        <v>549</v>
      </c>
      <c r="D25" t="s">
        <v>2238</v>
      </c>
      <c r="E25" t="s">
        <v>1448</v>
      </c>
      <c r="F25" t="s">
        <v>1213</v>
      </c>
      <c r="G25" t="s">
        <v>3200</v>
      </c>
      <c r="H25" s="1">
        <v>173055</v>
      </c>
      <c r="I25" s="1">
        <v>71573</v>
      </c>
      <c r="J25" s="1">
        <v>26832</v>
      </c>
    </row>
    <row r="26" spans="1:10" x14ac:dyDescent="0.45">
      <c r="A26" s="4">
        <v>45399</v>
      </c>
      <c r="B26" t="s">
        <v>168</v>
      </c>
      <c r="C26" t="s">
        <v>555</v>
      </c>
      <c r="D26" t="s">
        <v>2243</v>
      </c>
      <c r="E26" t="s">
        <v>1844</v>
      </c>
      <c r="F26" t="s">
        <v>1776</v>
      </c>
      <c r="G26" t="s">
        <v>930</v>
      </c>
      <c r="H26" s="1">
        <v>136714</v>
      </c>
      <c r="I26" s="1">
        <v>64963</v>
      </c>
      <c r="J26" s="1">
        <v>27918</v>
      </c>
    </row>
    <row r="27" spans="1:10" x14ac:dyDescent="0.45">
      <c r="A27" s="4">
        <v>45400</v>
      </c>
      <c r="B27" t="s">
        <v>146</v>
      </c>
      <c r="C27" t="s">
        <v>558</v>
      </c>
      <c r="D27" t="s">
        <v>2249</v>
      </c>
      <c r="E27" t="s">
        <v>1963</v>
      </c>
      <c r="F27" t="s">
        <v>1082</v>
      </c>
      <c r="G27" t="s">
        <v>1239</v>
      </c>
      <c r="H27" s="1">
        <v>158986</v>
      </c>
      <c r="I27" s="1">
        <v>65700</v>
      </c>
      <c r="J27" s="1">
        <v>23944</v>
      </c>
    </row>
    <row r="28" spans="1:10" x14ac:dyDescent="0.45">
      <c r="A28" s="4">
        <v>45401</v>
      </c>
      <c r="B28" t="s">
        <v>152</v>
      </c>
      <c r="C28" t="s">
        <v>563</v>
      </c>
      <c r="D28" t="s">
        <v>2253</v>
      </c>
      <c r="E28" t="s">
        <v>1811</v>
      </c>
      <c r="F28" t="s">
        <v>1817</v>
      </c>
      <c r="G28" t="s">
        <v>423</v>
      </c>
      <c r="H28" s="1">
        <v>154378</v>
      </c>
      <c r="I28" s="1">
        <v>65911</v>
      </c>
      <c r="J28" s="1">
        <v>28749</v>
      </c>
    </row>
    <row r="29" spans="1:10" x14ac:dyDescent="0.45">
      <c r="A29" s="4">
        <v>45402</v>
      </c>
      <c r="B29" t="s">
        <v>148</v>
      </c>
      <c r="C29" t="s">
        <v>567</v>
      </c>
      <c r="D29" t="s">
        <v>2257</v>
      </c>
      <c r="E29">
        <v>16</v>
      </c>
      <c r="F29" t="s">
        <v>2403</v>
      </c>
      <c r="G29" t="s">
        <v>1407</v>
      </c>
      <c r="H29" s="1">
        <v>154000</v>
      </c>
      <c r="I29" s="1">
        <v>72316</v>
      </c>
      <c r="J29" s="1">
        <v>29668</v>
      </c>
    </row>
    <row r="30" spans="1:10" x14ac:dyDescent="0.45">
      <c r="A30" s="4">
        <v>45403</v>
      </c>
      <c r="B30" t="s">
        <v>156</v>
      </c>
      <c r="C30" t="s">
        <v>547</v>
      </c>
      <c r="D30" t="s">
        <v>2262</v>
      </c>
      <c r="E30" t="s">
        <v>3259</v>
      </c>
      <c r="F30" t="s">
        <v>2143</v>
      </c>
      <c r="G30" t="s">
        <v>434</v>
      </c>
      <c r="H30" s="1">
        <v>120505</v>
      </c>
      <c r="I30" s="1">
        <v>69223</v>
      </c>
      <c r="J30" s="1">
        <v>19673</v>
      </c>
    </row>
    <row r="31" spans="1:10" x14ac:dyDescent="0.45">
      <c r="A31" s="4">
        <v>45404</v>
      </c>
      <c r="B31" t="s">
        <v>148</v>
      </c>
      <c r="C31" t="s">
        <v>531</v>
      </c>
      <c r="D31" t="s">
        <v>2265</v>
      </c>
      <c r="E31" t="s">
        <v>1324</v>
      </c>
      <c r="F31" t="s">
        <v>1717</v>
      </c>
      <c r="G31" t="s">
        <v>3475</v>
      </c>
      <c r="H31" s="1">
        <v>136653</v>
      </c>
      <c r="I31" s="1">
        <v>61731</v>
      </c>
      <c r="J31" s="1">
        <v>29105</v>
      </c>
    </row>
    <row r="32" spans="1:10" x14ac:dyDescent="0.45">
      <c r="A32" s="4">
        <v>45405</v>
      </c>
      <c r="B32" t="s">
        <v>137</v>
      </c>
      <c r="C32" t="s">
        <v>575</v>
      </c>
      <c r="D32" t="s">
        <v>336</v>
      </c>
      <c r="E32" t="s">
        <v>1495</v>
      </c>
      <c r="F32" t="s">
        <v>2776</v>
      </c>
      <c r="G32" t="s">
        <v>1662</v>
      </c>
      <c r="H32" s="1">
        <v>179314</v>
      </c>
      <c r="I32" s="1">
        <v>67401</v>
      </c>
      <c r="J32" s="1">
        <v>21034</v>
      </c>
    </row>
    <row r="33" spans="1:10" x14ac:dyDescent="0.45">
      <c r="A33" s="4">
        <v>45406</v>
      </c>
      <c r="B33" t="s">
        <v>117</v>
      </c>
      <c r="C33" t="s">
        <v>578</v>
      </c>
      <c r="D33" t="s">
        <v>694</v>
      </c>
      <c r="E33" t="s">
        <v>3262</v>
      </c>
      <c r="F33" t="s">
        <v>3710</v>
      </c>
      <c r="G33" t="s">
        <v>4004</v>
      </c>
      <c r="H33" s="1">
        <v>183023</v>
      </c>
      <c r="I33" s="1">
        <v>66596</v>
      </c>
      <c r="J33" s="1">
        <v>23649</v>
      </c>
    </row>
    <row r="34" spans="1:10" x14ac:dyDescent="0.45">
      <c r="A34" s="4">
        <v>45407</v>
      </c>
      <c r="B34" t="s">
        <v>132</v>
      </c>
      <c r="C34" t="s">
        <v>582</v>
      </c>
      <c r="D34" t="s">
        <v>2274</v>
      </c>
      <c r="E34" t="s">
        <v>404</v>
      </c>
      <c r="F34" t="s">
        <v>3185</v>
      </c>
      <c r="G34" t="s">
        <v>3148</v>
      </c>
      <c r="H34" s="1">
        <v>180926</v>
      </c>
      <c r="I34" s="1">
        <v>66500</v>
      </c>
      <c r="J34" s="1">
        <v>22820</v>
      </c>
    </row>
    <row r="35" spans="1:10" x14ac:dyDescent="0.45">
      <c r="A35" s="4">
        <v>45408</v>
      </c>
      <c r="B35" t="s">
        <v>137</v>
      </c>
      <c r="C35" t="s">
        <v>401</v>
      </c>
      <c r="D35" t="s">
        <v>2278</v>
      </c>
      <c r="E35" t="s">
        <v>885</v>
      </c>
      <c r="F35" t="s">
        <v>893</v>
      </c>
      <c r="G35" t="s">
        <v>935</v>
      </c>
      <c r="H35" s="1">
        <v>174082</v>
      </c>
      <c r="I35" s="1">
        <v>63860</v>
      </c>
      <c r="J35" s="1">
        <v>29455</v>
      </c>
    </row>
    <row r="36" spans="1:10" x14ac:dyDescent="0.45">
      <c r="A36" s="4">
        <v>45409</v>
      </c>
      <c r="B36" t="s">
        <v>167</v>
      </c>
      <c r="C36" t="s">
        <v>427</v>
      </c>
      <c r="D36" t="s">
        <v>2283</v>
      </c>
      <c r="E36" t="s">
        <v>1101</v>
      </c>
      <c r="F36" t="s">
        <v>1116</v>
      </c>
      <c r="G36" t="s">
        <v>2608</v>
      </c>
      <c r="H36" s="1">
        <v>141930</v>
      </c>
      <c r="I36" s="1">
        <v>65369</v>
      </c>
      <c r="J36" s="1">
        <v>30755</v>
      </c>
    </row>
    <row r="37" spans="1:10" x14ac:dyDescent="0.45">
      <c r="A37" s="4">
        <v>45410</v>
      </c>
      <c r="B37" t="s">
        <v>115</v>
      </c>
      <c r="C37" t="s">
        <v>592</v>
      </c>
      <c r="D37" t="s">
        <v>2287</v>
      </c>
      <c r="E37" t="s">
        <v>3268</v>
      </c>
      <c r="F37" t="s">
        <v>2341</v>
      </c>
      <c r="G37" t="s">
        <v>614</v>
      </c>
      <c r="H37" s="1">
        <v>132903</v>
      </c>
      <c r="I37" s="1">
        <v>67298</v>
      </c>
      <c r="J37" s="1">
        <v>26758</v>
      </c>
    </row>
    <row r="38" spans="1:10" x14ac:dyDescent="0.45">
      <c r="A38" s="4">
        <v>45411</v>
      </c>
      <c r="B38" t="s">
        <v>149</v>
      </c>
      <c r="C38" t="s">
        <v>597</v>
      </c>
      <c r="D38" t="s">
        <v>2291</v>
      </c>
      <c r="E38" t="s">
        <v>493</v>
      </c>
      <c r="F38" t="s">
        <v>3368</v>
      </c>
      <c r="G38" t="s">
        <v>1466</v>
      </c>
      <c r="H38" s="1">
        <v>171608</v>
      </c>
      <c r="I38" s="1">
        <v>63485</v>
      </c>
      <c r="J38" s="1">
        <v>29197</v>
      </c>
    </row>
    <row r="39" spans="1:10" x14ac:dyDescent="0.45">
      <c r="A39" s="4">
        <v>45412</v>
      </c>
      <c r="B39" t="s">
        <v>130</v>
      </c>
      <c r="C39" t="s">
        <v>468</v>
      </c>
      <c r="D39" t="s">
        <v>2295</v>
      </c>
      <c r="E39" t="s">
        <v>3271</v>
      </c>
      <c r="F39" t="s">
        <v>3715</v>
      </c>
      <c r="G39" t="s">
        <v>1974</v>
      </c>
      <c r="H39" s="1">
        <v>189591</v>
      </c>
      <c r="I39" s="1">
        <v>67009</v>
      </c>
      <c r="J39" s="1">
        <v>26866</v>
      </c>
    </row>
    <row r="40" spans="1:10" x14ac:dyDescent="0.45">
      <c r="A40" s="4">
        <v>45413</v>
      </c>
      <c r="B40" t="s">
        <v>149</v>
      </c>
      <c r="C40" t="s">
        <v>482</v>
      </c>
      <c r="D40" t="s">
        <v>2300</v>
      </c>
      <c r="E40" t="s">
        <v>835</v>
      </c>
      <c r="F40" t="s">
        <v>3249</v>
      </c>
      <c r="G40" t="s">
        <v>439</v>
      </c>
      <c r="H40" s="1">
        <v>147924</v>
      </c>
      <c r="I40" s="1">
        <v>63815</v>
      </c>
      <c r="J40" s="1">
        <v>22068</v>
      </c>
    </row>
    <row r="41" spans="1:10" x14ac:dyDescent="0.45">
      <c r="A41" s="4">
        <v>45414</v>
      </c>
      <c r="B41" t="s">
        <v>150</v>
      </c>
      <c r="C41" t="s">
        <v>485</v>
      </c>
      <c r="D41" t="s">
        <v>2303</v>
      </c>
      <c r="E41" t="s">
        <v>3275</v>
      </c>
      <c r="F41" t="s">
        <v>1417</v>
      </c>
      <c r="G41" t="s">
        <v>3678</v>
      </c>
      <c r="H41" s="1">
        <v>173903</v>
      </c>
      <c r="I41" s="1">
        <v>64973</v>
      </c>
      <c r="J41" s="1">
        <v>28906</v>
      </c>
    </row>
    <row r="42" spans="1:10" x14ac:dyDescent="0.45">
      <c r="A42" s="4">
        <v>45415</v>
      </c>
      <c r="B42" t="s">
        <v>151</v>
      </c>
      <c r="C42" t="s">
        <v>607</v>
      </c>
      <c r="D42" t="s">
        <v>2307</v>
      </c>
      <c r="E42" t="s">
        <v>428</v>
      </c>
      <c r="F42" t="s">
        <v>445</v>
      </c>
      <c r="G42" t="s">
        <v>1482</v>
      </c>
      <c r="H42" s="1">
        <v>156603</v>
      </c>
      <c r="I42" s="1">
        <v>62545</v>
      </c>
      <c r="J42" s="1">
        <v>29120</v>
      </c>
    </row>
    <row r="43" spans="1:10" x14ac:dyDescent="0.45">
      <c r="A43" s="4">
        <v>45416</v>
      </c>
      <c r="B43" t="s">
        <v>111</v>
      </c>
      <c r="C43" t="s">
        <v>612</v>
      </c>
      <c r="D43" t="s">
        <v>2311</v>
      </c>
      <c r="E43" t="s">
        <v>3278</v>
      </c>
      <c r="F43" t="s">
        <v>626</v>
      </c>
      <c r="G43" t="s">
        <v>3394</v>
      </c>
      <c r="H43" s="1">
        <v>142106</v>
      </c>
      <c r="I43" s="1">
        <v>65640</v>
      </c>
      <c r="J43" s="1">
        <v>31840</v>
      </c>
    </row>
    <row r="44" spans="1:10" x14ac:dyDescent="0.45">
      <c r="A44" s="4">
        <v>45417</v>
      </c>
      <c r="B44" t="s">
        <v>151</v>
      </c>
      <c r="C44" t="s">
        <v>615</v>
      </c>
      <c r="D44" t="s">
        <v>2315</v>
      </c>
      <c r="E44" t="s">
        <v>2059</v>
      </c>
      <c r="F44" t="s">
        <v>1103</v>
      </c>
      <c r="G44" t="s">
        <v>679</v>
      </c>
      <c r="H44" s="1">
        <v>153475</v>
      </c>
      <c r="I44" s="1">
        <v>66384</v>
      </c>
      <c r="J44" s="1">
        <v>25323</v>
      </c>
    </row>
    <row r="45" spans="1:10" x14ac:dyDescent="0.45">
      <c r="A45" s="4">
        <v>45418</v>
      </c>
      <c r="B45" t="s">
        <v>167</v>
      </c>
      <c r="C45" t="s">
        <v>619</v>
      </c>
      <c r="D45" t="s">
        <v>562</v>
      </c>
      <c r="E45" t="s">
        <v>1132</v>
      </c>
      <c r="F45">
        <v>16</v>
      </c>
      <c r="G45" t="s">
        <v>667</v>
      </c>
      <c r="H45" s="1">
        <v>127665</v>
      </c>
      <c r="I45" s="1">
        <v>56736</v>
      </c>
      <c r="J45" s="1">
        <v>34423</v>
      </c>
    </row>
    <row r="46" spans="1:10" x14ac:dyDescent="0.45">
      <c r="A46" s="4">
        <v>45419</v>
      </c>
      <c r="B46" t="s">
        <v>111</v>
      </c>
      <c r="C46" t="s">
        <v>625</v>
      </c>
      <c r="D46" t="s">
        <v>567</v>
      </c>
      <c r="E46" t="s">
        <v>887</v>
      </c>
      <c r="F46" t="s">
        <v>1437</v>
      </c>
      <c r="G46" t="s">
        <v>3179</v>
      </c>
      <c r="H46" s="1">
        <v>141241</v>
      </c>
      <c r="I46" s="1">
        <v>58537</v>
      </c>
      <c r="J46" s="1">
        <v>31969</v>
      </c>
    </row>
    <row r="47" spans="1:10" x14ac:dyDescent="0.45">
      <c r="A47" s="4">
        <v>45420</v>
      </c>
      <c r="B47" t="s">
        <v>168</v>
      </c>
      <c r="C47" t="s">
        <v>630</v>
      </c>
      <c r="D47" t="s">
        <v>1533</v>
      </c>
      <c r="E47" t="s">
        <v>3226</v>
      </c>
      <c r="F47" t="s">
        <v>3210</v>
      </c>
      <c r="G47" t="s">
        <v>1991</v>
      </c>
      <c r="H47" s="1">
        <v>155464</v>
      </c>
      <c r="I47" s="1">
        <v>65768</v>
      </c>
      <c r="J47" s="1">
        <v>29695</v>
      </c>
    </row>
    <row r="48" spans="1:10" x14ac:dyDescent="0.45">
      <c r="A48" s="4">
        <v>45421</v>
      </c>
      <c r="B48" t="s">
        <v>161</v>
      </c>
      <c r="C48" t="s">
        <v>633</v>
      </c>
      <c r="D48" t="s">
        <v>2322</v>
      </c>
      <c r="E48" t="s">
        <v>2061</v>
      </c>
      <c r="F48" t="s">
        <v>1522</v>
      </c>
      <c r="G48" t="s">
        <v>3186</v>
      </c>
      <c r="H48" s="1">
        <v>148305</v>
      </c>
      <c r="I48" s="1">
        <v>67511</v>
      </c>
      <c r="J48" s="1">
        <v>25664</v>
      </c>
    </row>
    <row r="49" spans="1:10" x14ac:dyDescent="0.45">
      <c r="A49" s="4">
        <v>45422</v>
      </c>
      <c r="B49" t="s">
        <v>146</v>
      </c>
      <c r="C49" t="s">
        <v>635</v>
      </c>
      <c r="D49" t="s">
        <v>2327</v>
      </c>
      <c r="E49" t="s">
        <v>3282</v>
      </c>
      <c r="F49" t="s">
        <v>2352</v>
      </c>
      <c r="G49" t="s">
        <v>522</v>
      </c>
      <c r="H49" s="1">
        <v>154327</v>
      </c>
      <c r="I49" s="1">
        <v>63373</v>
      </c>
      <c r="J49" s="1">
        <v>27740</v>
      </c>
    </row>
    <row r="50" spans="1:10" x14ac:dyDescent="0.45">
      <c r="A50" s="4">
        <v>45423</v>
      </c>
      <c r="B50" t="s">
        <v>137</v>
      </c>
      <c r="C50" t="s">
        <v>639</v>
      </c>
      <c r="D50" t="s">
        <v>2331</v>
      </c>
      <c r="E50" t="s">
        <v>3284</v>
      </c>
      <c r="F50" t="s">
        <v>3722</v>
      </c>
      <c r="G50" t="s">
        <v>3179</v>
      </c>
      <c r="H50" s="1">
        <v>163824</v>
      </c>
      <c r="I50" s="1">
        <v>66076</v>
      </c>
      <c r="J50" s="1">
        <v>27943</v>
      </c>
    </row>
    <row r="51" spans="1:10" x14ac:dyDescent="0.45">
      <c r="A51" s="4">
        <v>45424</v>
      </c>
      <c r="B51" t="s">
        <v>137</v>
      </c>
      <c r="C51" t="s">
        <v>645</v>
      </c>
      <c r="D51" t="s">
        <v>2334</v>
      </c>
      <c r="E51" t="s">
        <v>3286</v>
      </c>
      <c r="F51" t="s">
        <v>3723</v>
      </c>
      <c r="G51" t="s">
        <v>433</v>
      </c>
      <c r="H51" s="1">
        <v>143482</v>
      </c>
      <c r="I51" s="1">
        <v>59366</v>
      </c>
      <c r="J51" s="1">
        <v>26177</v>
      </c>
    </row>
    <row r="52" spans="1:10" x14ac:dyDescent="0.45">
      <c r="A52" s="4">
        <v>45425</v>
      </c>
      <c r="B52" t="s">
        <v>148</v>
      </c>
      <c r="C52" t="s">
        <v>650</v>
      </c>
      <c r="D52" t="s">
        <v>2338</v>
      </c>
      <c r="E52" t="s">
        <v>2499</v>
      </c>
      <c r="F52" t="s">
        <v>3727</v>
      </c>
      <c r="G52" t="s">
        <v>483</v>
      </c>
      <c r="H52" s="1">
        <v>176195</v>
      </c>
      <c r="I52" s="1">
        <v>59139</v>
      </c>
      <c r="J52" s="1">
        <v>31892</v>
      </c>
    </row>
    <row r="53" spans="1:10" x14ac:dyDescent="0.45">
      <c r="A53" s="4">
        <v>45426</v>
      </c>
      <c r="B53" t="s">
        <v>148</v>
      </c>
      <c r="C53" t="s">
        <v>653</v>
      </c>
      <c r="D53" t="s">
        <v>852</v>
      </c>
      <c r="E53" t="s">
        <v>3177</v>
      </c>
      <c r="F53" t="s">
        <v>3731</v>
      </c>
      <c r="G53" t="s">
        <v>563</v>
      </c>
      <c r="H53" s="1">
        <v>166263</v>
      </c>
      <c r="I53" s="1">
        <v>59406</v>
      </c>
      <c r="J53" s="1">
        <v>28431</v>
      </c>
    </row>
    <row r="54" spans="1:10" x14ac:dyDescent="0.45">
      <c r="A54" s="4">
        <v>45427</v>
      </c>
      <c r="B54" t="s">
        <v>152</v>
      </c>
      <c r="C54" t="s">
        <v>633</v>
      </c>
      <c r="D54" t="s">
        <v>540</v>
      </c>
      <c r="E54" t="s">
        <v>2499</v>
      </c>
      <c r="F54" t="s">
        <v>3735</v>
      </c>
      <c r="G54" t="s">
        <v>2970</v>
      </c>
      <c r="H54" s="1">
        <v>186561</v>
      </c>
      <c r="I54" s="1">
        <v>61296</v>
      </c>
      <c r="J54" s="1">
        <v>27906</v>
      </c>
    </row>
    <row r="55" spans="1:10" x14ac:dyDescent="0.45">
      <c r="A55" s="4">
        <v>45428</v>
      </c>
      <c r="B55" t="s">
        <v>147</v>
      </c>
      <c r="C55" t="s">
        <v>658</v>
      </c>
      <c r="D55" t="s">
        <v>2344</v>
      </c>
      <c r="E55" t="s">
        <v>2361</v>
      </c>
      <c r="F55" t="s">
        <v>3737</v>
      </c>
      <c r="G55" t="s">
        <v>2972</v>
      </c>
      <c r="H55" s="1">
        <v>170709</v>
      </c>
      <c r="I55" s="1">
        <v>59572</v>
      </c>
      <c r="J55" s="1">
        <v>28387</v>
      </c>
    </row>
    <row r="56" spans="1:10" x14ac:dyDescent="0.45">
      <c r="A56" s="4">
        <v>45429</v>
      </c>
      <c r="B56" t="s">
        <v>148</v>
      </c>
      <c r="C56" t="s">
        <v>517</v>
      </c>
      <c r="D56" t="s">
        <v>2347</v>
      </c>
      <c r="E56" t="s">
        <v>1978</v>
      </c>
      <c r="F56" t="s">
        <v>3739</v>
      </c>
      <c r="G56" t="s">
        <v>2965</v>
      </c>
      <c r="H56" s="1">
        <v>164514</v>
      </c>
      <c r="I56" s="1">
        <v>56869</v>
      </c>
      <c r="J56" s="1">
        <v>27898</v>
      </c>
    </row>
    <row r="57" spans="1:10" x14ac:dyDescent="0.45">
      <c r="A57" s="4">
        <v>45430</v>
      </c>
      <c r="B57" t="s">
        <v>137</v>
      </c>
      <c r="C57" t="s">
        <v>406</v>
      </c>
      <c r="D57" t="s">
        <v>2351</v>
      </c>
      <c r="E57" t="s">
        <v>833</v>
      </c>
      <c r="F57" t="s">
        <v>2027</v>
      </c>
      <c r="G57" t="s">
        <v>1925</v>
      </c>
      <c r="H57" s="1">
        <v>168598</v>
      </c>
      <c r="I57" s="1">
        <v>59768</v>
      </c>
      <c r="J57" s="1">
        <v>28485</v>
      </c>
    </row>
    <row r="58" spans="1:10" x14ac:dyDescent="0.45">
      <c r="A58" s="4">
        <v>45431</v>
      </c>
      <c r="B58" t="s">
        <v>168</v>
      </c>
      <c r="C58" t="s">
        <v>633</v>
      </c>
      <c r="D58" t="s">
        <v>2356</v>
      </c>
      <c r="E58" t="s">
        <v>1202</v>
      </c>
      <c r="F58" t="s">
        <v>3200</v>
      </c>
      <c r="G58" t="s">
        <v>3467</v>
      </c>
      <c r="H58" s="1">
        <v>136966</v>
      </c>
      <c r="I58" s="1">
        <v>56181</v>
      </c>
      <c r="J58" s="1">
        <v>23002</v>
      </c>
    </row>
    <row r="59" spans="1:10" x14ac:dyDescent="0.45">
      <c r="A59" s="4">
        <v>45432</v>
      </c>
      <c r="B59" t="s">
        <v>151</v>
      </c>
      <c r="C59" t="s">
        <v>669</v>
      </c>
      <c r="D59" t="s">
        <v>2362</v>
      </c>
      <c r="E59" t="s">
        <v>911</v>
      </c>
      <c r="F59" t="s">
        <v>3711</v>
      </c>
      <c r="G59" t="s">
        <v>1216</v>
      </c>
      <c r="H59" s="1">
        <v>169365</v>
      </c>
      <c r="I59" s="1">
        <v>56190</v>
      </c>
      <c r="J59" s="1">
        <v>27075</v>
      </c>
    </row>
    <row r="60" spans="1:10" x14ac:dyDescent="0.45">
      <c r="A60" s="4">
        <v>45433</v>
      </c>
      <c r="B60" t="s">
        <v>110</v>
      </c>
      <c r="C60" t="s">
        <v>674</v>
      </c>
      <c r="D60" t="s">
        <v>2365</v>
      </c>
      <c r="E60" t="s">
        <v>3300</v>
      </c>
      <c r="F60" t="s">
        <v>3273</v>
      </c>
      <c r="G60" t="s">
        <v>4013</v>
      </c>
      <c r="H60" s="1">
        <v>172008</v>
      </c>
      <c r="I60" s="1">
        <v>54816</v>
      </c>
      <c r="J60" s="1">
        <v>24438</v>
      </c>
    </row>
    <row r="61" spans="1:10" x14ac:dyDescent="0.45">
      <c r="A61" s="4">
        <v>45434</v>
      </c>
      <c r="B61" t="s">
        <v>145</v>
      </c>
      <c r="C61" t="s">
        <v>677</v>
      </c>
      <c r="D61" t="s">
        <v>2236</v>
      </c>
      <c r="E61" t="s">
        <v>1899</v>
      </c>
      <c r="F61" t="s">
        <v>3741</v>
      </c>
      <c r="G61" t="s">
        <v>914</v>
      </c>
      <c r="H61" s="1">
        <v>179411</v>
      </c>
      <c r="I61" s="1">
        <v>59182</v>
      </c>
      <c r="J61" s="1">
        <v>24033</v>
      </c>
    </row>
    <row r="62" spans="1:10" x14ac:dyDescent="0.45">
      <c r="A62" s="4">
        <v>45435</v>
      </c>
      <c r="B62" t="s">
        <v>130</v>
      </c>
      <c r="C62" t="s">
        <v>680</v>
      </c>
      <c r="D62" t="s">
        <v>2373</v>
      </c>
      <c r="E62" t="s">
        <v>3305</v>
      </c>
      <c r="F62" t="s">
        <v>1037</v>
      </c>
      <c r="G62" t="s">
        <v>645</v>
      </c>
      <c r="H62" s="1">
        <v>135507</v>
      </c>
      <c r="I62" s="1">
        <v>57282</v>
      </c>
      <c r="J62" s="1">
        <v>21974</v>
      </c>
    </row>
    <row r="63" spans="1:10" x14ac:dyDescent="0.45">
      <c r="A63" s="4">
        <v>45446</v>
      </c>
      <c r="B63" t="s">
        <v>19</v>
      </c>
      <c r="C63" t="s">
        <v>683</v>
      </c>
      <c r="D63" t="s">
        <v>2377</v>
      </c>
      <c r="E63" t="s">
        <v>1184</v>
      </c>
      <c r="F63" t="s">
        <v>3224</v>
      </c>
      <c r="G63" t="s">
        <v>4017</v>
      </c>
      <c r="H63" s="1">
        <v>188592</v>
      </c>
      <c r="I63" s="1">
        <v>51488</v>
      </c>
      <c r="J63" s="1">
        <v>26633</v>
      </c>
    </row>
    <row r="64" spans="1:10" x14ac:dyDescent="0.45">
      <c r="A64" s="4">
        <v>45447</v>
      </c>
      <c r="B64" t="s">
        <v>137</v>
      </c>
      <c r="C64" t="s">
        <v>687</v>
      </c>
      <c r="D64" t="s">
        <v>2380</v>
      </c>
      <c r="E64" t="s">
        <v>490</v>
      </c>
      <c r="F64" t="s">
        <v>2056</v>
      </c>
      <c r="G64" t="s">
        <v>4020</v>
      </c>
      <c r="H64" s="1">
        <v>192581</v>
      </c>
      <c r="I64" s="1">
        <v>52647</v>
      </c>
      <c r="J64" s="1">
        <v>27393</v>
      </c>
    </row>
    <row r="65" spans="1:10" x14ac:dyDescent="0.45">
      <c r="A65" s="4">
        <v>45448</v>
      </c>
      <c r="B65" t="s">
        <v>139</v>
      </c>
      <c r="C65" t="s">
        <v>692</v>
      </c>
      <c r="D65" t="s">
        <v>1640</v>
      </c>
      <c r="E65" t="s">
        <v>3315</v>
      </c>
      <c r="F65">
        <v>23</v>
      </c>
      <c r="G65" t="s">
        <v>4025</v>
      </c>
      <c r="H65" s="1">
        <v>177285</v>
      </c>
      <c r="I65" s="1">
        <v>49822</v>
      </c>
      <c r="J65" s="1">
        <v>25697</v>
      </c>
    </row>
    <row r="66" spans="1:10" x14ac:dyDescent="0.45">
      <c r="A66" s="4">
        <v>45449</v>
      </c>
      <c r="B66" t="s">
        <v>182</v>
      </c>
      <c r="C66" t="s">
        <v>697</v>
      </c>
      <c r="D66" t="s">
        <v>1752</v>
      </c>
      <c r="E66" t="s">
        <v>1154</v>
      </c>
      <c r="F66" t="s">
        <v>3149</v>
      </c>
      <c r="G66" t="s">
        <v>4030</v>
      </c>
      <c r="H66" s="1">
        <v>159798</v>
      </c>
      <c r="I66" s="1">
        <v>55280</v>
      </c>
      <c r="J66" s="1">
        <v>26677</v>
      </c>
    </row>
    <row r="67" spans="1:10" x14ac:dyDescent="0.45">
      <c r="A67" s="4">
        <v>45450</v>
      </c>
      <c r="B67" t="s">
        <v>129</v>
      </c>
      <c r="C67" t="s">
        <v>703</v>
      </c>
      <c r="D67" t="s">
        <v>1791</v>
      </c>
      <c r="E67" t="s">
        <v>2048</v>
      </c>
      <c r="F67" t="s">
        <v>537</v>
      </c>
      <c r="G67" t="s">
        <v>3965</v>
      </c>
      <c r="H67" s="1">
        <v>179364</v>
      </c>
      <c r="I67" s="1">
        <v>61084</v>
      </c>
      <c r="J67" s="1">
        <v>24879</v>
      </c>
    </row>
    <row r="68" spans="1:10" x14ac:dyDescent="0.45">
      <c r="A68" s="4">
        <v>45451</v>
      </c>
      <c r="B68" t="s">
        <v>191</v>
      </c>
      <c r="C68" t="s">
        <v>698</v>
      </c>
      <c r="D68" t="s">
        <v>1714</v>
      </c>
      <c r="E68" t="s">
        <v>663</v>
      </c>
      <c r="F68" t="s">
        <v>3752</v>
      </c>
      <c r="G68" t="s">
        <v>4038</v>
      </c>
      <c r="H68" s="1">
        <v>177516</v>
      </c>
      <c r="I68" s="1">
        <v>61357</v>
      </c>
      <c r="J68" s="1">
        <v>24874</v>
      </c>
    </row>
    <row r="69" spans="1:10" x14ac:dyDescent="0.45">
      <c r="A69" s="4">
        <v>45452</v>
      </c>
      <c r="B69" t="s">
        <v>98</v>
      </c>
      <c r="C69" t="s">
        <v>697</v>
      </c>
      <c r="D69" t="s">
        <v>2387</v>
      </c>
      <c r="E69" t="s">
        <v>2046</v>
      </c>
      <c r="F69" t="s">
        <v>840</v>
      </c>
      <c r="G69" t="s">
        <v>3981</v>
      </c>
      <c r="H69" s="1">
        <v>163439</v>
      </c>
      <c r="I69" s="1">
        <v>60367</v>
      </c>
      <c r="J69" s="1">
        <v>22954</v>
      </c>
    </row>
    <row r="70" spans="1:10" x14ac:dyDescent="0.45">
      <c r="A70" s="4">
        <v>45453</v>
      </c>
      <c r="B70" t="s">
        <v>190</v>
      </c>
      <c r="C70" t="s">
        <v>710</v>
      </c>
      <c r="D70" t="s">
        <v>1360</v>
      </c>
      <c r="E70" t="s">
        <v>560</v>
      </c>
      <c r="F70" t="s">
        <v>519</v>
      </c>
      <c r="G70" t="s">
        <v>4046</v>
      </c>
      <c r="H70" s="1">
        <v>173581</v>
      </c>
      <c r="I70" s="1">
        <v>56777</v>
      </c>
      <c r="J70" s="1">
        <v>24245</v>
      </c>
    </row>
    <row r="71" spans="1:10" x14ac:dyDescent="0.45">
      <c r="A71" s="4">
        <v>45454</v>
      </c>
      <c r="B71" t="s">
        <v>129</v>
      </c>
      <c r="C71" t="s">
        <v>714</v>
      </c>
      <c r="D71" t="s">
        <v>2390</v>
      </c>
      <c r="E71" t="s">
        <v>2565</v>
      </c>
      <c r="F71" t="s">
        <v>1533</v>
      </c>
      <c r="G71" t="s">
        <v>4050</v>
      </c>
      <c r="H71" s="1">
        <v>166845</v>
      </c>
      <c r="I71" s="1">
        <v>55248</v>
      </c>
      <c r="J71" s="1">
        <v>26737</v>
      </c>
    </row>
    <row r="72" spans="1:10" x14ac:dyDescent="0.45">
      <c r="A72" s="4">
        <v>45455</v>
      </c>
      <c r="B72" t="s">
        <v>129</v>
      </c>
      <c r="C72" t="s">
        <v>717</v>
      </c>
      <c r="D72" t="s">
        <v>2391</v>
      </c>
      <c r="E72" t="s">
        <v>2328</v>
      </c>
      <c r="F72" t="s">
        <v>3755</v>
      </c>
      <c r="G72" t="s">
        <v>4053</v>
      </c>
      <c r="H72" s="1">
        <v>157854</v>
      </c>
      <c r="I72" s="1">
        <v>58180</v>
      </c>
      <c r="J72" s="1">
        <v>23700</v>
      </c>
    </row>
    <row r="73" spans="1:10" x14ac:dyDescent="0.45">
      <c r="A73" s="4">
        <v>45456</v>
      </c>
      <c r="B73" t="s">
        <v>9</v>
      </c>
      <c r="C73" t="s">
        <v>454</v>
      </c>
      <c r="D73" t="s">
        <v>1304</v>
      </c>
      <c r="E73" t="s">
        <v>3269</v>
      </c>
      <c r="F73" t="s">
        <v>532</v>
      </c>
      <c r="G73" t="s">
        <v>2097</v>
      </c>
      <c r="H73" s="1">
        <v>179582</v>
      </c>
      <c r="I73" s="1">
        <v>60751</v>
      </c>
      <c r="J73" s="1">
        <v>26835</v>
      </c>
    </row>
    <row r="74" spans="1:10" x14ac:dyDescent="0.45">
      <c r="A74" s="4">
        <v>45457</v>
      </c>
      <c r="B74" t="s">
        <v>13</v>
      </c>
      <c r="C74" t="s">
        <v>710</v>
      </c>
      <c r="D74" t="s">
        <v>1301</v>
      </c>
      <c r="E74" t="s">
        <v>1032</v>
      </c>
      <c r="F74" t="s">
        <v>3666</v>
      </c>
      <c r="G74" t="s">
        <v>4062</v>
      </c>
      <c r="H74" s="1">
        <v>182849</v>
      </c>
      <c r="I74" s="1">
        <v>64237</v>
      </c>
      <c r="J74" s="1">
        <v>27264</v>
      </c>
    </row>
    <row r="75" spans="1:10" x14ac:dyDescent="0.45">
      <c r="A75" s="4">
        <v>45458</v>
      </c>
      <c r="B75" t="s">
        <v>190</v>
      </c>
      <c r="C75" t="s">
        <v>721</v>
      </c>
      <c r="D75" t="s">
        <v>1329</v>
      </c>
      <c r="E75" t="s">
        <v>2806</v>
      </c>
      <c r="F75" t="s">
        <v>3758</v>
      </c>
      <c r="G75" t="s">
        <v>4065</v>
      </c>
      <c r="H75" s="1">
        <v>180566</v>
      </c>
      <c r="I75" s="1">
        <v>71152</v>
      </c>
      <c r="J75" s="1">
        <v>23817</v>
      </c>
    </row>
    <row r="76" spans="1:10" x14ac:dyDescent="0.45">
      <c r="A76" s="4">
        <v>45459</v>
      </c>
      <c r="B76" t="s">
        <v>11</v>
      </c>
      <c r="C76" t="s">
        <v>698</v>
      </c>
      <c r="D76" t="s">
        <v>2395</v>
      </c>
      <c r="E76" t="s">
        <v>3334</v>
      </c>
      <c r="F76" t="s">
        <v>2540</v>
      </c>
      <c r="G76" t="s">
        <v>4068</v>
      </c>
      <c r="H76" s="1">
        <v>150362</v>
      </c>
      <c r="I76" s="1">
        <v>62821</v>
      </c>
      <c r="J76" s="1">
        <v>23335</v>
      </c>
    </row>
    <row r="77" spans="1:10" x14ac:dyDescent="0.45">
      <c r="A77" s="4">
        <v>45460</v>
      </c>
      <c r="B77" t="s">
        <v>49</v>
      </c>
      <c r="C77" t="s">
        <v>724</v>
      </c>
      <c r="D77" t="s">
        <v>2397</v>
      </c>
      <c r="E77" t="s">
        <v>2864</v>
      </c>
      <c r="F77" t="s">
        <v>3764</v>
      </c>
      <c r="G77" t="s">
        <v>4051</v>
      </c>
      <c r="H77" s="1">
        <v>122440</v>
      </c>
      <c r="I77" s="1">
        <v>50393</v>
      </c>
      <c r="J77" s="1">
        <v>19664</v>
      </c>
    </row>
    <row r="78" spans="1:10" x14ac:dyDescent="0.45">
      <c r="A78" s="4">
        <v>45461</v>
      </c>
      <c r="B78" t="s">
        <v>76</v>
      </c>
      <c r="C78" t="s">
        <v>725</v>
      </c>
      <c r="D78" t="s">
        <v>2401</v>
      </c>
      <c r="E78" t="s">
        <v>3137</v>
      </c>
      <c r="F78" t="s">
        <v>3765</v>
      </c>
      <c r="G78" t="s">
        <v>4076</v>
      </c>
      <c r="H78" s="1">
        <v>158621</v>
      </c>
      <c r="I78" s="1">
        <v>59578</v>
      </c>
      <c r="J78" s="1">
        <v>20667</v>
      </c>
    </row>
    <row r="79" spans="1:10" x14ac:dyDescent="0.45">
      <c r="A79" s="4">
        <v>45462</v>
      </c>
      <c r="B79" t="s">
        <v>77</v>
      </c>
      <c r="C79" t="s">
        <v>728</v>
      </c>
      <c r="D79" t="s">
        <v>1080</v>
      </c>
      <c r="E79" t="s">
        <v>2835</v>
      </c>
      <c r="F79" t="s">
        <v>3307</v>
      </c>
      <c r="G79" t="s">
        <v>4081</v>
      </c>
      <c r="H79" s="1">
        <v>161046</v>
      </c>
      <c r="I79" s="1">
        <v>57307</v>
      </c>
      <c r="J79" s="1">
        <v>25897</v>
      </c>
    </row>
    <row r="80" spans="1:10" x14ac:dyDescent="0.45">
      <c r="A80" s="4">
        <v>45463</v>
      </c>
      <c r="B80" t="s">
        <v>69</v>
      </c>
      <c r="C80" t="s">
        <v>731</v>
      </c>
      <c r="D80" t="s">
        <v>1090</v>
      </c>
      <c r="E80" t="s">
        <v>3342</v>
      </c>
      <c r="F80" t="s">
        <v>3768</v>
      </c>
      <c r="G80" t="s">
        <v>4085</v>
      </c>
      <c r="H80" s="1">
        <v>140935</v>
      </c>
      <c r="I80" s="1">
        <v>49503</v>
      </c>
      <c r="J80" s="1">
        <v>20362</v>
      </c>
    </row>
    <row r="81" spans="1:10" x14ac:dyDescent="0.45">
      <c r="A81" s="4">
        <v>45464</v>
      </c>
      <c r="B81" t="s">
        <v>197</v>
      </c>
      <c r="C81" t="s">
        <v>735</v>
      </c>
      <c r="D81" t="s">
        <v>2405</v>
      </c>
      <c r="E81" t="s">
        <v>1623</v>
      </c>
      <c r="F81" t="s">
        <v>3135</v>
      </c>
      <c r="G81" t="s">
        <v>3965</v>
      </c>
      <c r="H81" s="1">
        <v>152805</v>
      </c>
      <c r="I81" s="1">
        <v>53761</v>
      </c>
      <c r="J81" s="1">
        <v>23229</v>
      </c>
    </row>
    <row r="82" spans="1:10" x14ac:dyDescent="0.45">
      <c r="A82" s="4">
        <v>45465</v>
      </c>
      <c r="B82" t="s">
        <v>79</v>
      </c>
      <c r="C82" t="s">
        <v>738</v>
      </c>
      <c r="D82">
        <v>16</v>
      </c>
      <c r="E82" t="s">
        <v>411</v>
      </c>
      <c r="F82" t="s">
        <v>3157</v>
      </c>
      <c r="G82" t="s">
        <v>4090</v>
      </c>
      <c r="H82" s="1">
        <v>162140</v>
      </c>
      <c r="I82" s="1">
        <v>60911</v>
      </c>
      <c r="J82" s="1">
        <v>27366</v>
      </c>
    </row>
    <row r="83" spans="1:10" x14ac:dyDescent="0.45">
      <c r="A83" s="4">
        <v>45466</v>
      </c>
      <c r="B83" t="s">
        <v>195</v>
      </c>
      <c r="C83" t="s">
        <v>727</v>
      </c>
      <c r="D83" t="s">
        <v>2407</v>
      </c>
      <c r="E83" t="s">
        <v>3344</v>
      </c>
      <c r="F83" t="s">
        <v>3771</v>
      </c>
      <c r="G83" t="s">
        <v>4047</v>
      </c>
      <c r="H83" s="1">
        <v>156095</v>
      </c>
      <c r="I83" s="1">
        <v>61457</v>
      </c>
      <c r="J83" s="1">
        <v>19868</v>
      </c>
    </row>
    <row r="84" spans="1:10" x14ac:dyDescent="0.45">
      <c r="A84" s="4">
        <v>45467</v>
      </c>
      <c r="B84" t="s">
        <v>195</v>
      </c>
      <c r="C84" t="s">
        <v>734</v>
      </c>
      <c r="D84" t="s">
        <v>1096</v>
      </c>
      <c r="E84" t="s">
        <v>1225</v>
      </c>
      <c r="F84" t="s">
        <v>3210</v>
      </c>
      <c r="G84" t="s">
        <v>4096</v>
      </c>
      <c r="H84" s="1">
        <v>177958</v>
      </c>
      <c r="I84" s="1">
        <v>55631</v>
      </c>
      <c r="J84" s="1">
        <v>22908</v>
      </c>
    </row>
    <row r="85" spans="1:10" x14ac:dyDescent="0.45">
      <c r="A85" s="4">
        <v>45468</v>
      </c>
      <c r="B85" t="s">
        <v>196</v>
      </c>
      <c r="C85" t="s">
        <v>739</v>
      </c>
      <c r="D85" t="s">
        <v>1136</v>
      </c>
      <c r="E85" t="s">
        <v>1479</v>
      </c>
      <c r="F85" t="s">
        <v>1254</v>
      </c>
      <c r="G85" t="s">
        <v>4098</v>
      </c>
      <c r="H85" s="1">
        <v>153477</v>
      </c>
      <c r="I85" s="1">
        <v>55766</v>
      </c>
      <c r="J85" s="1">
        <v>25181</v>
      </c>
    </row>
    <row r="86" spans="1:10" x14ac:dyDescent="0.45">
      <c r="A86" s="4">
        <v>45469</v>
      </c>
      <c r="B86" t="s">
        <v>196</v>
      </c>
      <c r="C86" t="s">
        <v>740</v>
      </c>
      <c r="D86" t="s">
        <v>2413</v>
      </c>
      <c r="E86" t="s">
        <v>1416</v>
      </c>
      <c r="F86" t="s">
        <v>3098</v>
      </c>
      <c r="G86" t="s">
        <v>2107</v>
      </c>
      <c r="H86" s="1">
        <v>159888</v>
      </c>
      <c r="I86" s="1">
        <v>59455</v>
      </c>
      <c r="J86" s="1">
        <v>28075</v>
      </c>
    </row>
    <row r="87" spans="1:10" x14ac:dyDescent="0.45">
      <c r="A87" s="4">
        <v>45470</v>
      </c>
      <c r="B87" t="s">
        <v>82</v>
      </c>
      <c r="C87" t="s">
        <v>745</v>
      </c>
      <c r="D87" t="s">
        <v>2416</v>
      </c>
      <c r="E87" t="s">
        <v>1867</v>
      </c>
      <c r="F87" t="s">
        <v>439</v>
      </c>
      <c r="G87" t="s">
        <v>4105</v>
      </c>
      <c r="H87" s="1">
        <v>163168</v>
      </c>
      <c r="I87" s="1">
        <v>61158</v>
      </c>
      <c r="J87" s="1">
        <v>25233</v>
      </c>
    </row>
    <row r="88" spans="1:10" x14ac:dyDescent="0.45">
      <c r="A88" s="4">
        <v>45471</v>
      </c>
      <c r="B88" t="s">
        <v>157</v>
      </c>
      <c r="C88" t="s">
        <v>749</v>
      </c>
      <c r="D88" t="s">
        <v>2420</v>
      </c>
      <c r="E88" t="s">
        <v>3154</v>
      </c>
      <c r="F88" t="s">
        <v>643</v>
      </c>
      <c r="G88" t="s">
        <v>4110</v>
      </c>
      <c r="H88" s="1">
        <v>187055</v>
      </c>
      <c r="I88" s="1">
        <v>72768</v>
      </c>
      <c r="J88" s="1">
        <v>27061</v>
      </c>
    </row>
    <row r="89" spans="1:10" x14ac:dyDescent="0.45">
      <c r="A89" s="4">
        <v>45472</v>
      </c>
      <c r="B89" t="s">
        <v>157</v>
      </c>
      <c r="C89" t="s">
        <v>755</v>
      </c>
      <c r="D89" t="s">
        <v>2425</v>
      </c>
      <c r="E89" t="s">
        <v>1972</v>
      </c>
      <c r="F89" t="s">
        <v>3368</v>
      </c>
      <c r="G89" t="s">
        <v>4114</v>
      </c>
      <c r="H89" s="1">
        <v>172196</v>
      </c>
      <c r="I89" s="1">
        <v>70361</v>
      </c>
      <c r="J89" s="1">
        <v>26573</v>
      </c>
    </row>
    <row r="90" spans="1:10" x14ac:dyDescent="0.45">
      <c r="A90" s="4">
        <v>45473</v>
      </c>
      <c r="B90" t="s">
        <v>140</v>
      </c>
      <c r="C90" t="s">
        <v>760</v>
      </c>
      <c r="D90" t="s">
        <v>2430</v>
      </c>
      <c r="E90" t="s">
        <v>1910</v>
      </c>
      <c r="F90" t="s">
        <v>1361</v>
      </c>
      <c r="G90" t="s">
        <v>4119</v>
      </c>
      <c r="H90" s="1">
        <v>144103</v>
      </c>
      <c r="I90" s="1">
        <v>65200</v>
      </c>
      <c r="J90" s="1">
        <v>25008</v>
      </c>
    </row>
    <row r="91" spans="1:10" x14ac:dyDescent="0.45">
      <c r="A91" s="4">
        <v>45474</v>
      </c>
      <c r="B91" t="s">
        <v>149</v>
      </c>
      <c r="C91" t="s">
        <v>766</v>
      </c>
      <c r="D91" t="s">
        <v>2436</v>
      </c>
      <c r="E91" t="s">
        <v>2747</v>
      </c>
      <c r="F91" t="s">
        <v>1102</v>
      </c>
      <c r="G91" t="s">
        <v>4123</v>
      </c>
      <c r="H91" s="1">
        <v>170957</v>
      </c>
      <c r="I91" s="1">
        <v>55377</v>
      </c>
      <c r="J91" s="1">
        <v>26494</v>
      </c>
    </row>
    <row r="92" spans="1:10" x14ac:dyDescent="0.45">
      <c r="A92" s="4">
        <v>45475</v>
      </c>
      <c r="B92" t="s">
        <v>156</v>
      </c>
      <c r="C92" t="s">
        <v>772</v>
      </c>
      <c r="D92" t="s">
        <v>2441</v>
      </c>
      <c r="E92" t="s">
        <v>1183</v>
      </c>
      <c r="F92" t="s">
        <v>3190</v>
      </c>
      <c r="G92" t="s">
        <v>4128</v>
      </c>
      <c r="H92" s="1">
        <v>176239</v>
      </c>
      <c r="I92" s="1">
        <v>56669</v>
      </c>
      <c r="J92" s="1">
        <v>24498</v>
      </c>
    </row>
    <row r="93" spans="1:10" x14ac:dyDescent="0.45">
      <c r="A93" s="4">
        <v>45476</v>
      </c>
      <c r="B93" t="s">
        <v>146</v>
      </c>
      <c r="C93" t="s">
        <v>778</v>
      </c>
      <c r="D93" t="s">
        <v>2447</v>
      </c>
      <c r="E93" t="s">
        <v>1714</v>
      </c>
      <c r="F93" t="s">
        <v>1129</v>
      </c>
      <c r="G93" t="s">
        <v>782</v>
      </c>
      <c r="H93" s="1">
        <v>173466</v>
      </c>
      <c r="I93" s="1">
        <v>56363</v>
      </c>
      <c r="J93" s="1">
        <v>28553</v>
      </c>
    </row>
    <row r="94" spans="1:10" x14ac:dyDescent="0.45">
      <c r="A94" s="4">
        <v>45477</v>
      </c>
      <c r="B94" t="s">
        <v>148</v>
      </c>
      <c r="C94" t="s">
        <v>782</v>
      </c>
      <c r="D94" t="s">
        <v>2453</v>
      </c>
      <c r="E94" t="s">
        <v>2067</v>
      </c>
      <c r="F94" t="s">
        <v>1857</v>
      </c>
      <c r="G94" t="s">
        <v>4138</v>
      </c>
      <c r="H94" s="1">
        <v>188337</v>
      </c>
      <c r="I94" s="1">
        <v>61415</v>
      </c>
      <c r="J94" s="1">
        <v>30301</v>
      </c>
    </row>
    <row r="95" spans="1:10" x14ac:dyDescent="0.45">
      <c r="A95" s="4">
        <v>45478</v>
      </c>
      <c r="B95" t="s">
        <v>152</v>
      </c>
      <c r="C95" t="s">
        <v>787</v>
      </c>
      <c r="D95" t="s">
        <v>2459</v>
      </c>
      <c r="E95" t="s">
        <v>1954</v>
      </c>
      <c r="F95" t="s">
        <v>1503</v>
      </c>
      <c r="G95" t="s">
        <v>4142</v>
      </c>
      <c r="H95" s="1">
        <v>176922</v>
      </c>
      <c r="I95" s="1">
        <v>61204</v>
      </c>
      <c r="J95" s="1">
        <v>31480</v>
      </c>
    </row>
    <row r="96" spans="1:10" x14ac:dyDescent="0.45">
      <c r="A96" s="4">
        <v>45479</v>
      </c>
      <c r="B96" t="s">
        <v>132</v>
      </c>
      <c r="C96" t="s">
        <v>793</v>
      </c>
      <c r="D96" t="s">
        <v>2465</v>
      </c>
      <c r="E96" t="s">
        <v>1437</v>
      </c>
      <c r="F96" t="s">
        <v>2862</v>
      </c>
      <c r="G96" t="s">
        <v>4148</v>
      </c>
      <c r="H96" s="1">
        <v>179536</v>
      </c>
      <c r="I96" s="1">
        <v>63606</v>
      </c>
      <c r="J96" s="1">
        <v>31398</v>
      </c>
    </row>
    <row r="97" spans="1:10" x14ac:dyDescent="0.45">
      <c r="A97" s="4">
        <v>45480</v>
      </c>
      <c r="B97" t="s">
        <v>147</v>
      </c>
      <c r="C97" t="s">
        <v>799</v>
      </c>
      <c r="D97" t="s">
        <v>2470</v>
      </c>
      <c r="E97" t="s">
        <v>3093</v>
      </c>
      <c r="F97" t="s">
        <v>643</v>
      </c>
      <c r="G97" t="s">
        <v>4152</v>
      </c>
      <c r="H97" s="1">
        <v>175749</v>
      </c>
      <c r="I97" s="1">
        <v>60981</v>
      </c>
      <c r="J97" s="1">
        <v>26456</v>
      </c>
    </row>
    <row r="98" spans="1:10" x14ac:dyDescent="0.45">
      <c r="A98" s="4">
        <v>45481</v>
      </c>
      <c r="B98" t="s">
        <v>170</v>
      </c>
      <c r="C98" t="s">
        <v>805</v>
      </c>
      <c r="D98" t="s">
        <v>2476</v>
      </c>
      <c r="E98" t="s">
        <v>615</v>
      </c>
      <c r="F98" t="s">
        <v>3777</v>
      </c>
      <c r="G98" t="s">
        <v>4157</v>
      </c>
      <c r="H98" s="1">
        <v>187919</v>
      </c>
      <c r="I98" s="1">
        <v>57439</v>
      </c>
      <c r="J98" s="1">
        <v>28669</v>
      </c>
    </row>
    <row r="99" spans="1:10" x14ac:dyDescent="0.45">
      <c r="A99" s="4">
        <v>45482</v>
      </c>
      <c r="B99" t="s">
        <v>152</v>
      </c>
      <c r="C99" t="s">
        <v>810</v>
      </c>
      <c r="D99" t="s">
        <v>2480</v>
      </c>
      <c r="E99" t="s">
        <v>3025</v>
      </c>
      <c r="F99" t="s">
        <v>2583</v>
      </c>
      <c r="G99" t="s">
        <v>4161</v>
      </c>
      <c r="H99" s="1">
        <v>196896</v>
      </c>
      <c r="I99" s="1">
        <v>57280</v>
      </c>
      <c r="J99" s="1">
        <v>29157</v>
      </c>
    </row>
    <row r="100" spans="1:10" x14ac:dyDescent="0.45">
      <c r="A100" s="4">
        <v>45483</v>
      </c>
      <c r="B100" t="s">
        <v>161</v>
      </c>
      <c r="C100" t="s">
        <v>816</v>
      </c>
      <c r="D100" t="s">
        <v>2484</v>
      </c>
      <c r="E100" t="s">
        <v>663</v>
      </c>
      <c r="F100" t="s">
        <v>3779</v>
      </c>
      <c r="G100" t="s">
        <v>4166</v>
      </c>
      <c r="H100" s="1">
        <v>182434</v>
      </c>
      <c r="I100" s="1">
        <v>57714</v>
      </c>
      <c r="J100" s="1">
        <v>29873</v>
      </c>
    </row>
    <row r="101" spans="1:10" x14ac:dyDescent="0.45">
      <c r="A101" s="4">
        <v>45484</v>
      </c>
      <c r="B101" t="s">
        <v>90</v>
      </c>
      <c r="C101" t="s">
        <v>819</v>
      </c>
      <c r="D101" t="s">
        <v>2486</v>
      </c>
      <c r="E101" t="s">
        <v>1167</v>
      </c>
      <c r="F101" t="s">
        <v>1099</v>
      </c>
      <c r="G101" t="s">
        <v>4169</v>
      </c>
      <c r="H101" s="1">
        <v>166015</v>
      </c>
      <c r="I101" s="1">
        <v>54644</v>
      </c>
      <c r="J101" s="1">
        <v>31529</v>
      </c>
    </row>
    <row r="102" spans="1:10" x14ac:dyDescent="0.45">
      <c r="A102" s="4">
        <v>45485</v>
      </c>
      <c r="B102" t="s">
        <v>43</v>
      </c>
      <c r="C102" t="s">
        <v>821</v>
      </c>
      <c r="D102" t="s">
        <v>2489</v>
      </c>
      <c r="E102" t="s">
        <v>1968</v>
      </c>
      <c r="F102" t="s">
        <v>3497</v>
      </c>
      <c r="G102" t="s">
        <v>3978</v>
      </c>
      <c r="H102" s="1">
        <v>171175</v>
      </c>
      <c r="I102" s="1">
        <v>56654</v>
      </c>
      <c r="J102" s="1">
        <v>30012</v>
      </c>
    </row>
    <row r="103" spans="1:10" x14ac:dyDescent="0.45">
      <c r="A103" s="4">
        <v>45486</v>
      </c>
      <c r="B103" t="s">
        <v>41</v>
      </c>
      <c r="C103" t="s">
        <v>596</v>
      </c>
      <c r="D103" t="s">
        <v>2494</v>
      </c>
      <c r="E103" t="s">
        <v>1509</v>
      </c>
      <c r="F103" t="s">
        <v>1508</v>
      </c>
      <c r="G103" t="s">
        <v>4175</v>
      </c>
      <c r="H103" s="1">
        <v>172472</v>
      </c>
      <c r="I103" s="1">
        <v>61125</v>
      </c>
      <c r="J103" s="1">
        <v>31284</v>
      </c>
    </row>
    <row r="104" spans="1:10" x14ac:dyDescent="0.45">
      <c r="A104" s="4">
        <v>45487</v>
      </c>
      <c r="B104" t="s">
        <v>89</v>
      </c>
      <c r="C104" t="s">
        <v>826</v>
      </c>
      <c r="D104" t="s">
        <v>2498</v>
      </c>
      <c r="E104" t="s">
        <v>3351</v>
      </c>
      <c r="F104" t="s">
        <v>946</v>
      </c>
      <c r="G104" t="s">
        <v>4179</v>
      </c>
      <c r="H104" s="1">
        <v>140419</v>
      </c>
      <c r="I104" s="1">
        <v>51493</v>
      </c>
      <c r="J104" s="1">
        <v>26146</v>
      </c>
    </row>
    <row r="105" spans="1:10" x14ac:dyDescent="0.45">
      <c r="A105" s="4">
        <v>45488</v>
      </c>
      <c r="B105" t="s">
        <v>44</v>
      </c>
      <c r="C105" t="s">
        <v>584</v>
      </c>
      <c r="D105" t="s">
        <v>2504</v>
      </c>
      <c r="E105" t="s">
        <v>2759</v>
      </c>
      <c r="F105" t="s">
        <v>1089</v>
      </c>
      <c r="G105" t="s">
        <v>4183</v>
      </c>
      <c r="H105" s="1">
        <v>160205</v>
      </c>
      <c r="I105" s="1">
        <v>49657</v>
      </c>
      <c r="J105" s="1">
        <v>28944</v>
      </c>
    </row>
    <row r="106" spans="1:10" x14ac:dyDescent="0.45">
      <c r="A106" s="4">
        <v>45489</v>
      </c>
      <c r="B106" t="s">
        <v>45</v>
      </c>
      <c r="C106" t="s">
        <v>597</v>
      </c>
      <c r="D106" t="s">
        <v>2508</v>
      </c>
      <c r="E106" t="s">
        <v>1933</v>
      </c>
      <c r="F106" t="s">
        <v>922</v>
      </c>
      <c r="G106" t="s">
        <v>4187</v>
      </c>
      <c r="H106" s="1">
        <v>171114</v>
      </c>
      <c r="I106" s="1">
        <v>52118</v>
      </c>
      <c r="J106" s="1">
        <v>31182</v>
      </c>
    </row>
    <row r="107" spans="1:10" x14ac:dyDescent="0.45">
      <c r="A107" s="4">
        <v>45490</v>
      </c>
      <c r="B107" t="s">
        <v>90</v>
      </c>
      <c r="C107" t="s">
        <v>533</v>
      </c>
      <c r="D107" t="s">
        <v>2513</v>
      </c>
      <c r="E107" t="s">
        <v>562</v>
      </c>
      <c r="F107" t="s">
        <v>1427</v>
      </c>
      <c r="G107" t="s">
        <v>4173</v>
      </c>
      <c r="H107" s="1">
        <v>181679</v>
      </c>
      <c r="I107" s="1">
        <v>53603</v>
      </c>
      <c r="J107" s="1">
        <v>31175</v>
      </c>
    </row>
    <row r="108" spans="1:10" x14ac:dyDescent="0.45">
      <c r="A108" s="4">
        <v>45491</v>
      </c>
      <c r="B108" t="s">
        <v>200</v>
      </c>
      <c r="C108" t="s">
        <v>835</v>
      </c>
      <c r="D108" t="s">
        <v>746</v>
      </c>
      <c r="E108" t="s">
        <v>2870</v>
      </c>
      <c r="F108" t="s">
        <v>3783</v>
      </c>
      <c r="G108" t="s">
        <v>4196</v>
      </c>
      <c r="H108" s="1">
        <v>184822</v>
      </c>
      <c r="I108" s="1">
        <v>55525</v>
      </c>
      <c r="J108" s="1">
        <v>30782</v>
      </c>
    </row>
    <row r="109" spans="1:10" x14ac:dyDescent="0.45">
      <c r="A109" s="4">
        <v>45492</v>
      </c>
      <c r="B109" t="s">
        <v>39</v>
      </c>
      <c r="C109" t="s">
        <v>840</v>
      </c>
      <c r="D109" t="s">
        <v>2521</v>
      </c>
      <c r="E109" t="s">
        <v>3357</v>
      </c>
      <c r="F109" t="s">
        <v>2816</v>
      </c>
      <c r="G109" t="s">
        <v>4202</v>
      </c>
      <c r="H109" s="1">
        <v>177416</v>
      </c>
      <c r="I109" s="1">
        <v>56317</v>
      </c>
      <c r="J109" s="1">
        <v>31228</v>
      </c>
    </row>
    <row r="110" spans="1:10" x14ac:dyDescent="0.45">
      <c r="A110" s="4">
        <v>45493</v>
      </c>
      <c r="B110" t="s">
        <v>90</v>
      </c>
      <c r="C110">
        <v>28</v>
      </c>
      <c r="D110" t="s">
        <v>2526</v>
      </c>
      <c r="E110" t="s">
        <v>1670</v>
      </c>
      <c r="F110" t="s">
        <v>2823</v>
      </c>
      <c r="G110" t="s">
        <v>385</v>
      </c>
      <c r="H110" s="1">
        <v>172199</v>
      </c>
      <c r="I110" s="1">
        <v>55444</v>
      </c>
      <c r="J110" s="1">
        <v>30217</v>
      </c>
    </row>
    <row r="111" spans="1:10" x14ac:dyDescent="0.45">
      <c r="A111" s="4">
        <v>45494</v>
      </c>
      <c r="B111" t="s">
        <v>44</v>
      </c>
      <c r="C111" t="s">
        <v>847</v>
      </c>
      <c r="D111" t="s">
        <v>2531</v>
      </c>
      <c r="E111" t="s">
        <v>1320</v>
      </c>
      <c r="F111" t="s">
        <v>3035</v>
      </c>
      <c r="G111" t="s">
        <v>4209</v>
      </c>
      <c r="H111" s="1">
        <v>156491</v>
      </c>
      <c r="I111" s="1">
        <v>51427</v>
      </c>
      <c r="J111" s="1">
        <v>27376</v>
      </c>
    </row>
    <row r="112" spans="1:10" x14ac:dyDescent="0.45">
      <c r="A112" s="4">
        <v>45495</v>
      </c>
      <c r="B112" t="s">
        <v>44</v>
      </c>
      <c r="C112" t="s">
        <v>551</v>
      </c>
      <c r="D112" t="s">
        <v>2129</v>
      </c>
      <c r="E112" t="s">
        <v>1389</v>
      </c>
      <c r="F112" t="s">
        <v>1194</v>
      </c>
      <c r="G112" t="s">
        <v>2094</v>
      </c>
      <c r="H112" s="1">
        <v>187154</v>
      </c>
      <c r="I112" s="1">
        <v>57285</v>
      </c>
      <c r="J112" s="1">
        <v>32317</v>
      </c>
    </row>
    <row r="113" spans="1:10" x14ac:dyDescent="0.45">
      <c r="A113" s="4">
        <v>45496</v>
      </c>
      <c r="B113" t="s">
        <v>44</v>
      </c>
      <c r="C113" t="s">
        <v>851</v>
      </c>
      <c r="D113" t="s">
        <v>2540</v>
      </c>
      <c r="E113" t="s">
        <v>3134</v>
      </c>
      <c r="F113" t="s">
        <v>1198</v>
      </c>
      <c r="G113" t="s">
        <v>4214</v>
      </c>
      <c r="H113" s="1">
        <v>157771</v>
      </c>
      <c r="I113" s="1">
        <v>48941</v>
      </c>
      <c r="J113" s="1">
        <v>31189</v>
      </c>
    </row>
    <row r="114" spans="1:10" x14ac:dyDescent="0.45">
      <c r="A114" s="4">
        <v>45497</v>
      </c>
      <c r="B114" t="s">
        <v>45</v>
      </c>
      <c r="C114" t="s">
        <v>855</v>
      </c>
      <c r="D114" t="s">
        <v>2240</v>
      </c>
      <c r="E114">
        <v>18</v>
      </c>
      <c r="F114" t="s">
        <v>1632</v>
      </c>
      <c r="G114" t="s">
        <v>4219</v>
      </c>
      <c r="H114" s="1">
        <v>166953</v>
      </c>
      <c r="I114" s="1">
        <v>60381</v>
      </c>
      <c r="J114" s="1">
        <v>29511</v>
      </c>
    </row>
    <row r="115" spans="1:10" x14ac:dyDescent="0.45">
      <c r="A115" s="4">
        <v>45498</v>
      </c>
      <c r="B115" t="s">
        <v>90</v>
      </c>
      <c r="C115" t="s">
        <v>860</v>
      </c>
      <c r="D115" t="s">
        <v>2545</v>
      </c>
      <c r="E115" t="s">
        <v>1213</v>
      </c>
      <c r="F115" t="s">
        <v>3787</v>
      </c>
      <c r="G115" t="s">
        <v>4224</v>
      </c>
      <c r="H115" s="1">
        <v>152172</v>
      </c>
      <c r="I115" s="1">
        <v>56498</v>
      </c>
      <c r="J115" s="1">
        <v>30524</v>
      </c>
    </row>
    <row r="116" spans="1:10" x14ac:dyDescent="0.45">
      <c r="A116" s="4">
        <v>45499</v>
      </c>
      <c r="B116" t="s">
        <v>185</v>
      </c>
      <c r="C116" t="s">
        <v>535</v>
      </c>
      <c r="D116" t="s">
        <v>2225</v>
      </c>
      <c r="E116" t="s">
        <v>623</v>
      </c>
      <c r="F116" t="s">
        <v>1238</v>
      </c>
      <c r="G116" t="s">
        <v>4229</v>
      </c>
      <c r="H116" s="1">
        <v>175115</v>
      </c>
      <c r="I116" s="1">
        <v>61587</v>
      </c>
      <c r="J116" s="1">
        <v>27935</v>
      </c>
    </row>
    <row r="117" spans="1:10" x14ac:dyDescent="0.45">
      <c r="A117" s="4">
        <v>45500</v>
      </c>
      <c r="B117" t="s">
        <v>107</v>
      </c>
      <c r="C117" t="s">
        <v>866</v>
      </c>
      <c r="D117" t="s">
        <v>2553</v>
      </c>
      <c r="E117" t="s">
        <v>502</v>
      </c>
      <c r="F117" t="s">
        <v>502</v>
      </c>
      <c r="G117" t="s">
        <v>4234</v>
      </c>
      <c r="H117" s="1">
        <v>155760</v>
      </c>
      <c r="I117" s="1">
        <v>70163</v>
      </c>
      <c r="J117" s="1">
        <v>32663</v>
      </c>
    </row>
    <row r="118" spans="1:10" x14ac:dyDescent="0.45">
      <c r="A118" s="4">
        <v>45501</v>
      </c>
      <c r="B118" t="s">
        <v>202</v>
      </c>
      <c r="C118" t="s">
        <v>444</v>
      </c>
      <c r="D118" t="s">
        <v>2147</v>
      </c>
      <c r="E118" t="s">
        <v>871</v>
      </c>
      <c r="F118" t="s">
        <v>867</v>
      </c>
      <c r="G118" t="s">
        <v>4237</v>
      </c>
      <c r="H118" s="1">
        <v>121431</v>
      </c>
      <c r="I118" s="1">
        <v>60069</v>
      </c>
      <c r="J118" s="1">
        <v>25891</v>
      </c>
    </row>
    <row r="119" spans="1:10" x14ac:dyDescent="0.45">
      <c r="A119" s="4">
        <v>45502</v>
      </c>
      <c r="B119" t="s">
        <v>185</v>
      </c>
      <c r="C119" t="s">
        <v>875</v>
      </c>
      <c r="D119" t="s">
        <v>1516</v>
      </c>
      <c r="E119" t="s">
        <v>2762</v>
      </c>
      <c r="F119" t="s">
        <v>932</v>
      </c>
      <c r="G119" t="s">
        <v>4241</v>
      </c>
      <c r="H119" s="1">
        <v>173294</v>
      </c>
      <c r="I119" s="1">
        <v>64330</v>
      </c>
      <c r="J119" s="1">
        <v>32299</v>
      </c>
    </row>
    <row r="120" spans="1:10" x14ac:dyDescent="0.45">
      <c r="A120" s="4">
        <v>45503</v>
      </c>
      <c r="B120" t="s">
        <v>185</v>
      </c>
      <c r="C120" t="s">
        <v>873</v>
      </c>
      <c r="D120" t="s">
        <v>2031</v>
      </c>
      <c r="E120" t="s">
        <v>929</v>
      </c>
      <c r="F120" t="s">
        <v>3469</v>
      </c>
      <c r="G120" t="s">
        <v>4244</v>
      </c>
      <c r="H120" s="1">
        <v>150074</v>
      </c>
      <c r="I120" s="1">
        <v>57122</v>
      </c>
      <c r="J120" s="1">
        <v>31545</v>
      </c>
    </row>
    <row r="121" spans="1:10" x14ac:dyDescent="0.45">
      <c r="A121" s="4">
        <v>45504</v>
      </c>
      <c r="B121" t="s">
        <v>202</v>
      </c>
      <c r="C121" t="s">
        <v>882</v>
      </c>
      <c r="D121" t="s">
        <v>2562</v>
      </c>
      <c r="E121" t="s">
        <v>3363</v>
      </c>
      <c r="F121" t="s">
        <v>2004</v>
      </c>
      <c r="G121" t="s">
        <v>4176</v>
      </c>
      <c r="H121" s="1">
        <v>166685</v>
      </c>
      <c r="I121" s="1">
        <v>60294</v>
      </c>
      <c r="J121" s="1">
        <v>31176</v>
      </c>
    </row>
    <row r="122" spans="1:10" x14ac:dyDescent="0.45">
      <c r="A122" s="4">
        <v>45505</v>
      </c>
      <c r="B122" t="s">
        <v>96</v>
      </c>
      <c r="C122" t="s">
        <v>879</v>
      </c>
      <c r="D122" t="s">
        <v>2563</v>
      </c>
      <c r="E122" t="s">
        <v>1113</v>
      </c>
      <c r="F122" t="s">
        <v>1116</v>
      </c>
      <c r="G122" t="s">
        <v>4251</v>
      </c>
      <c r="H122" s="1">
        <v>214228</v>
      </c>
      <c r="I122" s="1">
        <v>63900</v>
      </c>
      <c r="J122" s="1">
        <v>24987</v>
      </c>
    </row>
    <row r="123" spans="1:10" x14ac:dyDescent="0.45">
      <c r="A123" s="4">
        <v>45506</v>
      </c>
      <c r="B123" t="s">
        <v>102</v>
      </c>
      <c r="C123" t="s">
        <v>443</v>
      </c>
      <c r="D123" t="s">
        <v>2567</v>
      </c>
      <c r="E123" t="s">
        <v>1133</v>
      </c>
      <c r="F123" t="s">
        <v>3791</v>
      </c>
      <c r="G123" t="s">
        <v>4255</v>
      </c>
      <c r="H123" s="1">
        <v>156679</v>
      </c>
      <c r="I123" s="1">
        <v>60302</v>
      </c>
      <c r="J123" s="1">
        <v>26478</v>
      </c>
    </row>
    <row r="124" spans="1:10" x14ac:dyDescent="0.45">
      <c r="A124" s="4">
        <v>45507</v>
      </c>
      <c r="B124" t="s">
        <v>139</v>
      </c>
      <c r="C124" t="s">
        <v>893</v>
      </c>
      <c r="D124" t="s">
        <v>2570</v>
      </c>
      <c r="E124" t="s">
        <v>2062</v>
      </c>
      <c r="F124" t="s">
        <v>1194</v>
      </c>
      <c r="G124" t="s">
        <v>4258</v>
      </c>
      <c r="H124" s="1">
        <v>131229</v>
      </c>
      <c r="I124" s="1">
        <v>62193</v>
      </c>
      <c r="J124" s="1">
        <v>33448</v>
      </c>
    </row>
    <row r="125" spans="1:10" x14ac:dyDescent="0.45">
      <c r="A125" s="4">
        <v>45508</v>
      </c>
      <c r="B125" t="s">
        <v>96</v>
      </c>
      <c r="C125" t="s">
        <v>897</v>
      </c>
      <c r="D125" t="s">
        <v>572</v>
      </c>
      <c r="E125" t="s">
        <v>1295</v>
      </c>
      <c r="F125" t="s">
        <v>3469</v>
      </c>
      <c r="G125" t="s">
        <v>4254</v>
      </c>
      <c r="H125" s="1">
        <v>108257</v>
      </c>
      <c r="I125" s="1">
        <v>57493</v>
      </c>
      <c r="J125" s="1">
        <v>32065</v>
      </c>
    </row>
    <row r="126" spans="1:10" x14ac:dyDescent="0.45">
      <c r="A126" s="4">
        <v>45509</v>
      </c>
      <c r="B126" t="s">
        <v>102</v>
      </c>
      <c r="C126" t="s">
        <v>901</v>
      </c>
      <c r="D126" t="s">
        <v>2575</v>
      </c>
      <c r="E126" t="s">
        <v>1331</v>
      </c>
      <c r="F126" t="s">
        <v>1777</v>
      </c>
      <c r="G126" t="s">
        <v>4265</v>
      </c>
      <c r="H126" s="1">
        <v>129316</v>
      </c>
      <c r="I126" s="1">
        <v>54531</v>
      </c>
      <c r="J126" s="1">
        <v>35524</v>
      </c>
    </row>
    <row r="127" spans="1:10" x14ac:dyDescent="0.45">
      <c r="A127" s="4">
        <v>45510</v>
      </c>
      <c r="B127" t="s">
        <v>139</v>
      </c>
      <c r="C127" t="s">
        <v>416</v>
      </c>
      <c r="D127" t="s">
        <v>1566</v>
      </c>
      <c r="E127" t="s">
        <v>1563</v>
      </c>
      <c r="F127" t="s">
        <v>880</v>
      </c>
      <c r="G127" t="s">
        <v>4268</v>
      </c>
      <c r="H127" s="1">
        <v>156020</v>
      </c>
      <c r="I127" s="1">
        <v>57770</v>
      </c>
      <c r="J127" s="1">
        <v>33797</v>
      </c>
    </row>
    <row r="128" spans="1:10" x14ac:dyDescent="0.45">
      <c r="A128" s="4">
        <v>45511</v>
      </c>
      <c r="B128" t="s">
        <v>139</v>
      </c>
      <c r="C128" t="s">
        <v>908</v>
      </c>
      <c r="D128" t="s">
        <v>916</v>
      </c>
      <c r="E128" t="s">
        <v>1662</v>
      </c>
      <c r="F128" t="s">
        <v>1446</v>
      </c>
      <c r="G128" t="s">
        <v>4273</v>
      </c>
      <c r="H128" s="1">
        <v>179171</v>
      </c>
      <c r="I128" s="1">
        <v>59565</v>
      </c>
      <c r="J128" s="1">
        <v>26328</v>
      </c>
    </row>
    <row r="129" spans="1:10" x14ac:dyDescent="0.45">
      <c r="A129" s="4">
        <v>45512</v>
      </c>
      <c r="B129" t="s">
        <v>201</v>
      </c>
      <c r="C129" t="s">
        <v>910</v>
      </c>
      <c r="D129" t="s">
        <v>2584</v>
      </c>
      <c r="E129" t="s">
        <v>1201</v>
      </c>
      <c r="F129" t="s">
        <v>1239</v>
      </c>
      <c r="G129" t="s">
        <v>4278</v>
      </c>
      <c r="H129" s="1">
        <v>186522</v>
      </c>
      <c r="I129" s="1">
        <v>62885</v>
      </c>
      <c r="J129" s="1">
        <v>29090</v>
      </c>
    </row>
    <row r="130" spans="1:10" x14ac:dyDescent="0.45">
      <c r="A130" s="4">
        <v>45513</v>
      </c>
      <c r="B130" t="s">
        <v>8</v>
      </c>
      <c r="C130" t="s">
        <v>915</v>
      </c>
      <c r="D130" t="s">
        <v>2586</v>
      </c>
      <c r="E130" t="s">
        <v>1510</v>
      </c>
      <c r="F130" t="s">
        <v>2762</v>
      </c>
      <c r="G130" t="s">
        <v>4283</v>
      </c>
      <c r="H130" s="1">
        <v>149409</v>
      </c>
      <c r="I130" s="1">
        <v>61009</v>
      </c>
      <c r="J130" s="1">
        <v>31510</v>
      </c>
    </row>
    <row r="131" spans="1:10" x14ac:dyDescent="0.45">
      <c r="A131" s="4">
        <v>45514</v>
      </c>
      <c r="B131" t="s">
        <v>204</v>
      </c>
      <c r="C131" t="s">
        <v>918</v>
      </c>
      <c r="D131" t="s">
        <v>873</v>
      </c>
      <c r="E131" t="s">
        <v>1400</v>
      </c>
      <c r="F131" t="s">
        <v>1951</v>
      </c>
      <c r="G131" t="s">
        <v>3079</v>
      </c>
      <c r="H131" s="1">
        <v>161049</v>
      </c>
      <c r="I131" s="1">
        <v>68576</v>
      </c>
      <c r="J131" s="1">
        <v>33505</v>
      </c>
    </row>
    <row r="132" spans="1:10" x14ac:dyDescent="0.45">
      <c r="A132" s="4">
        <v>45516</v>
      </c>
      <c r="B132" t="s">
        <v>206</v>
      </c>
      <c r="C132" t="s">
        <v>921</v>
      </c>
      <c r="D132" t="s">
        <v>1381</v>
      </c>
      <c r="E132" t="s">
        <v>1536</v>
      </c>
      <c r="F132" t="s">
        <v>481</v>
      </c>
      <c r="G132" t="s">
        <v>850</v>
      </c>
      <c r="H132" s="1">
        <v>136297</v>
      </c>
      <c r="I132" s="1">
        <v>55433</v>
      </c>
      <c r="J132" s="1">
        <v>33158</v>
      </c>
    </row>
    <row r="133" spans="1:10" x14ac:dyDescent="0.45">
      <c r="A133" s="4">
        <v>45517</v>
      </c>
      <c r="B133" t="s">
        <v>104</v>
      </c>
      <c r="C133" t="s">
        <v>924</v>
      </c>
      <c r="D133" t="s">
        <v>1997</v>
      </c>
      <c r="E133" t="s">
        <v>1994</v>
      </c>
      <c r="F133" t="s">
        <v>3046</v>
      </c>
      <c r="G133" t="s">
        <v>2092</v>
      </c>
      <c r="H133" s="1">
        <v>135026</v>
      </c>
      <c r="I133" s="1">
        <v>54819</v>
      </c>
      <c r="J133" s="1">
        <v>35225</v>
      </c>
    </row>
    <row r="134" spans="1:10" x14ac:dyDescent="0.45">
      <c r="A134" s="4">
        <v>45518</v>
      </c>
      <c r="B134" t="s">
        <v>101</v>
      </c>
      <c r="C134" t="s">
        <v>925</v>
      </c>
      <c r="D134" t="s">
        <v>1472</v>
      </c>
      <c r="E134" t="s">
        <v>1409</v>
      </c>
      <c r="F134" t="s">
        <v>498</v>
      </c>
      <c r="G134" t="s">
        <v>4291</v>
      </c>
      <c r="H134" s="1">
        <v>128558</v>
      </c>
      <c r="I134" s="1">
        <v>54660</v>
      </c>
      <c r="J134" s="1">
        <v>30367</v>
      </c>
    </row>
    <row r="135" spans="1:10" x14ac:dyDescent="0.45">
      <c r="A135" s="4">
        <v>45519</v>
      </c>
      <c r="B135" t="s">
        <v>139</v>
      </c>
      <c r="C135" t="s">
        <v>924</v>
      </c>
      <c r="D135" t="s">
        <v>1487</v>
      </c>
      <c r="E135" t="s">
        <v>1180</v>
      </c>
      <c r="F135" t="s">
        <v>936</v>
      </c>
      <c r="G135" t="s">
        <v>4293</v>
      </c>
      <c r="H135" s="1">
        <v>126932</v>
      </c>
      <c r="I135" s="1">
        <v>54148</v>
      </c>
      <c r="J135" s="1">
        <v>30229</v>
      </c>
    </row>
    <row r="136" spans="1:10" x14ac:dyDescent="0.45">
      <c r="A136" s="4">
        <v>45521</v>
      </c>
      <c r="B136" t="s">
        <v>130</v>
      </c>
      <c r="C136">
        <v>17</v>
      </c>
      <c r="D136">
        <v>29</v>
      </c>
      <c r="E136" t="s">
        <v>1123</v>
      </c>
      <c r="F136" t="s">
        <v>1962</v>
      </c>
      <c r="G136">
        <v>124</v>
      </c>
      <c r="H136" s="1">
        <v>129924</v>
      </c>
      <c r="I136" s="1">
        <v>57816</v>
      </c>
      <c r="J136" s="1">
        <v>27095</v>
      </c>
    </row>
    <row r="137" spans="1:10" x14ac:dyDescent="0.45">
      <c r="A137" s="4">
        <v>45522</v>
      </c>
      <c r="B137" t="s">
        <v>130</v>
      </c>
      <c r="C137">
        <v>17</v>
      </c>
      <c r="D137">
        <v>29</v>
      </c>
      <c r="E137" t="s">
        <v>1234</v>
      </c>
      <c r="F137" t="s">
        <v>2588</v>
      </c>
      <c r="G137">
        <v>124</v>
      </c>
      <c r="H137" s="1">
        <v>108541</v>
      </c>
      <c r="I137" s="1">
        <v>53560</v>
      </c>
      <c r="J137" s="1">
        <v>26172</v>
      </c>
    </row>
    <row r="138" spans="1:10" x14ac:dyDescent="0.45">
      <c r="A138" s="4">
        <v>45523</v>
      </c>
      <c r="B138" t="s">
        <v>130</v>
      </c>
      <c r="C138">
        <v>17</v>
      </c>
      <c r="D138">
        <v>29</v>
      </c>
      <c r="E138" t="s">
        <v>1872</v>
      </c>
      <c r="F138" t="s">
        <v>1718</v>
      </c>
      <c r="G138">
        <v>124</v>
      </c>
      <c r="H138" s="1">
        <v>150663</v>
      </c>
      <c r="I138" s="1">
        <v>58354</v>
      </c>
      <c r="J138" s="1">
        <v>32382</v>
      </c>
    </row>
    <row r="139" spans="1:10" x14ac:dyDescent="0.45">
      <c r="A139" s="4">
        <v>45524</v>
      </c>
      <c r="B139" t="s">
        <v>130</v>
      </c>
      <c r="C139">
        <v>17</v>
      </c>
      <c r="D139">
        <v>29</v>
      </c>
      <c r="E139" t="s">
        <v>1511</v>
      </c>
      <c r="F139" t="s">
        <v>1145</v>
      </c>
      <c r="G139">
        <v>124</v>
      </c>
      <c r="H139" s="1">
        <v>141591</v>
      </c>
      <c r="I139" s="1">
        <v>56310</v>
      </c>
      <c r="J139" s="1">
        <v>32850</v>
      </c>
    </row>
    <row r="140" spans="1:10" x14ac:dyDescent="0.45">
      <c r="A140" s="4">
        <v>45525</v>
      </c>
      <c r="B140" t="s">
        <v>130</v>
      </c>
      <c r="C140">
        <v>17</v>
      </c>
      <c r="D140">
        <v>29</v>
      </c>
      <c r="E140" t="s">
        <v>1865</v>
      </c>
      <c r="F140" t="s">
        <v>1212</v>
      </c>
      <c r="G140">
        <v>124</v>
      </c>
      <c r="H140" s="1">
        <v>144659</v>
      </c>
      <c r="I140" s="1">
        <v>57322</v>
      </c>
      <c r="J140" s="1">
        <v>34379</v>
      </c>
    </row>
    <row r="141" spans="1:10" x14ac:dyDescent="0.45">
      <c r="A141" s="4">
        <v>45526</v>
      </c>
      <c r="B141" t="s">
        <v>130</v>
      </c>
      <c r="C141">
        <v>17</v>
      </c>
      <c r="D141">
        <v>29</v>
      </c>
      <c r="E141" t="s">
        <v>523</v>
      </c>
      <c r="F141" t="s">
        <v>581</v>
      </c>
      <c r="G141">
        <v>124</v>
      </c>
      <c r="H141" s="1">
        <v>185595</v>
      </c>
      <c r="I141" s="1">
        <v>61630</v>
      </c>
      <c r="J141" s="1">
        <v>30818</v>
      </c>
    </row>
    <row r="142" spans="1:10" x14ac:dyDescent="0.45">
      <c r="A142" s="4">
        <v>45527</v>
      </c>
      <c r="B142" t="s">
        <v>148</v>
      </c>
      <c r="C142" t="s">
        <v>930</v>
      </c>
      <c r="D142" t="s">
        <v>2592</v>
      </c>
      <c r="E142" t="s">
        <v>1267</v>
      </c>
      <c r="F142" t="s">
        <v>1411</v>
      </c>
      <c r="G142" t="s">
        <v>981</v>
      </c>
      <c r="H142" s="1">
        <v>183187</v>
      </c>
      <c r="I142" s="1">
        <v>62998</v>
      </c>
      <c r="J142" s="1">
        <v>29917</v>
      </c>
    </row>
    <row r="143" spans="1:10" x14ac:dyDescent="0.45">
      <c r="A143" s="4">
        <v>45528</v>
      </c>
      <c r="B143" t="s">
        <v>105</v>
      </c>
      <c r="C143" t="s">
        <v>935</v>
      </c>
      <c r="D143" t="s">
        <v>2594</v>
      </c>
      <c r="E143" t="s">
        <v>1344</v>
      </c>
      <c r="F143" t="s">
        <v>1377</v>
      </c>
      <c r="G143" t="s">
        <v>4302</v>
      </c>
      <c r="H143" s="1">
        <v>136425</v>
      </c>
      <c r="I143" s="1">
        <v>65598</v>
      </c>
      <c r="J143" s="1">
        <v>34562</v>
      </c>
    </row>
    <row r="144" spans="1:10" x14ac:dyDescent="0.45">
      <c r="A144" s="4">
        <v>45529</v>
      </c>
      <c r="B144" t="s">
        <v>201</v>
      </c>
      <c r="C144" t="s">
        <v>940</v>
      </c>
      <c r="D144" t="s">
        <v>1560</v>
      </c>
      <c r="E144" t="s">
        <v>1363</v>
      </c>
      <c r="F144" t="s">
        <v>1345</v>
      </c>
      <c r="G144" t="s">
        <v>460</v>
      </c>
      <c r="H144" s="1">
        <v>120256</v>
      </c>
      <c r="I144" s="1">
        <v>52810</v>
      </c>
      <c r="J144" s="1">
        <v>28210</v>
      </c>
    </row>
    <row r="145" spans="1:10" x14ac:dyDescent="0.45">
      <c r="A145" s="4">
        <v>45530</v>
      </c>
      <c r="B145" t="s">
        <v>104</v>
      </c>
      <c r="C145" t="s">
        <v>738</v>
      </c>
      <c r="D145" t="s">
        <v>2599</v>
      </c>
      <c r="E145" t="s">
        <v>1373</v>
      </c>
      <c r="F145" t="s">
        <v>1326</v>
      </c>
      <c r="G145" t="s">
        <v>4310</v>
      </c>
      <c r="H145" s="1">
        <v>182228</v>
      </c>
      <c r="I145" s="1">
        <v>67624</v>
      </c>
      <c r="J145" s="1">
        <v>35410</v>
      </c>
    </row>
    <row r="146" spans="1:10" x14ac:dyDescent="0.45">
      <c r="A146" s="4">
        <v>45531</v>
      </c>
      <c r="B146" t="s">
        <v>115</v>
      </c>
      <c r="C146" t="s">
        <v>947</v>
      </c>
      <c r="D146" t="s">
        <v>1576</v>
      </c>
      <c r="E146" t="s">
        <v>3375</v>
      </c>
      <c r="F146" t="s">
        <v>3206</v>
      </c>
      <c r="G146" t="s">
        <v>4313</v>
      </c>
      <c r="H146" s="1">
        <v>156626</v>
      </c>
      <c r="I146" s="1">
        <v>47429</v>
      </c>
      <c r="J146" s="1">
        <v>32306</v>
      </c>
    </row>
    <row r="147" spans="1:10" x14ac:dyDescent="0.45">
      <c r="A147" s="4">
        <v>45532</v>
      </c>
      <c r="B147" t="s">
        <v>115</v>
      </c>
      <c r="C147" t="s">
        <v>951</v>
      </c>
      <c r="D147" t="s">
        <v>2604</v>
      </c>
      <c r="E147" t="s">
        <v>3221</v>
      </c>
      <c r="F147" t="s">
        <v>1659</v>
      </c>
      <c r="G147" t="s">
        <v>4318</v>
      </c>
      <c r="H147" s="1">
        <v>188705</v>
      </c>
      <c r="I147" s="1">
        <v>63179</v>
      </c>
      <c r="J147" s="1">
        <v>31317</v>
      </c>
    </row>
    <row r="148" spans="1:10" x14ac:dyDescent="0.45">
      <c r="A148" s="4">
        <v>45533</v>
      </c>
      <c r="B148" t="s">
        <v>161</v>
      </c>
      <c r="C148" t="s">
        <v>950</v>
      </c>
      <c r="D148" t="s">
        <v>2606</v>
      </c>
      <c r="E148" t="s">
        <v>1304</v>
      </c>
      <c r="F148" t="s">
        <v>1707</v>
      </c>
      <c r="G148" t="s">
        <v>4321</v>
      </c>
      <c r="H148" s="1">
        <v>190673</v>
      </c>
      <c r="I148" s="1">
        <v>61813</v>
      </c>
      <c r="J148" s="1">
        <v>29330</v>
      </c>
    </row>
    <row r="149" spans="1:10" x14ac:dyDescent="0.45">
      <c r="A149" s="4">
        <v>45534</v>
      </c>
      <c r="B149" t="s">
        <v>159</v>
      </c>
      <c r="C149">
        <v>10</v>
      </c>
      <c r="D149" t="s">
        <v>2608</v>
      </c>
      <c r="E149" t="s">
        <v>1348</v>
      </c>
      <c r="F149" t="s">
        <v>2696</v>
      </c>
      <c r="G149" t="s">
        <v>4325</v>
      </c>
      <c r="H149" s="1">
        <v>139560</v>
      </c>
      <c r="I149" s="1">
        <v>59350</v>
      </c>
      <c r="J149" s="1">
        <v>36554</v>
      </c>
    </row>
    <row r="150" spans="1:10" x14ac:dyDescent="0.45">
      <c r="A150" s="4">
        <v>45535</v>
      </c>
      <c r="B150" t="s">
        <v>154</v>
      </c>
      <c r="C150">
        <v>9</v>
      </c>
      <c r="D150">
        <v>19</v>
      </c>
      <c r="E150">
        <v>20</v>
      </c>
      <c r="F150">
        <v>18</v>
      </c>
      <c r="G150">
        <v>108</v>
      </c>
      <c r="H150" s="1">
        <v>145666</v>
      </c>
      <c r="I150" s="1">
        <v>62968</v>
      </c>
      <c r="J150" s="1">
        <v>36491</v>
      </c>
    </row>
    <row r="151" spans="1:10" x14ac:dyDescent="0.45">
      <c r="A151" s="4">
        <v>45536</v>
      </c>
      <c r="B151" t="s">
        <v>154</v>
      </c>
      <c r="C151">
        <v>9</v>
      </c>
      <c r="D151">
        <v>19</v>
      </c>
      <c r="E151">
        <v>20</v>
      </c>
      <c r="F151">
        <v>18</v>
      </c>
      <c r="G151">
        <v>108</v>
      </c>
      <c r="H151" s="1">
        <v>145752</v>
      </c>
      <c r="I151" s="1">
        <v>63353</v>
      </c>
      <c r="J151" s="1">
        <v>30738</v>
      </c>
    </row>
    <row r="152" spans="1:10" x14ac:dyDescent="0.45">
      <c r="A152" s="4">
        <v>45537</v>
      </c>
      <c r="B152" t="s">
        <v>163</v>
      </c>
      <c r="C152" t="s">
        <v>956</v>
      </c>
      <c r="D152" t="s">
        <v>2612</v>
      </c>
      <c r="E152" t="s">
        <v>692</v>
      </c>
      <c r="F152" t="s">
        <v>1632</v>
      </c>
      <c r="G152" t="s">
        <v>4331</v>
      </c>
      <c r="H152" s="1">
        <v>174405</v>
      </c>
      <c r="I152" s="1">
        <v>58698</v>
      </c>
      <c r="J152" s="1">
        <v>33790</v>
      </c>
    </row>
    <row r="153" spans="1:10" x14ac:dyDescent="0.45">
      <c r="A153" s="4">
        <v>45538</v>
      </c>
      <c r="B153" t="s">
        <v>142</v>
      </c>
      <c r="C153" t="s">
        <v>960</v>
      </c>
      <c r="D153" t="s">
        <v>2616</v>
      </c>
      <c r="E153" t="s">
        <v>1308</v>
      </c>
      <c r="F153" t="s">
        <v>3087</v>
      </c>
      <c r="G153" t="s">
        <v>4334</v>
      </c>
      <c r="H153" s="1">
        <v>171788</v>
      </c>
      <c r="I153" s="1">
        <v>57245</v>
      </c>
      <c r="J153" s="1">
        <v>33640</v>
      </c>
    </row>
    <row r="154" spans="1:10" x14ac:dyDescent="0.45">
      <c r="A154" s="4">
        <v>45539</v>
      </c>
      <c r="B154" t="s">
        <v>111</v>
      </c>
      <c r="C154" t="s">
        <v>965</v>
      </c>
      <c r="D154" t="s">
        <v>2621</v>
      </c>
      <c r="E154" t="s">
        <v>2724</v>
      </c>
      <c r="F154" t="s">
        <v>1429</v>
      </c>
      <c r="G154" t="s">
        <v>4339</v>
      </c>
      <c r="H154" s="1">
        <v>161779</v>
      </c>
      <c r="I154" s="1">
        <v>57759</v>
      </c>
      <c r="J154" s="1">
        <v>32843</v>
      </c>
    </row>
    <row r="155" spans="1:10" x14ac:dyDescent="0.45">
      <c r="A155" s="4">
        <v>45540</v>
      </c>
      <c r="B155" t="s">
        <v>151</v>
      </c>
      <c r="C155" t="s">
        <v>964</v>
      </c>
      <c r="D155" t="s">
        <v>2625</v>
      </c>
      <c r="E155" t="s">
        <v>1368</v>
      </c>
      <c r="F155">
        <v>14</v>
      </c>
      <c r="G155" t="s">
        <v>4343</v>
      </c>
      <c r="H155" s="1">
        <v>162285</v>
      </c>
      <c r="I155" s="1">
        <v>59049</v>
      </c>
      <c r="J155" s="1">
        <v>33792</v>
      </c>
    </row>
    <row r="156" spans="1:10" x14ac:dyDescent="0.45">
      <c r="A156" s="4">
        <v>45541</v>
      </c>
      <c r="B156" t="s">
        <v>150</v>
      </c>
      <c r="C156" t="s">
        <v>974</v>
      </c>
      <c r="D156" t="s">
        <v>2631</v>
      </c>
      <c r="E156" t="s">
        <v>1984</v>
      </c>
      <c r="F156" t="s">
        <v>2766</v>
      </c>
      <c r="G156" t="s">
        <v>4347</v>
      </c>
      <c r="H156" s="1">
        <v>156484</v>
      </c>
      <c r="I156" s="1">
        <v>58110</v>
      </c>
      <c r="J156" s="1">
        <v>33863</v>
      </c>
    </row>
    <row r="157" spans="1:10" x14ac:dyDescent="0.45">
      <c r="A157" s="4">
        <v>45542</v>
      </c>
      <c r="B157" t="s">
        <v>111</v>
      </c>
      <c r="C157" t="s">
        <v>979</v>
      </c>
      <c r="D157" t="s">
        <v>2635</v>
      </c>
      <c r="E157" t="s">
        <v>2956</v>
      </c>
      <c r="F157" t="s">
        <v>1091</v>
      </c>
      <c r="G157" t="s">
        <v>4352</v>
      </c>
      <c r="H157" s="1">
        <v>166592</v>
      </c>
      <c r="I157" s="1">
        <v>64308</v>
      </c>
      <c r="J157" s="1">
        <v>33365</v>
      </c>
    </row>
    <row r="158" spans="1:10" x14ac:dyDescent="0.45">
      <c r="A158" s="4">
        <v>45543</v>
      </c>
      <c r="B158" t="s">
        <v>151</v>
      </c>
      <c r="C158" t="s">
        <v>370</v>
      </c>
      <c r="D158" t="s">
        <v>2631</v>
      </c>
      <c r="E158" t="s">
        <v>1428</v>
      </c>
      <c r="F158" t="s">
        <v>1068</v>
      </c>
      <c r="G158" t="s">
        <v>4356</v>
      </c>
      <c r="H158" s="1">
        <v>131873</v>
      </c>
      <c r="I158" s="1">
        <v>57061</v>
      </c>
      <c r="J158" s="1">
        <v>24442</v>
      </c>
    </row>
    <row r="159" spans="1:10" x14ac:dyDescent="0.45">
      <c r="A159" s="4">
        <v>45544</v>
      </c>
      <c r="B159" t="s">
        <v>140</v>
      </c>
      <c r="C159" t="s">
        <v>988</v>
      </c>
      <c r="D159" t="s">
        <v>2643</v>
      </c>
      <c r="E159" t="s">
        <v>1731</v>
      </c>
      <c r="F159" t="s">
        <v>1374</v>
      </c>
      <c r="G159" t="s">
        <v>2465</v>
      </c>
      <c r="H159" s="1">
        <v>164380</v>
      </c>
      <c r="I159" s="1">
        <v>59112</v>
      </c>
      <c r="J159" s="1">
        <v>27179</v>
      </c>
    </row>
    <row r="160" spans="1:10" x14ac:dyDescent="0.45">
      <c r="A160" s="4">
        <v>45545</v>
      </c>
      <c r="B160" t="s">
        <v>145</v>
      </c>
      <c r="C160" t="s">
        <v>990</v>
      </c>
      <c r="D160" t="s">
        <v>2648</v>
      </c>
      <c r="E160" t="s">
        <v>432</v>
      </c>
      <c r="F160" t="s">
        <v>1415</v>
      </c>
      <c r="G160" t="s">
        <v>4364</v>
      </c>
      <c r="H160" s="1">
        <v>128950</v>
      </c>
      <c r="I160" s="1">
        <v>45430</v>
      </c>
      <c r="J160" s="1">
        <v>22464</v>
      </c>
    </row>
    <row r="161" spans="1:10" x14ac:dyDescent="0.45">
      <c r="A161" s="4">
        <v>45546</v>
      </c>
      <c r="B161" t="s">
        <v>137</v>
      </c>
      <c r="C161" t="s">
        <v>995</v>
      </c>
      <c r="D161" t="s">
        <v>2653</v>
      </c>
      <c r="E161" t="s">
        <v>896</v>
      </c>
      <c r="F161" t="s">
        <v>462</v>
      </c>
      <c r="G161" t="s">
        <v>4369</v>
      </c>
      <c r="H161" s="1">
        <v>177275</v>
      </c>
      <c r="I161" s="1">
        <v>58504</v>
      </c>
      <c r="J161" s="1">
        <v>27306</v>
      </c>
    </row>
    <row r="162" spans="1:10" x14ac:dyDescent="0.45">
      <c r="A162" s="4">
        <v>45547</v>
      </c>
      <c r="B162" t="s">
        <v>111</v>
      </c>
      <c r="C162" t="s">
        <v>1000</v>
      </c>
      <c r="D162" t="s">
        <v>2659</v>
      </c>
      <c r="E162" t="s">
        <v>3167</v>
      </c>
      <c r="F162" t="s">
        <v>1188</v>
      </c>
      <c r="G162" t="s">
        <v>4374</v>
      </c>
      <c r="H162" s="1">
        <v>172098</v>
      </c>
      <c r="I162" s="1">
        <v>48441</v>
      </c>
      <c r="J162" s="1">
        <v>30742</v>
      </c>
    </row>
    <row r="163" spans="1:10" x14ac:dyDescent="0.45">
      <c r="A163" s="4">
        <v>45548</v>
      </c>
      <c r="B163" t="s">
        <v>151</v>
      </c>
      <c r="C163" t="s">
        <v>1005</v>
      </c>
      <c r="D163" t="s">
        <v>2663</v>
      </c>
      <c r="E163" t="s">
        <v>1362</v>
      </c>
      <c r="F163" t="s">
        <v>1381</v>
      </c>
      <c r="G163" t="s">
        <v>4379</v>
      </c>
      <c r="H163" s="1">
        <v>154841</v>
      </c>
      <c r="I163" s="1">
        <v>55793</v>
      </c>
      <c r="J163" s="1">
        <v>31479</v>
      </c>
    </row>
    <row r="164" spans="1:10" x14ac:dyDescent="0.45">
      <c r="A164" s="4">
        <v>45549</v>
      </c>
      <c r="B164" t="s">
        <v>168</v>
      </c>
      <c r="C164" t="s">
        <v>1009</v>
      </c>
      <c r="D164" t="s">
        <v>2669</v>
      </c>
      <c r="E164" t="s">
        <v>2688</v>
      </c>
      <c r="F164" t="s">
        <v>1818</v>
      </c>
      <c r="G164" t="s">
        <v>4384</v>
      </c>
      <c r="H164" s="1">
        <v>161029</v>
      </c>
      <c r="I164" s="1">
        <v>64966</v>
      </c>
      <c r="J164" s="1">
        <v>32537</v>
      </c>
    </row>
    <row r="165" spans="1:10" x14ac:dyDescent="0.45">
      <c r="A165" s="4">
        <v>45550</v>
      </c>
      <c r="B165" t="s">
        <v>168</v>
      </c>
      <c r="C165" t="s">
        <v>1015</v>
      </c>
      <c r="D165" t="s">
        <v>2674</v>
      </c>
      <c r="E165" t="s">
        <v>3374</v>
      </c>
      <c r="F165" t="s">
        <v>2992</v>
      </c>
      <c r="G165" t="s">
        <v>4112</v>
      </c>
      <c r="H165" s="1">
        <v>145832</v>
      </c>
      <c r="I165" s="1">
        <v>66004</v>
      </c>
      <c r="J165" s="1">
        <v>29228</v>
      </c>
    </row>
    <row r="166" spans="1:10" x14ac:dyDescent="0.45">
      <c r="A166" s="4">
        <v>45551</v>
      </c>
      <c r="B166" t="s">
        <v>167</v>
      </c>
      <c r="C166" t="s">
        <v>1020</v>
      </c>
      <c r="D166" t="s">
        <v>2680</v>
      </c>
      <c r="E166" t="s">
        <v>1891</v>
      </c>
      <c r="F166" t="s">
        <v>1909</v>
      </c>
      <c r="G166" t="s">
        <v>4393</v>
      </c>
      <c r="H166" s="1">
        <v>136697</v>
      </c>
      <c r="I166" s="1">
        <v>57657</v>
      </c>
      <c r="J166" s="1">
        <v>31551</v>
      </c>
    </row>
    <row r="167" spans="1:10" x14ac:dyDescent="0.45">
      <c r="A167" s="4">
        <v>45552</v>
      </c>
      <c r="B167" t="s">
        <v>140</v>
      </c>
      <c r="C167" t="s">
        <v>1026</v>
      </c>
      <c r="D167" t="s">
        <v>2683</v>
      </c>
      <c r="E167" t="s">
        <v>1829</v>
      </c>
      <c r="F167" t="s">
        <v>1286</v>
      </c>
      <c r="G167" t="s">
        <v>4398</v>
      </c>
      <c r="H167" s="1">
        <v>149851</v>
      </c>
      <c r="I167" s="1">
        <v>54386</v>
      </c>
      <c r="J167" s="1">
        <v>33165</v>
      </c>
    </row>
    <row r="168" spans="1:10" x14ac:dyDescent="0.45">
      <c r="A168" s="4">
        <v>45553</v>
      </c>
      <c r="B168" t="s">
        <v>148</v>
      </c>
      <c r="C168">
        <v>43</v>
      </c>
      <c r="D168">
        <v>19</v>
      </c>
      <c r="E168" t="s">
        <v>1909</v>
      </c>
      <c r="F168" t="s">
        <v>1835</v>
      </c>
      <c r="G168">
        <v>141</v>
      </c>
      <c r="H168" s="1">
        <v>155082</v>
      </c>
      <c r="I168" s="1">
        <v>54159</v>
      </c>
      <c r="J168" s="1">
        <v>33790</v>
      </c>
    </row>
    <row r="169" spans="1:10" x14ac:dyDescent="0.45">
      <c r="A169" s="4">
        <v>45554</v>
      </c>
      <c r="B169" t="s">
        <v>148</v>
      </c>
      <c r="C169">
        <v>43</v>
      </c>
      <c r="D169">
        <v>19</v>
      </c>
      <c r="E169" t="s">
        <v>1294</v>
      </c>
      <c r="F169" t="s">
        <v>3077</v>
      </c>
      <c r="G169">
        <v>141</v>
      </c>
      <c r="H169" s="1">
        <v>153024</v>
      </c>
      <c r="I169" s="1">
        <v>55497</v>
      </c>
      <c r="J169" s="1">
        <v>33345</v>
      </c>
    </row>
    <row r="170" spans="1:10" x14ac:dyDescent="0.45">
      <c r="A170" s="4">
        <v>45555</v>
      </c>
      <c r="B170" t="s">
        <v>148</v>
      </c>
      <c r="C170">
        <v>43</v>
      </c>
      <c r="D170">
        <v>19</v>
      </c>
      <c r="E170" t="s">
        <v>3225</v>
      </c>
      <c r="F170" t="s">
        <v>2963</v>
      </c>
      <c r="G170">
        <v>141</v>
      </c>
      <c r="H170" s="1">
        <v>162784</v>
      </c>
      <c r="I170" s="1">
        <v>57150</v>
      </c>
      <c r="J170" s="1">
        <v>32428</v>
      </c>
    </row>
    <row r="171" spans="1:10" x14ac:dyDescent="0.45">
      <c r="A171" s="4">
        <v>45556</v>
      </c>
      <c r="B171" t="s">
        <v>148</v>
      </c>
      <c r="C171">
        <v>43</v>
      </c>
      <c r="D171">
        <v>19</v>
      </c>
      <c r="E171" t="s">
        <v>2318</v>
      </c>
      <c r="F171" t="s">
        <v>525</v>
      </c>
      <c r="G171">
        <v>141</v>
      </c>
      <c r="H171" s="1">
        <v>190846</v>
      </c>
      <c r="I171" s="1">
        <v>65996</v>
      </c>
      <c r="J171" s="1">
        <v>25669</v>
      </c>
    </row>
    <row r="172" spans="1:10" x14ac:dyDescent="0.45">
      <c r="A172" s="4">
        <v>45557</v>
      </c>
      <c r="B172" t="s">
        <v>148</v>
      </c>
      <c r="C172">
        <v>43</v>
      </c>
      <c r="D172">
        <v>19</v>
      </c>
      <c r="E172" t="s">
        <v>2323</v>
      </c>
      <c r="F172" t="s">
        <v>2566</v>
      </c>
      <c r="G172">
        <v>141</v>
      </c>
      <c r="H172" s="1">
        <v>155989</v>
      </c>
      <c r="I172" s="1">
        <v>58943</v>
      </c>
      <c r="J172" s="1">
        <v>20762</v>
      </c>
    </row>
    <row r="173" spans="1:10" x14ac:dyDescent="0.45">
      <c r="A173" s="4">
        <v>45558</v>
      </c>
      <c r="B173" t="s">
        <v>148</v>
      </c>
      <c r="C173">
        <v>43</v>
      </c>
      <c r="D173">
        <v>19</v>
      </c>
      <c r="E173" t="s">
        <v>2822</v>
      </c>
      <c r="F173" t="s">
        <v>3747</v>
      </c>
      <c r="G173">
        <v>141</v>
      </c>
      <c r="H173" s="1">
        <v>194713</v>
      </c>
      <c r="I173" s="1">
        <v>60197</v>
      </c>
      <c r="J173" s="1">
        <v>21173</v>
      </c>
    </row>
    <row r="174" spans="1:10" x14ac:dyDescent="0.45">
      <c r="A174" s="4">
        <v>45559</v>
      </c>
      <c r="B174" t="s">
        <v>148</v>
      </c>
      <c r="C174">
        <v>43</v>
      </c>
      <c r="D174">
        <v>19</v>
      </c>
      <c r="E174" t="s">
        <v>3390</v>
      </c>
      <c r="F174" t="s">
        <v>2377</v>
      </c>
      <c r="G174">
        <v>141</v>
      </c>
      <c r="H174" s="1">
        <v>189980</v>
      </c>
      <c r="I174" s="1">
        <v>63186</v>
      </c>
      <c r="J174" s="1">
        <v>30152</v>
      </c>
    </row>
    <row r="175" spans="1:10" x14ac:dyDescent="0.45">
      <c r="A175" s="4">
        <v>45560</v>
      </c>
      <c r="B175" t="s">
        <v>148</v>
      </c>
      <c r="C175">
        <v>43</v>
      </c>
      <c r="D175">
        <v>19</v>
      </c>
      <c r="E175" t="s">
        <v>879</v>
      </c>
      <c r="F175" t="s">
        <v>1239</v>
      </c>
      <c r="G175">
        <v>141</v>
      </c>
      <c r="H175" s="1">
        <v>153802</v>
      </c>
      <c r="I175" s="1">
        <v>60164</v>
      </c>
      <c r="J175" s="1">
        <v>28209</v>
      </c>
    </row>
    <row r="176" spans="1:10" x14ac:dyDescent="0.45">
      <c r="A176" s="4">
        <v>45561</v>
      </c>
      <c r="B176" t="s">
        <v>148</v>
      </c>
      <c r="C176">
        <v>43</v>
      </c>
      <c r="D176">
        <v>19</v>
      </c>
      <c r="E176" t="s">
        <v>653</v>
      </c>
      <c r="F176" t="s">
        <v>584</v>
      </c>
      <c r="G176">
        <v>141</v>
      </c>
      <c r="H176" s="1">
        <v>184919</v>
      </c>
      <c r="I176" s="1">
        <v>63736</v>
      </c>
      <c r="J176" s="1">
        <v>25400</v>
      </c>
    </row>
    <row r="177" spans="1:10" x14ac:dyDescent="0.45">
      <c r="A177" s="4">
        <v>45562</v>
      </c>
      <c r="B177" t="s">
        <v>148</v>
      </c>
      <c r="C177">
        <v>43</v>
      </c>
      <c r="D177">
        <v>19</v>
      </c>
      <c r="E177" t="s">
        <v>446</v>
      </c>
      <c r="F177" t="s">
        <v>1924</v>
      </c>
      <c r="G177">
        <v>141</v>
      </c>
      <c r="H177" s="1">
        <v>191785</v>
      </c>
      <c r="I177" s="1">
        <v>62271</v>
      </c>
      <c r="J177" s="1">
        <v>25886</v>
      </c>
    </row>
    <row r="178" spans="1:10" x14ac:dyDescent="0.45">
      <c r="A178" s="4">
        <v>45563</v>
      </c>
      <c r="B178" t="s">
        <v>148</v>
      </c>
      <c r="C178">
        <v>43</v>
      </c>
      <c r="D178">
        <v>19</v>
      </c>
      <c r="E178" t="s">
        <v>431</v>
      </c>
      <c r="F178" t="s">
        <v>1263</v>
      </c>
      <c r="G178">
        <v>141</v>
      </c>
      <c r="H178" s="1">
        <v>176871</v>
      </c>
      <c r="I178" s="1">
        <v>66080</v>
      </c>
      <c r="J178" s="1">
        <v>27759</v>
      </c>
    </row>
    <row r="179" spans="1:10" x14ac:dyDescent="0.45">
      <c r="A179" s="4">
        <v>45564</v>
      </c>
      <c r="B179" t="s">
        <v>148</v>
      </c>
      <c r="C179">
        <v>43</v>
      </c>
      <c r="D179">
        <v>19</v>
      </c>
      <c r="E179" t="s">
        <v>1435</v>
      </c>
      <c r="F179" t="s">
        <v>3174</v>
      </c>
      <c r="G179">
        <v>141</v>
      </c>
      <c r="H179" s="1">
        <v>137995</v>
      </c>
      <c r="I179" s="1">
        <v>53915</v>
      </c>
      <c r="J179" s="1">
        <v>23930</v>
      </c>
    </row>
    <row r="180" spans="1:10" x14ac:dyDescent="0.45">
      <c r="A180" s="4">
        <v>45565</v>
      </c>
      <c r="B180" t="s">
        <v>148</v>
      </c>
      <c r="C180">
        <v>43</v>
      </c>
      <c r="D180">
        <v>19</v>
      </c>
      <c r="E180" t="s">
        <v>3394</v>
      </c>
      <c r="F180" t="s">
        <v>3640</v>
      </c>
      <c r="G180">
        <v>141</v>
      </c>
      <c r="H180" s="1">
        <v>151219</v>
      </c>
      <c r="I180" s="1">
        <v>47923</v>
      </c>
      <c r="J180" s="1">
        <v>19288</v>
      </c>
    </row>
    <row r="181" spans="1:10" x14ac:dyDescent="0.45">
      <c r="A181" s="4">
        <v>45566</v>
      </c>
      <c r="B181" t="s">
        <v>148</v>
      </c>
      <c r="C181">
        <v>43</v>
      </c>
      <c r="D181">
        <v>19</v>
      </c>
      <c r="E181" t="s">
        <v>1565</v>
      </c>
      <c r="F181" t="s">
        <v>2050</v>
      </c>
      <c r="G181">
        <v>141</v>
      </c>
      <c r="H181" s="1">
        <v>184209</v>
      </c>
      <c r="I181" s="1">
        <v>59218</v>
      </c>
      <c r="J181" s="1">
        <v>25464</v>
      </c>
    </row>
    <row r="182" spans="1:10" x14ac:dyDescent="0.45">
      <c r="A182" s="4">
        <v>45567</v>
      </c>
      <c r="B182" t="s">
        <v>148</v>
      </c>
      <c r="C182">
        <v>43</v>
      </c>
      <c r="D182">
        <v>19</v>
      </c>
      <c r="E182" t="s">
        <v>2777</v>
      </c>
      <c r="F182" t="s">
        <v>2725</v>
      </c>
      <c r="G182">
        <v>141</v>
      </c>
      <c r="H182" s="1">
        <v>174150</v>
      </c>
      <c r="I182" s="1">
        <v>61392</v>
      </c>
      <c r="J182" s="1">
        <v>27297</v>
      </c>
    </row>
    <row r="183" spans="1:10" x14ac:dyDescent="0.45">
      <c r="A183" s="4">
        <v>45568</v>
      </c>
      <c r="B183" t="s">
        <v>148</v>
      </c>
      <c r="C183">
        <v>43</v>
      </c>
      <c r="D183">
        <v>19</v>
      </c>
      <c r="E183" t="s">
        <v>1509</v>
      </c>
      <c r="F183" t="s">
        <v>1999</v>
      </c>
      <c r="G183">
        <v>141</v>
      </c>
      <c r="H183" s="1">
        <v>204439</v>
      </c>
      <c r="I183" s="1">
        <v>65513</v>
      </c>
      <c r="J183" s="1">
        <v>22267</v>
      </c>
    </row>
    <row r="184" spans="1:10" x14ac:dyDescent="0.45">
      <c r="A184" s="4">
        <v>45569</v>
      </c>
      <c r="B184" t="s">
        <v>148</v>
      </c>
      <c r="C184">
        <v>43</v>
      </c>
      <c r="D184">
        <v>19</v>
      </c>
      <c r="E184" t="s">
        <v>1862</v>
      </c>
      <c r="F184" t="s">
        <v>1932</v>
      </c>
      <c r="G184">
        <v>141</v>
      </c>
      <c r="H184" s="1">
        <v>188267</v>
      </c>
      <c r="I184" s="1">
        <v>66420</v>
      </c>
      <c r="J184" s="1">
        <v>26653</v>
      </c>
    </row>
    <row r="185" spans="1:10" x14ac:dyDescent="0.45">
      <c r="A185" s="4">
        <v>45570</v>
      </c>
      <c r="B185" t="s">
        <v>148</v>
      </c>
      <c r="C185">
        <v>43</v>
      </c>
      <c r="D185">
        <v>19</v>
      </c>
      <c r="E185" t="s">
        <v>1444</v>
      </c>
      <c r="F185" t="s">
        <v>1867</v>
      </c>
      <c r="G185">
        <v>141</v>
      </c>
      <c r="H185" s="1">
        <v>199776</v>
      </c>
      <c r="I185" s="1">
        <v>72810</v>
      </c>
      <c r="J185" s="1">
        <v>23640</v>
      </c>
    </row>
    <row r="186" spans="1:10" x14ac:dyDescent="0.45">
      <c r="A186" s="4">
        <v>45571</v>
      </c>
      <c r="B186" t="s">
        <v>148</v>
      </c>
      <c r="C186">
        <v>43</v>
      </c>
      <c r="D186">
        <v>19</v>
      </c>
      <c r="E186" t="s">
        <v>411</v>
      </c>
      <c r="F186" t="s">
        <v>3675</v>
      </c>
      <c r="G186">
        <v>141</v>
      </c>
      <c r="H186" s="1">
        <v>201261</v>
      </c>
      <c r="I186" s="1">
        <v>73831</v>
      </c>
      <c r="J186" s="1">
        <v>23805</v>
      </c>
    </row>
    <row r="187" spans="1:10" x14ac:dyDescent="0.45">
      <c r="A187" s="4">
        <v>45572</v>
      </c>
      <c r="B187" t="s">
        <v>151</v>
      </c>
      <c r="C187" t="s">
        <v>1033</v>
      </c>
      <c r="D187" t="s">
        <v>1747</v>
      </c>
      <c r="E187" t="s">
        <v>1083</v>
      </c>
      <c r="F187" t="s">
        <v>3464</v>
      </c>
      <c r="G187" t="s">
        <v>2053</v>
      </c>
      <c r="H187" s="1">
        <v>202247</v>
      </c>
      <c r="I187" s="1">
        <v>73486</v>
      </c>
      <c r="J187" s="1">
        <v>24755</v>
      </c>
    </row>
    <row r="188" spans="1:10" x14ac:dyDescent="0.45">
      <c r="A188" s="4">
        <v>45573</v>
      </c>
      <c r="B188" t="s">
        <v>150</v>
      </c>
      <c r="C188" t="s">
        <v>1038</v>
      </c>
      <c r="D188" t="s">
        <v>730</v>
      </c>
      <c r="E188" t="s">
        <v>1858</v>
      </c>
      <c r="F188" t="s">
        <v>1660</v>
      </c>
      <c r="G188" t="s">
        <v>4212</v>
      </c>
      <c r="H188" s="1">
        <v>201897</v>
      </c>
      <c r="I188" s="1">
        <v>72278</v>
      </c>
      <c r="J188" s="1">
        <v>23890</v>
      </c>
    </row>
    <row r="189" spans="1:10" x14ac:dyDescent="0.45">
      <c r="A189" s="4">
        <v>45574</v>
      </c>
      <c r="B189" t="s">
        <v>137</v>
      </c>
      <c r="C189">
        <v>43</v>
      </c>
      <c r="D189">
        <v>10</v>
      </c>
      <c r="E189" t="s">
        <v>2740</v>
      </c>
      <c r="F189" t="s">
        <v>1736</v>
      </c>
      <c r="G189">
        <v>124</v>
      </c>
      <c r="H189" s="1">
        <v>189258</v>
      </c>
      <c r="I189" s="1">
        <v>62205</v>
      </c>
      <c r="J189" s="1">
        <v>28254</v>
      </c>
    </row>
    <row r="190" spans="1:10" x14ac:dyDescent="0.45">
      <c r="A190" s="4">
        <v>45575</v>
      </c>
      <c r="B190" t="s">
        <v>137</v>
      </c>
      <c r="C190">
        <v>43</v>
      </c>
      <c r="D190">
        <v>10</v>
      </c>
      <c r="E190">
        <v>15</v>
      </c>
      <c r="F190">
        <v>12</v>
      </c>
      <c r="G190">
        <v>124</v>
      </c>
      <c r="H190" s="1">
        <v>197763</v>
      </c>
      <c r="I190" s="1">
        <v>66756</v>
      </c>
      <c r="J190" s="1">
        <v>25910</v>
      </c>
    </row>
    <row r="191" spans="1:10" x14ac:dyDescent="0.45">
      <c r="A191" s="4">
        <v>45576</v>
      </c>
      <c r="B191" t="s">
        <v>137</v>
      </c>
      <c r="C191">
        <v>43</v>
      </c>
      <c r="D191">
        <v>10</v>
      </c>
      <c r="E191">
        <v>15</v>
      </c>
      <c r="F191">
        <v>12</v>
      </c>
      <c r="G191">
        <v>124</v>
      </c>
      <c r="H191" s="1">
        <v>179715</v>
      </c>
      <c r="I191" s="1">
        <v>65678</v>
      </c>
      <c r="J191" s="1">
        <v>28472</v>
      </c>
    </row>
    <row r="192" spans="1:10" x14ac:dyDescent="0.45">
      <c r="A192" s="4">
        <v>45577</v>
      </c>
      <c r="B192" t="s">
        <v>137</v>
      </c>
      <c r="C192">
        <v>43</v>
      </c>
      <c r="D192">
        <v>10</v>
      </c>
      <c r="E192">
        <v>15</v>
      </c>
      <c r="F192">
        <v>12</v>
      </c>
      <c r="G192">
        <v>124</v>
      </c>
      <c r="H192" s="1">
        <v>180906</v>
      </c>
      <c r="I192" s="1">
        <v>69662</v>
      </c>
      <c r="J192" s="1">
        <v>27042</v>
      </c>
    </row>
    <row r="193" spans="1:10" x14ac:dyDescent="0.45">
      <c r="A193" s="4">
        <v>45578</v>
      </c>
      <c r="B193" t="s">
        <v>137</v>
      </c>
      <c r="C193">
        <v>43</v>
      </c>
      <c r="D193">
        <v>10</v>
      </c>
      <c r="E193">
        <v>15</v>
      </c>
      <c r="F193">
        <v>12</v>
      </c>
      <c r="G193">
        <v>124</v>
      </c>
      <c r="H193" s="1">
        <v>177451</v>
      </c>
      <c r="I193" s="1">
        <v>67951</v>
      </c>
      <c r="J193" s="1">
        <v>28120</v>
      </c>
    </row>
    <row r="194" spans="1:10" x14ac:dyDescent="0.45">
      <c r="A194" s="4">
        <v>45579</v>
      </c>
      <c r="B194" t="s">
        <v>137</v>
      </c>
      <c r="C194">
        <v>43</v>
      </c>
      <c r="D194">
        <v>10</v>
      </c>
      <c r="E194">
        <v>15</v>
      </c>
      <c r="F194">
        <v>12</v>
      </c>
      <c r="G194">
        <v>124</v>
      </c>
      <c r="H194" s="1">
        <v>197974</v>
      </c>
      <c r="I194" s="1">
        <v>62946</v>
      </c>
      <c r="J194" s="1">
        <v>26419</v>
      </c>
    </row>
    <row r="195" spans="1:10" x14ac:dyDescent="0.45">
      <c r="A195" s="4">
        <v>45580</v>
      </c>
      <c r="B195" t="s">
        <v>148</v>
      </c>
      <c r="C195" t="s">
        <v>1042</v>
      </c>
      <c r="D195">
        <v>10</v>
      </c>
      <c r="E195">
        <v>15</v>
      </c>
      <c r="F195" t="s">
        <v>3087</v>
      </c>
      <c r="G195" t="s">
        <v>4408</v>
      </c>
      <c r="H195" s="1">
        <v>190297</v>
      </c>
      <c r="I195" s="1">
        <v>59585</v>
      </c>
      <c r="J195" s="1">
        <v>24821</v>
      </c>
    </row>
    <row r="196" spans="1:10" x14ac:dyDescent="0.45">
      <c r="A196" s="4">
        <v>45581</v>
      </c>
      <c r="B196" t="s">
        <v>149</v>
      </c>
      <c r="C196" t="s">
        <v>938</v>
      </c>
      <c r="D196">
        <v>10</v>
      </c>
      <c r="E196" t="s">
        <v>1379</v>
      </c>
      <c r="F196" t="s">
        <v>2699</v>
      </c>
      <c r="G196" t="s">
        <v>4413</v>
      </c>
      <c r="H196" s="1">
        <v>159992</v>
      </c>
      <c r="I196" s="1">
        <v>55890</v>
      </c>
      <c r="J196" s="1">
        <v>28893</v>
      </c>
    </row>
    <row r="197" spans="1:10" x14ac:dyDescent="0.45">
      <c r="A197" s="4">
        <v>45582</v>
      </c>
      <c r="B197" t="s">
        <v>145</v>
      </c>
      <c r="C197" t="s">
        <v>1044</v>
      </c>
      <c r="D197">
        <v>10</v>
      </c>
      <c r="E197" t="s">
        <v>451</v>
      </c>
      <c r="F197" t="s">
        <v>725</v>
      </c>
      <c r="G197" t="s">
        <v>4417</v>
      </c>
      <c r="H197" s="1">
        <v>172895</v>
      </c>
      <c r="I197" s="1">
        <v>59697</v>
      </c>
      <c r="J197" s="1">
        <v>28698</v>
      </c>
    </row>
    <row r="198" spans="1:10" x14ac:dyDescent="0.45">
      <c r="A198" s="4">
        <v>45583</v>
      </c>
      <c r="B198" t="s">
        <v>147</v>
      </c>
      <c r="C198" t="s">
        <v>1052</v>
      </c>
      <c r="D198">
        <v>10</v>
      </c>
      <c r="E198" t="s">
        <v>2383</v>
      </c>
      <c r="F198" t="s">
        <v>2381</v>
      </c>
      <c r="G198" t="s">
        <v>4421</v>
      </c>
      <c r="H198" s="1">
        <v>174952</v>
      </c>
      <c r="I198" s="1">
        <v>62092</v>
      </c>
      <c r="J198" s="1">
        <v>28360</v>
      </c>
    </row>
    <row r="199" spans="1:10" x14ac:dyDescent="0.45">
      <c r="A199" s="4">
        <v>45584</v>
      </c>
      <c r="B199" t="s">
        <v>170</v>
      </c>
      <c r="C199" t="s">
        <v>1054</v>
      </c>
      <c r="D199">
        <v>10</v>
      </c>
      <c r="E199" t="s">
        <v>1209</v>
      </c>
      <c r="F199" t="s">
        <v>1589</v>
      </c>
      <c r="G199" t="s">
        <v>4425</v>
      </c>
      <c r="H199" s="1">
        <v>190629</v>
      </c>
      <c r="I199" s="1">
        <v>69901</v>
      </c>
      <c r="J199" s="1">
        <v>24736</v>
      </c>
    </row>
    <row r="200" spans="1:10" x14ac:dyDescent="0.45">
      <c r="A200" s="4">
        <v>45585</v>
      </c>
      <c r="B200" t="s">
        <v>115</v>
      </c>
      <c r="C200" t="s">
        <v>1056</v>
      </c>
      <c r="D200">
        <v>10</v>
      </c>
      <c r="E200" t="s">
        <v>1197</v>
      </c>
      <c r="F200" t="s">
        <v>1411</v>
      </c>
      <c r="G200" t="s">
        <v>4430</v>
      </c>
      <c r="H200" s="1">
        <v>164179</v>
      </c>
      <c r="I200" s="1">
        <v>68616</v>
      </c>
      <c r="J200" s="1">
        <v>20934</v>
      </c>
    </row>
    <row r="201" spans="1:10" x14ac:dyDescent="0.45">
      <c r="A201" s="4">
        <v>45586</v>
      </c>
      <c r="B201" t="s">
        <v>115</v>
      </c>
      <c r="C201" t="s">
        <v>1058</v>
      </c>
      <c r="D201">
        <v>10</v>
      </c>
      <c r="E201" t="s">
        <v>1975</v>
      </c>
      <c r="F201" t="s">
        <v>606</v>
      </c>
      <c r="G201" t="s">
        <v>4435</v>
      </c>
      <c r="H201" s="1">
        <v>174500</v>
      </c>
      <c r="I201" s="1">
        <v>61259</v>
      </c>
      <c r="J201" s="1">
        <v>26516</v>
      </c>
    </row>
    <row r="202" spans="1:10" x14ac:dyDescent="0.45">
      <c r="A202" s="4">
        <v>45587</v>
      </c>
      <c r="B202" t="s">
        <v>170</v>
      </c>
      <c r="C202" t="s">
        <v>1048</v>
      </c>
      <c r="D202">
        <v>10</v>
      </c>
      <c r="E202" t="s">
        <v>1088</v>
      </c>
      <c r="F202" t="s">
        <v>1084</v>
      </c>
      <c r="G202" t="s">
        <v>4441</v>
      </c>
      <c r="H202" s="1">
        <v>189355</v>
      </c>
      <c r="I202" s="1">
        <v>63959</v>
      </c>
      <c r="J202" s="1">
        <v>26422</v>
      </c>
    </row>
    <row r="203" spans="1:10" x14ac:dyDescent="0.45">
      <c r="A203" s="4">
        <v>45588</v>
      </c>
      <c r="B203" t="s">
        <v>104</v>
      </c>
      <c r="C203" t="s">
        <v>1050</v>
      </c>
      <c r="D203">
        <v>10</v>
      </c>
      <c r="E203" t="s">
        <v>365</v>
      </c>
      <c r="F203" t="s">
        <v>1852</v>
      </c>
      <c r="G203" t="s">
        <v>4446</v>
      </c>
      <c r="H203" s="1">
        <v>194796</v>
      </c>
      <c r="I203" s="1">
        <v>66079</v>
      </c>
      <c r="J203" s="1">
        <v>26582</v>
      </c>
    </row>
    <row r="204" spans="1:10" x14ac:dyDescent="0.45">
      <c r="A204" s="4">
        <v>45589</v>
      </c>
      <c r="B204" t="s">
        <v>21</v>
      </c>
      <c r="C204" t="s">
        <v>1065</v>
      </c>
      <c r="D204" t="s">
        <v>1789</v>
      </c>
      <c r="E204" t="s">
        <v>3400</v>
      </c>
      <c r="F204" t="s">
        <v>1717</v>
      </c>
      <c r="G204" t="s">
        <v>4450</v>
      </c>
      <c r="H204" s="1">
        <v>174957</v>
      </c>
      <c r="I204" s="1">
        <v>60414</v>
      </c>
      <c r="J204" s="1">
        <v>29008</v>
      </c>
    </row>
    <row r="205" spans="1:10" x14ac:dyDescent="0.45">
      <c r="A205" s="4">
        <v>45590</v>
      </c>
      <c r="B205">
        <v>1</v>
      </c>
      <c r="C205" t="s">
        <v>1069</v>
      </c>
      <c r="D205" t="s">
        <v>2693</v>
      </c>
      <c r="E205" t="s">
        <v>1361</v>
      </c>
      <c r="F205" t="s">
        <v>1786</v>
      </c>
      <c r="G205" t="s">
        <v>4453</v>
      </c>
      <c r="H205" s="1">
        <v>182808</v>
      </c>
      <c r="I205" s="1">
        <v>61614</v>
      </c>
      <c r="J205" s="1">
        <v>27936</v>
      </c>
    </row>
    <row r="206" spans="1:10" x14ac:dyDescent="0.45">
      <c r="A206" s="4">
        <v>45591</v>
      </c>
      <c r="B206">
        <v>1</v>
      </c>
      <c r="C206" t="s">
        <v>1075</v>
      </c>
      <c r="D206" t="s">
        <v>348</v>
      </c>
      <c r="E206" t="s">
        <v>1941</v>
      </c>
      <c r="F206" t="s">
        <v>1313</v>
      </c>
      <c r="G206" t="s">
        <v>4457</v>
      </c>
      <c r="H206" s="1">
        <v>182391</v>
      </c>
      <c r="I206" s="1">
        <v>66652</v>
      </c>
      <c r="J206" s="1">
        <v>29742</v>
      </c>
    </row>
    <row r="207" spans="1:10" x14ac:dyDescent="0.45">
      <c r="A207" s="4">
        <v>45592</v>
      </c>
      <c r="B207" t="s">
        <v>167</v>
      </c>
      <c r="C207" t="s">
        <v>1080</v>
      </c>
      <c r="D207" t="s">
        <v>1811</v>
      </c>
      <c r="E207" t="s">
        <v>2776</v>
      </c>
      <c r="F207" t="s">
        <v>1957</v>
      </c>
      <c r="G207" t="s">
        <v>4462</v>
      </c>
      <c r="H207" s="1">
        <v>147174</v>
      </c>
      <c r="I207" s="1">
        <v>58115</v>
      </c>
      <c r="J207" s="1">
        <v>24318</v>
      </c>
    </row>
    <row r="208" spans="1:10" x14ac:dyDescent="0.45">
      <c r="A208" s="4">
        <v>45593</v>
      </c>
      <c r="B208" t="s">
        <v>104</v>
      </c>
      <c r="C208" t="s">
        <v>1085</v>
      </c>
      <c r="D208">
        <v>12</v>
      </c>
      <c r="E208" t="s">
        <v>1077</v>
      </c>
      <c r="F208" t="s">
        <v>1977</v>
      </c>
      <c r="G208" t="s">
        <v>4467</v>
      </c>
      <c r="H208" s="1">
        <v>195003</v>
      </c>
      <c r="I208" s="1">
        <v>64738</v>
      </c>
      <c r="J208" s="1">
        <v>28399</v>
      </c>
    </row>
    <row r="209" spans="1:10" x14ac:dyDescent="0.45">
      <c r="A209" s="4">
        <v>45594</v>
      </c>
      <c r="B209">
        <v>1</v>
      </c>
      <c r="C209" t="s">
        <v>1090</v>
      </c>
      <c r="D209" t="s">
        <v>1788</v>
      </c>
      <c r="E209" t="s">
        <v>2729</v>
      </c>
      <c r="F209" t="s">
        <v>1316</v>
      </c>
      <c r="G209" t="s">
        <v>4470</v>
      </c>
      <c r="H209" s="1">
        <v>185527</v>
      </c>
      <c r="I209" s="1">
        <v>60649</v>
      </c>
      <c r="J209" s="1">
        <v>28111</v>
      </c>
    </row>
    <row r="210" spans="1:10" x14ac:dyDescent="0.45">
      <c r="A210" s="4">
        <v>45595</v>
      </c>
      <c r="B210">
        <v>1</v>
      </c>
      <c r="C210">
        <v>16</v>
      </c>
      <c r="D210" t="s">
        <v>1785</v>
      </c>
      <c r="E210" t="s">
        <v>2745</v>
      </c>
      <c r="F210" t="s">
        <v>2776</v>
      </c>
      <c r="G210" t="s">
        <v>4475</v>
      </c>
      <c r="H210" s="1">
        <v>156363</v>
      </c>
      <c r="I210" s="1">
        <v>57990</v>
      </c>
      <c r="J210" s="1">
        <v>27866</v>
      </c>
    </row>
    <row r="211" spans="1:10" x14ac:dyDescent="0.45">
      <c r="A211" s="4">
        <v>45596</v>
      </c>
      <c r="B211" t="s">
        <v>111</v>
      </c>
      <c r="C211" t="s">
        <v>1092</v>
      </c>
      <c r="D211" t="s">
        <v>1750</v>
      </c>
      <c r="E211" t="s">
        <v>934</v>
      </c>
      <c r="F211" t="s">
        <v>1180</v>
      </c>
      <c r="G211" t="s">
        <v>4480</v>
      </c>
      <c r="H211" s="1">
        <v>188677</v>
      </c>
      <c r="I211" s="1">
        <v>49986</v>
      </c>
      <c r="J211" s="1">
        <v>24384</v>
      </c>
    </row>
    <row r="212" spans="1:10" x14ac:dyDescent="0.45">
      <c r="A212" s="4">
        <v>45597</v>
      </c>
      <c r="B212" t="s">
        <v>147</v>
      </c>
      <c r="C212" t="s">
        <v>1101</v>
      </c>
      <c r="D212" t="s">
        <v>1329</v>
      </c>
      <c r="E212" t="s">
        <v>3405</v>
      </c>
      <c r="F212" t="s">
        <v>1739</v>
      </c>
      <c r="G212" t="s">
        <v>4484</v>
      </c>
      <c r="H212" s="1">
        <v>200474</v>
      </c>
      <c r="I212" s="1">
        <v>69098</v>
      </c>
      <c r="J212" s="1">
        <v>24116</v>
      </c>
    </row>
    <row r="213" spans="1:10" x14ac:dyDescent="0.45">
      <c r="A213" s="4">
        <v>45598</v>
      </c>
      <c r="B213" t="s">
        <v>161</v>
      </c>
      <c r="C213" t="s">
        <v>1102</v>
      </c>
      <c r="D213" t="s">
        <v>1363</v>
      </c>
      <c r="E213" t="s">
        <v>3408</v>
      </c>
      <c r="F213" t="s">
        <v>3663</v>
      </c>
      <c r="G213" t="s">
        <v>4489</v>
      </c>
      <c r="H213" s="1">
        <v>175500</v>
      </c>
      <c r="I213" s="1">
        <v>70258</v>
      </c>
      <c r="J213" s="1">
        <v>26868</v>
      </c>
    </row>
    <row r="214" spans="1:10" x14ac:dyDescent="0.45">
      <c r="A214" s="4">
        <v>45599</v>
      </c>
      <c r="B214" t="s">
        <v>149</v>
      </c>
      <c r="C214" t="s">
        <v>1105</v>
      </c>
      <c r="D214" t="s">
        <v>1752</v>
      </c>
      <c r="E214" t="s">
        <v>1590</v>
      </c>
      <c r="F214" t="s">
        <v>3825</v>
      </c>
      <c r="G214" t="s">
        <v>2106</v>
      </c>
      <c r="H214" s="1">
        <v>134161</v>
      </c>
      <c r="I214" s="1">
        <v>61417</v>
      </c>
      <c r="J214" s="1">
        <v>18807</v>
      </c>
    </row>
    <row r="215" spans="1:10" x14ac:dyDescent="0.45">
      <c r="A215" s="4">
        <v>45600</v>
      </c>
      <c r="B215" t="s">
        <v>161</v>
      </c>
      <c r="C215">
        <v>16</v>
      </c>
      <c r="D215">
        <v>12</v>
      </c>
      <c r="E215" t="s">
        <v>3411</v>
      </c>
      <c r="F215" t="s">
        <v>1623</v>
      </c>
      <c r="G215" t="s">
        <v>4496</v>
      </c>
      <c r="H215" s="1">
        <v>182984</v>
      </c>
      <c r="I215" s="1">
        <v>64099</v>
      </c>
      <c r="J215" s="1">
        <v>23231</v>
      </c>
    </row>
    <row r="216" spans="1:10" x14ac:dyDescent="0.45">
      <c r="A216" s="4">
        <v>45601</v>
      </c>
      <c r="B216" t="s">
        <v>137</v>
      </c>
      <c r="C216" t="s">
        <v>1091</v>
      </c>
      <c r="D216" t="s">
        <v>1792</v>
      </c>
      <c r="E216" t="s">
        <v>2596</v>
      </c>
      <c r="F216" t="s">
        <v>3467</v>
      </c>
      <c r="G216" t="s">
        <v>4499</v>
      </c>
      <c r="H216" s="1">
        <v>174657</v>
      </c>
      <c r="I216" s="1">
        <v>60349</v>
      </c>
      <c r="J216" s="1">
        <v>26686</v>
      </c>
    </row>
    <row r="217" spans="1:10" x14ac:dyDescent="0.45">
      <c r="A217" s="4">
        <v>45602</v>
      </c>
      <c r="B217" t="s">
        <v>140</v>
      </c>
      <c r="C217" t="s">
        <v>1117</v>
      </c>
      <c r="D217" t="s">
        <v>1383</v>
      </c>
      <c r="E217" t="s">
        <v>638</v>
      </c>
      <c r="F217" t="s">
        <v>2975</v>
      </c>
      <c r="G217" t="s">
        <v>4503</v>
      </c>
      <c r="H217" s="1">
        <v>196361</v>
      </c>
      <c r="I217" s="1">
        <v>61373</v>
      </c>
      <c r="J217" s="1">
        <v>24245</v>
      </c>
    </row>
    <row r="218" spans="1:10" x14ac:dyDescent="0.45">
      <c r="A218" s="4">
        <v>45603</v>
      </c>
      <c r="B218" t="s">
        <v>142</v>
      </c>
      <c r="C218" t="s">
        <v>1122</v>
      </c>
      <c r="D218" t="s">
        <v>1788</v>
      </c>
      <c r="E218" t="s">
        <v>3414</v>
      </c>
      <c r="F218" t="s">
        <v>3827</v>
      </c>
      <c r="G218" t="s">
        <v>381</v>
      </c>
      <c r="H218" s="1">
        <v>188367</v>
      </c>
      <c r="I218" s="1">
        <v>63463</v>
      </c>
      <c r="J218" s="1">
        <v>27783</v>
      </c>
    </row>
    <row r="219" spans="1:10" x14ac:dyDescent="0.45">
      <c r="A219" s="4">
        <v>45604</v>
      </c>
      <c r="B219" t="s">
        <v>107</v>
      </c>
      <c r="C219" t="s">
        <v>1125</v>
      </c>
      <c r="D219" t="s">
        <v>1430</v>
      </c>
      <c r="E219" t="s">
        <v>3310</v>
      </c>
      <c r="F219" t="s">
        <v>836</v>
      </c>
      <c r="G219" t="s">
        <v>2108</v>
      </c>
      <c r="H219" s="1">
        <v>199534</v>
      </c>
      <c r="I219" s="1">
        <v>68749</v>
      </c>
      <c r="J219" s="1">
        <v>26711</v>
      </c>
    </row>
    <row r="220" spans="1:10" x14ac:dyDescent="0.45">
      <c r="A220" s="4">
        <v>45605</v>
      </c>
      <c r="B220" t="s">
        <v>201</v>
      </c>
      <c r="C220" t="s">
        <v>1128</v>
      </c>
      <c r="D220" t="s">
        <v>1823</v>
      </c>
      <c r="E220" t="s">
        <v>3344</v>
      </c>
      <c r="F220" t="s">
        <v>3243</v>
      </c>
      <c r="G220" t="s">
        <v>4067</v>
      </c>
      <c r="H220" s="1">
        <v>171386</v>
      </c>
      <c r="I220" s="1">
        <v>67579</v>
      </c>
      <c r="J220" s="1">
        <v>29261</v>
      </c>
    </row>
    <row r="221" spans="1:10" x14ac:dyDescent="0.45">
      <c r="A221" s="4">
        <v>45606</v>
      </c>
      <c r="B221" t="s">
        <v>101</v>
      </c>
      <c r="C221" t="s">
        <v>1132</v>
      </c>
      <c r="D221" t="s">
        <v>1895</v>
      </c>
      <c r="E221" t="s">
        <v>3348</v>
      </c>
      <c r="F221" t="s">
        <v>1127</v>
      </c>
      <c r="G221" t="s">
        <v>4515</v>
      </c>
      <c r="H221" s="1">
        <v>162717</v>
      </c>
      <c r="I221" s="1">
        <v>68240</v>
      </c>
      <c r="J221" s="1">
        <v>21181</v>
      </c>
    </row>
    <row r="222" spans="1:10" x14ac:dyDescent="0.45">
      <c r="A222" s="4">
        <v>45607</v>
      </c>
      <c r="B222" t="s">
        <v>96</v>
      </c>
      <c r="C222" t="s">
        <v>1084</v>
      </c>
      <c r="D222" t="s">
        <v>1853</v>
      </c>
      <c r="E222" t="s">
        <v>1555</v>
      </c>
      <c r="F222" t="s">
        <v>1978</v>
      </c>
      <c r="G222" t="s">
        <v>4220</v>
      </c>
      <c r="H222" s="1">
        <v>179018</v>
      </c>
      <c r="I222" s="1">
        <v>64767</v>
      </c>
      <c r="J222" s="1">
        <v>18100</v>
      </c>
    </row>
    <row r="223" spans="1:10" x14ac:dyDescent="0.45">
      <c r="A223" s="4">
        <v>45608</v>
      </c>
      <c r="B223" t="s">
        <v>44</v>
      </c>
      <c r="C223" t="s">
        <v>1140</v>
      </c>
      <c r="D223" t="s">
        <v>2706</v>
      </c>
      <c r="E223" t="s">
        <v>2865</v>
      </c>
      <c r="F223" t="s">
        <v>3545</v>
      </c>
      <c r="G223" t="s">
        <v>4520</v>
      </c>
      <c r="H223" s="1">
        <v>199982</v>
      </c>
      <c r="I223" s="1">
        <v>62470</v>
      </c>
      <c r="J223" s="1">
        <v>21378</v>
      </c>
    </row>
    <row r="224" spans="1:10" x14ac:dyDescent="0.45">
      <c r="A224" s="4">
        <v>45609</v>
      </c>
      <c r="B224" t="s">
        <v>143</v>
      </c>
      <c r="C224" t="s">
        <v>1145</v>
      </c>
      <c r="D224" t="s">
        <v>2688</v>
      </c>
      <c r="E224" t="s">
        <v>3419</v>
      </c>
      <c r="F224" t="s">
        <v>3835</v>
      </c>
      <c r="G224" t="s">
        <v>4525</v>
      </c>
      <c r="H224" s="1">
        <v>202363</v>
      </c>
      <c r="I224" s="1">
        <v>66022</v>
      </c>
      <c r="J224" s="1">
        <v>23837</v>
      </c>
    </row>
    <row r="225" spans="1:10" x14ac:dyDescent="0.45">
      <c r="A225" s="4">
        <v>45610</v>
      </c>
      <c r="B225" t="s">
        <v>162</v>
      </c>
      <c r="C225" t="s">
        <v>1150</v>
      </c>
      <c r="D225" t="s">
        <v>1307</v>
      </c>
      <c r="E225" t="s">
        <v>3424</v>
      </c>
      <c r="F225" t="s">
        <v>3840</v>
      </c>
      <c r="G225" t="s">
        <v>4529</v>
      </c>
      <c r="H225" s="1">
        <v>199290</v>
      </c>
      <c r="I225" s="1">
        <v>66394</v>
      </c>
      <c r="J225" s="1">
        <v>24602</v>
      </c>
    </row>
    <row r="226" spans="1:10" x14ac:dyDescent="0.45">
      <c r="A226" s="4">
        <v>45611</v>
      </c>
      <c r="B226" t="s">
        <v>136</v>
      </c>
      <c r="C226" t="s">
        <v>1155</v>
      </c>
      <c r="D226" t="s">
        <v>2391</v>
      </c>
      <c r="E226" t="s">
        <v>3429</v>
      </c>
      <c r="F226" t="s">
        <v>3843</v>
      </c>
      <c r="G226" t="s">
        <v>4534</v>
      </c>
      <c r="H226" s="1">
        <v>202590</v>
      </c>
      <c r="I226" s="1">
        <v>64980</v>
      </c>
      <c r="J226" s="1">
        <v>21941</v>
      </c>
    </row>
    <row r="227" spans="1:10" x14ac:dyDescent="0.45">
      <c r="A227" s="4">
        <v>45612</v>
      </c>
      <c r="B227" t="s">
        <v>154</v>
      </c>
      <c r="C227" t="s">
        <v>1159</v>
      </c>
      <c r="D227" t="s">
        <v>2693</v>
      </c>
      <c r="E227" t="s">
        <v>3434</v>
      </c>
      <c r="F227" t="s">
        <v>3847</v>
      </c>
      <c r="G227" t="s">
        <v>4538</v>
      </c>
      <c r="H227" s="1">
        <v>192363</v>
      </c>
      <c r="I227" s="1">
        <v>69145</v>
      </c>
      <c r="J227" s="1">
        <v>19929</v>
      </c>
    </row>
    <row r="228" spans="1:10" x14ac:dyDescent="0.45">
      <c r="A228" s="4">
        <v>45613</v>
      </c>
      <c r="B228" t="s">
        <v>114</v>
      </c>
      <c r="C228" t="s">
        <v>1084</v>
      </c>
      <c r="D228" t="s">
        <v>2709</v>
      </c>
      <c r="E228" t="s">
        <v>3437</v>
      </c>
      <c r="F228" t="s">
        <v>3852</v>
      </c>
      <c r="G228" t="s">
        <v>311</v>
      </c>
      <c r="H228" s="1">
        <v>158670</v>
      </c>
      <c r="I228" s="1">
        <v>61707</v>
      </c>
      <c r="J228" s="1">
        <v>22558</v>
      </c>
    </row>
    <row r="229" spans="1:10" x14ac:dyDescent="0.45">
      <c r="A229" s="4">
        <v>45614</v>
      </c>
      <c r="B229" t="s">
        <v>170</v>
      </c>
      <c r="C229" t="s">
        <v>1166</v>
      </c>
      <c r="D229" t="s">
        <v>1836</v>
      </c>
      <c r="E229" t="s">
        <v>471</v>
      </c>
      <c r="F229" t="s">
        <v>851</v>
      </c>
      <c r="G229" t="s">
        <v>4021</v>
      </c>
      <c r="H229" s="1">
        <v>190626</v>
      </c>
      <c r="I229" s="1">
        <v>63613</v>
      </c>
      <c r="J229" s="1">
        <v>22097</v>
      </c>
    </row>
    <row r="230" spans="1:10" x14ac:dyDescent="0.45">
      <c r="A230" s="4">
        <v>45615</v>
      </c>
      <c r="B230" t="s">
        <v>132</v>
      </c>
      <c r="C230" t="s">
        <v>1086</v>
      </c>
      <c r="D230" t="s">
        <v>2713</v>
      </c>
      <c r="E230" t="s">
        <v>1315</v>
      </c>
      <c r="F230" t="s">
        <v>3224</v>
      </c>
      <c r="G230" t="s">
        <v>4544</v>
      </c>
      <c r="H230" s="1">
        <v>179098</v>
      </c>
      <c r="I230" s="1">
        <v>61138</v>
      </c>
      <c r="J230" s="1">
        <v>19421</v>
      </c>
    </row>
    <row r="231" spans="1:10" x14ac:dyDescent="0.45">
      <c r="A231" s="4">
        <v>45616</v>
      </c>
      <c r="B231" t="s">
        <v>130</v>
      </c>
      <c r="C231" t="s">
        <v>1174</v>
      </c>
      <c r="D231" t="s">
        <v>1878</v>
      </c>
      <c r="E231" t="s">
        <v>1186</v>
      </c>
      <c r="F231" t="s">
        <v>1140</v>
      </c>
      <c r="G231" t="s">
        <v>4547</v>
      </c>
      <c r="H231" s="1">
        <v>164193</v>
      </c>
      <c r="I231" s="1">
        <v>62100</v>
      </c>
      <c r="J231" s="1">
        <v>23433</v>
      </c>
    </row>
    <row r="232" spans="1:10" x14ac:dyDescent="0.45">
      <c r="A232" s="4">
        <v>45617</v>
      </c>
      <c r="B232" t="s">
        <v>147</v>
      </c>
      <c r="C232" t="s">
        <v>1177</v>
      </c>
      <c r="D232" t="s">
        <v>2713</v>
      </c>
      <c r="E232" t="s">
        <v>1174</v>
      </c>
      <c r="F232">
        <v>16</v>
      </c>
      <c r="G232" t="s">
        <v>2099</v>
      </c>
      <c r="H232" s="1">
        <v>182748</v>
      </c>
      <c r="I232" s="1">
        <v>63139</v>
      </c>
      <c r="J232" s="1">
        <v>21984</v>
      </c>
    </row>
    <row r="233" spans="1:10" x14ac:dyDescent="0.45">
      <c r="A233" s="4">
        <v>45618</v>
      </c>
      <c r="B233" t="s">
        <v>163</v>
      </c>
      <c r="C233" t="s">
        <v>1182</v>
      </c>
      <c r="D233" t="s">
        <v>2717</v>
      </c>
      <c r="E233" t="s">
        <v>915</v>
      </c>
      <c r="F233" t="s">
        <v>1995</v>
      </c>
      <c r="G233" t="s">
        <v>303</v>
      </c>
      <c r="H233" s="1">
        <v>187697</v>
      </c>
      <c r="I233" s="1">
        <v>64545</v>
      </c>
      <c r="J233" s="1">
        <v>18199</v>
      </c>
    </row>
    <row r="234" spans="1:10" x14ac:dyDescent="0.45">
      <c r="A234" s="4">
        <v>45619</v>
      </c>
      <c r="B234" t="s">
        <v>161</v>
      </c>
      <c r="C234" t="s">
        <v>1187</v>
      </c>
      <c r="D234" t="s">
        <v>1290</v>
      </c>
      <c r="E234" t="s">
        <v>3148</v>
      </c>
      <c r="F234" t="s">
        <v>3153</v>
      </c>
      <c r="G234" t="s">
        <v>4555</v>
      </c>
      <c r="H234" s="1">
        <v>177885</v>
      </c>
      <c r="I234" s="1">
        <v>65364</v>
      </c>
      <c r="J234" s="1">
        <v>18548</v>
      </c>
    </row>
    <row r="235" spans="1:10" x14ac:dyDescent="0.45">
      <c r="A235" s="4">
        <v>45620</v>
      </c>
      <c r="B235" t="s">
        <v>115</v>
      </c>
      <c r="C235" t="s">
        <v>1191</v>
      </c>
      <c r="D235" t="s">
        <v>2713</v>
      </c>
      <c r="E235" t="s">
        <v>3442</v>
      </c>
      <c r="F235" t="s">
        <v>2831</v>
      </c>
      <c r="G235" t="s">
        <v>390</v>
      </c>
      <c r="H235" s="1">
        <v>147538</v>
      </c>
      <c r="I235" s="1">
        <v>53283</v>
      </c>
      <c r="J235" s="1">
        <v>13639</v>
      </c>
    </row>
    <row r="236" spans="1:10" x14ac:dyDescent="0.45">
      <c r="A236" s="4">
        <v>45621</v>
      </c>
      <c r="B236" t="s">
        <v>156</v>
      </c>
      <c r="C236" t="s">
        <v>1195</v>
      </c>
      <c r="D236" t="s">
        <v>1496</v>
      </c>
      <c r="E236" t="s">
        <v>497</v>
      </c>
      <c r="F236" t="s">
        <v>2970</v>
      </c>
      <c r="G236" t="s">
        <v>4466</v>
      </c>
      <c r="H236" s="1">
        <v>206568</v>
      </c>
      <c r="I236" s="1">
        <v>67684</v>
      </c>
      <c r="J236" s="1">
        <v>21743</v>
      </c>
    </row>
    <row r="237" spans="1:10" x14ac:dyDescent="0.45">
      <c r="A237" s="4">
        <v>45622</v>
      </c>
      <c r="B237" t="s">
        <v>152</v>
      </c>
      <c r="C237" t="s">
        <v>1199</v>
      </c>
      <c r="D237" t="s">
        <v>1577</v>
      </c>
      <c r="E237" t="s">
        <v>922</v>
      </c>
      <c r="F237" t="s">
        <v>3169</v>
      </c>
      <c r="G237" t="s">
        <v>4566</v>
      </c>
      <c r="H237" s="1">
        <v>203869</v>
      </c>
      <c r="I237" s="1">
        <v>64849</v>
      </c>
      <c r="J237" s="1">
        <v>22343</v>
      </c>
    </row>
    <row r="238" spans="1:10" x14ac:dyDescent="0.45">
      <c r="A238" s="4">
        <v>45623</v>
      </c>
      <c r="B238" t="s">
        <v>151</v>
      </c>
      <c r="C238" t="s">
        <v>1204</v>
      </c>
      <c r="D238" t="s">
        <v>2723</v>
      </c>
      <c r="E238" t="s">
        <v>741</v>
      </c>
      <c r="F238" t="s">
        <v>739</v>
      </c>
      <c r="G238" t="s">
        <v>2913</v>
      </c>
      <c r="H238" s="1">
        <v>149278</v>
      </c>
      <c r="I238" s="1">
        <v>50288</v>
      </c>
      <c r="J238" s="1">
        <v>17280</v>
      </c>
    </row>
    <row r="239" spans="1:10" x14ac:dyDescent="0.45">
      <c r="A239" s="4">
        <v>45624</v>
      </c>
      <c r="B239" t="s">
        <v>150</v>
      </c>
      <c r="C239" t="s">
        <v>1207</v>
      </c>
      <c r="D239" t="s">
        <v>2725</v>
      </c>
      <c r="E239" t="s">
        <v>3444</v>
      </c>
      <c r="F239" t="s">
        <v>3859</v>
      </c>
      <c r="G239" t="s">
        <v>4572</v>
      </c>
      <c r="H239" s="1">
        <v>160049</v>
      </c>
      <c r="I239" s="1">
        <v>49630</v>
      </c>
      <c r="J239" s="1">
        <v>16325</v>
      </c>
    </row>
    <row r="240" spans="1:10" x14ac:dyDescent="0.45">
      <c r="A240" s="4">
        <v>45625</v>
      </c>
      <c r="B240" t="s">
        <v>150</v>
      </c>
      <c r="C240" t="s">
        <v>1211</v>
      </c>
      <c r="D240" t="s">
        <v>2726</v>
      </c>
      <c r="E240" t="s">
        <v>1809</v>
      </c>
      <c r="F240" t="s">
        <v>1916</v>
      </c>
      <c r="G240" t="s">
        <v>4576</v>
      </c>
      <c r="H240" s="1">
        <v>195374</v>
      </c>
      <c r="I240" s="1">
        <v>68086</v>
      </c>
      <c r="J240" s="1">
        <v>21841</v>
      </c>
    </row>
    <row r="241" spans="1:10" x14ac:dyDescent="0.45">
      <c r="A241" s="4">
        <v>45626</v>
      </c>
      <c r="B241" t="s">
        <v>140</v>
      </c>
      <c r="C241" t="s">
        <v>1214</v>
      </c>
      <c r="D241" t="s">
        <v>2728</v>
      </c>
      <c r="E241" t="s">
        <v>3446</v>
      </c>
      <c r="F241" t="s">
        <v>3861</v>
      </c>
      <c r="G241" t="s">
        <v>1024</v>
      </c>
      <c r="H241" s="1">
        <v>163210</v>
      </c>
      <c r="I241" s="1">
        <v>58896</v>
      </c>
      <c r="J241" s="1">
        <v>19182</v>
      </c>
    </row>
    <row r="242" spans="1:10" x14ac:dyDescent="0.45">
      <c r="A242" s="4">
        <v>45627</v>
      </c>
      <c r="B242" t="s">
        <v>137</v>
      </c>
      <c r="C242" t="s">
        <v>1200</v>
      </c>
      <c r="D242" t="s">
        <v>1804</v>
      </c>
      <c r="E242" t="s">
        <v>3448</v>
      </c>
      <c r="F242" t="s">
        <v>2080</v>
      </c>
      <c r="G242" t="s">
        <v>4581</v>
      </c>
      <c r="H242" s="1">
        <v>157093</v>
      </c>
      <c r="I242" s="1">
        <v>60696</v>
      </c>
      <c r="J242" s="1">
        <v>18362</v>
      </c>
    </row>
    <row r="243" spans="1:10" x14ac:dyDescent="0.45">
      <c r="A243" s="4">
        <v>45628</v>
      </c>
      <c r="B243" t="s">
        <v>149</v>
      </c>
      <c r="C243" t="s">
        <v>1198</v>
      </c>
      <c r="D243" t="s">
        <v>1190</v>
      </c>
      <c r="E243" t="s">
        <v>2069</v>
      </c>
      <c r="F243" t="s">
        <v>1969</v>
      </c>
      <c r="G243" t="s">
        <v>4585</v>
      </c>
      <c r="H243" s="1">
        <v>182755</v>
      </c>
      <c r="I243" s="1">
        <v>68345</v>
      </c>
      <c r="J243" s="1">
        <v>25564</v>
      </c>
    </row>
    <row r="244" spans="1:10" x14ac:dyDescent="0.45">
      <c r="A244" s="4">
        <v>45629</v>
      </c>
      <c r="B244" t="s">
        <v>137</v>
      </c>
      <c r="C244" t="s">
        <v>1223</v>
      </c>
      <c r="D244" t="s">
        <v>2734</v>
      </c>
      <c r="E244" t="s">
        <v>3451</v>
      </c>
      <c r="F244" t="s">
        <v>3128</v>
      </c>
      <c r="G244" t="s">
        <v>2054</v>
      </c>
      <c r="H244" s="1">
        <v>181475</v>
      </c>
      <c r="I244" s="1">
        <v>65835</v>
      </c>
      <c r="J244" s="1">
        <v>26729</v>
      </c>
    </row>
    <row r="245" spans="1:10" x14ac:dyDescent="0.45">
      <c r="A245" s="4">
        <v>45630</v>
      </c>
      <c r="B245" t="s">
        <v>147</v>
      </c>
      <c r="C245" t="s">
        <v>1216</v>
      </c>
      <c r="D245" t="s">
        <v>1643</v>
      </c>
      <c r="E245" t="s">
        <v>1306</v>
      </c>
      <c r="F245" t="s">
        <v>1322</v>
      </c>
      <c r="G245" t="s">
        <v>4592</v>
      </c>
      <c r="H245" s="1">
        <v>196828</v>
      </c>
      <c r="I245" s="1">
        <v>67415</v>
      </c>
      <c r="J245" s="1">
        <v>22258</v>
      </c>
    </row>
    <row r="246" spans="1:10" x14ac:dyDescent="0.45">
      <c r="A246" s="4">
        <v>45631</v>
      </c>
      <c r="B246" t="s">
        <v>115</v>
      </c>
      <c r="C246" t="s">
        <v>1227</v>
      </c>
      <c r="D246" t="s">
        <v>1073</v>
      </c>
      <c r="E246" t="s">
        <v>3453</v>
      </c>
      <c r="F246" t="s">
        <v>1092</v>
      </c>
      <c r="G246" t="s">
        <v>4595</v>
      </c>
      <c r="H246" s="1">
        <v>174331</v>
      </c>
      <c r="I246" s="1">
        <v>64424</v>
      </c>
      <c r="J246" s="1">
        <v>23526</v>
      </c>
    </row>
    <row r="247" spans="1:10" x14ac:dyDescent="0.45">
      <c r="A247" s="4">
        <v>45632</v>
      </c>
      <c r="B247" t="s">
        <v>127</v>
      </c>
      <c r="C247" t="s">
        <v>1227</v>
      </c>
      <c r="D247" t="s">
        <v>2719</v>
      </c>
      <c r="E247" t="s">
        <v>2254</v>
      </c>
      <c r="F247" t="s">
        <v>3870</v>
      </c>
      <c r="G247" t="s">
        <v>3534</v>
      </c>
      <c r="H247" s="1">
        <v>170674</v>
      </c>
      <c r="I247" s="1">
        <v>71978</v>
      </c>
      <c r="J247" s="1">
        <v>26238</v>
      </c>
    </row>
    <row r="248" spans="1:10" x14ac:dyDescent="0.45">
      <c r="A248" s="4">
        <v>45633</v>
      </c>
      <c r="B248" t="s">
        <v>150</v>
      </c>
      <c r="C248" t="s">
        <v>1235</v>
      </c>
      <c r="D248" t="s">
        <v>2400</v>
      </c>
      <c r="E248" t="s">
        <v>1112</v>
      </c>
      <c r="F248" t="s">
        <v>1084</v>
      </c>
      <c r="G248" t="s">
        <v>4602</v>
      </c>
      <c r="H248" s="1">
        <v>159350</v>
      </c>
      <c r="I248" s="1">
        <v>67991</v>
      </c>
      <c r="J248" s="1">
        <v>23507</v>
      </c>
    </row>
    <row r="249" spans="1:10" x14ac:dyDescent="0.45">
      <c r="A249" s="4">
        <v>45634</v>
      </c>
      <c r="B249" t="s">
        <v>145</v>
      </c>
      <c r="C249" t="s">
        <v>895</v>
      </c>
      <c r="D249" t="s">
        <v>2737</v>
      </c>
      <c r="E249" t="s">
        <v>899</v>
      </c>
      <c r="F249" t="s">
        <v>3172</v>
      </c>
      <c r="G249" t="s">
        <v>4308</v>
      </c>
      <c r="H249" s="1">
        <v>154054</v>
      </c>
      <c r="I249" s="1">
        <v>66824</v>
      </c>
      <c r="J249" s="1">
        <v>23078</v>
      </c>
    </row>
    <row r="250" spans="1:10" x14ac:dyDescent="0.45">
      <c r="A250" s="4">
        <v>45635</v>
      </c>
      <c r="B250" t="s">
        <v>112</v>
      </c>
      <c r="C250" t="s">
        <v>621</v>
      </c>
      <c r="D250" t="s">
        <v>2742</v>
      </c>
      <c r="E250" t="s">
        <v>1716</v>
      </c>
      <c r="F250" t="s">
        <v>1851</v>
      </c>
      <c r="G250" t="s">
        <v>4609</v>
      </c>
      <c r="H250" s="1">
        <v>152000</v>
      </c>
      <c r="I250" s="1">
        <v>63631</v>
      </c>
      <c r="J250" s="1">
        <v>22972</v>
      </c>
    </row>
    <row r="251" spans="1:10" x14ac:dyDescent="0.45">
      <c r="A251" s="4">
        <v>45636</v>
      </c>
      <c r="B251" t="s">
        <v>105</v>
      </c>
      <c r="C251" t="s">
        <v>1248</v>
      </c>
      <c r="D251" t="s">
        <v>1092</v>
      </c>
      <c r="E251" t="s">
        <v>1061</v>
      </c>
      <c r="F251" t="s">
        <v>3069</v>
      </c>
      <c r="G251" t="s">
        <v>4613</v>
      </c>
      <c r="H251" s="1">
        <v>168645</v>
      </c>
      <c r="I251" s="1">
        <v>66067</v>
      </c>
      <c r="J251" s="1">
        <v>20696</v>
      </c>
    </row>
    <row r="252" spans="1:10" x14ac:dyDescent="0.45">
      <c r="A252" s="4">
        <v>45637</v>
      </c>
      <c r="B252" t="s">
        <v>109</v>
      </c>
      <c r="C252" t="s">
        <v>1253</v>
      </c>
      <c r="D252" t="s">
        <v>1961</v>
      </c>
      <c r="E252" t="s">
        <v>3454</v>
      </c>
      <c r="F252" t="s">
        <v>1658</v>
      </c>
      <c r="G252" t="s">
        <v>4618</v>
      </c>
      <c r="H252" s="1">
        <v>168697</v>
      </c>
      <c r="I252" s="1">
        <v>68135</v>
      </c>
      <c r="J252" s="1">
        <v>24486</v>
      </c>
    </row>
    <row r="253" spans="1:10" x14ac:dyDescent="0.45">
      <c r="A253" s="4">
        <v>45638</v>
      </c>
      <c r="B253" t="s">
        <v>130</v>
      </c>
      <c r="C253" t="s">
        <v>1255</v>
      </c>
      <c r="D253" t="s">
        <v>1318</v>
      </c>
      <c r="E253" t="s">
        <v>2738</v>
      </c>
      <c r="F253" t="s">
        <v>693</v>
      </c>
      <c r="G253" t="s">
        <v>4622</v>
      </c>
      <c r="H253" s="1">
        <v>187957</v>
      </c>
      <c r="I253" s="1">
        <v>67735</v>
      </c>
      <c r="J253" s="1">
        <v>20285</v>
      </c>
    </row>
    <row r="254" spans="1:10" x14ac:dyDescent="0.45">
      <c r="A254" s="4">
        <v>45639</v>
      </c>
      <c r="B254" t="s">
        <v>149</v>
      </c>
      <c r="C254" t="s">
        <v>1260</v>
      </c>
      <c r="D254" t="s">
        <v>2409</v>
      </c>
      <c r="E254" t="s">
        <v>1442</v>
      </c>
      <c r="F254" t="s">
        <v>1240</v>
      </c>
      <c r="G254" t="s">
        <v>4459</v>
      </c>
      <c r="H254" s="1">
        <v>191553</v>
      </c>
      <c r="I254" s="1">
        <v>63707</v>
      </c>
      <c r="J254" s="1">
        <v>17658</v>
      </c>
    </row>
    <row r="255" spans="1:10" x14ac:dyDescent="0.45">
      <c r="A255" s="4">
        <v>45640</v>
      </c>
      <c r="B255">
        <v>1</v>
      </c>
      <c r="C255" t="s">
        <v>435</v>
      </c>
      <c r="D255" t="s">
        <v>342</v>
      </c>
      <c r="E255" t="s">
        <v>1187</v>
      </c>
      <c r="F255" t="s">
        <v>1576</v>
      </c>
      <c r="G255" t="s">
        <v>2120</v>
      </c>
      <c r="H255" s="1">
        <v>179339</v>
      </c>
      <c r="I255" s="1">
        <v>72839</v>
      </c>
      <c r="J255" s="1">
        <v>21169</v>
      </c>
    </row>
    <row r="256" spans="1:10" x14ac:dyDescent="0.45">
      <c r="A256" s="4">
        <v>45641</v>
      </c>
      <c r="B256" t="s">
        <v>151</v>
      </c>
      <c r="C256" t="s">
        <v>443</v>
      </c>
      <c r="D256" t="s">
        <v>1187</v>
      </c>
      <c r="E256" t="s">
        <v>1197</v>
      </c>
      <c r="F256" t="s">
        <v>2745</v>
      </c>
      <c r="G256" t="s">
        <v>3587</v>
      </c>
      <c r="H256" s="1">
        <v>155909</v>
      </c>
      <c r="I256" s="1">
        <v>64789</v>
      </c>
      <c r="J256" s="1">
        <v>18412</v>
      </c>
    </row>
    <row r="257" spans="1:10" x14ac:dyDescent="0.45">
      <c r="A257" s="4">
        <v>45642</v>
      </c>
      <c r="B257" t="s">
        <v>142</v>
      </c>
      <c r="C257" t="s">
        <v>1266</v>
      </c>
      <c r="D257" t="s">
        <v>2376</v>
      </c>
      <c r="E257" t="s">
        <v>3212</v>
      </c>
      <c r="F257" t="s">
        <v>1853</v>
      </c>
      <c r="G257" t="s">
        <v>4634</v>
      </c>
      <c r="H257" s="1">
        <v>203450</v>
      </c>
      <c r="I257" s="1">
        <v>66198</v>
      </c>
      <c r="J257" s="1">
        <v>22657</v>
      </c>
    </row>
    <row r="258" spans="1:10" x14ac:dyDescent="0.45">
      <c r="A258" s="4">
        <v>45643</v>
      </c>
      <c r="B258" t="s">
        <v>110</v>
      </c>
      <c r="C258" t="s">
        <v>1271</v>
      </c>
      <c r="D258" t="s">
        <v>2756</v>
      </c>
      <c r="E258" t="s">
        <v>2743</v>
      </c>
      <c r="F258" t="s">
        <v>1065</v>
      </c>
      <c r="G258" t="s">
        <v>4601</v>
      </c>
      <c r="H258" s="1">
        <v>173832</v>
      </c>
      <c r="I258" s="1">
        <v>56663</v>
      </c>
      <c r="J258" s="1">
        <v>21043</v>
      </c>
    </row>
    <row r="259" spans="1:10" x14ac:dyDescent="0.45">
      <c r="A259" s="4">
        <v>45644</v>
      </c>
      <c r="B259" t="s">
        <v>151</v>
      </c>
      <c r="C259" t="s">
        <v>1081</v>
      </c>
      <c r="D259" t="s">
        <v>1065</v>
      </c>
      <c r="E259" t="s">
        <v>726</v>
      </c>
      <c r="F259" t="s">
        <v>3477</v>
      </c>
      <c r="G259" t="s">
        <v>4643</v>
      </c>
      <c r="H259" s="1">
        <v>169268</v>
      </c>
      <c r="I259" s="1">
        <v>55730</v>
      </c>
      <c r="J259" s="1">
        <v>24340</v>
      </c>
    </row>
    <row r="260" spans="1:10" x14ac:dyDescent="0.45">
      <c r="A260" s="4">
        <v>45645</v>
      </c>
      <c r="B260" t="s">
        <v>152</v>
      </c>
      <c r="C260" t="s">
        <v>364</v>
      </c>
      <c r="D260" t="s">
        <v>1148</v>
      </c>
      <c r="E260" t="s">
        <v>1954</v>
      </c>
      <c r="F260" t="s">
        <v>1823</v>
      </c>
      <c r="G260" t="s">
        <v>4647</v>
      </c>
      <c r="H260" s="1">
        <v>171154</v>
      </c>
      <c r="I260" s="1">
        <v>64253</v>
      </c>
      <c r="J260" s="1">
        <v>31798</v>
      </c>
    </row>
    <row r="261" spans="1:10" x14ac:dyDescent="0.45">
      <c r="A261" s="4">
        <v>45646</v>
      </c>
      <c r="B261" t="s">
        <v>136</v>
      </c>
      <c r="C261" t="s">
        <v>1281</v>
      </c>
      <c r="D261" t="s">
        <v>1135</v>
      </c>
      <c r="E261" t="s">
        <v>1316</v>
      </c>
      <c r="F261" t="s">
        <v>1776</v>
      </c>
      <c r="G261" t="s">
        <v>299</v>
      </c>
      <c r="H261" s="1">
        <v>193681</v>
      </c>
      <c r="I261" s="1">
        <v>74985</v>
      </c>
      <c r="J261" s="1">
        <v>29240</v>
      </c>
    </row>
    <row r="262" spans="1:10" x14ac:dyDescent="0.45">
      <c r="A262" s="4">
        <v>45647</v>
      </c>
      <c r="B262" t="s">
        <v>222</v>
      </c>
      <c r="C262" t="s">
        <v>1282</v>
      </c>
      <c r="D262" t="s">
        <v>1115</v>
      </c>
      <c r="E262" t="s">
        <v>502</v>
      </c>
      <c r="F262" t="s">
        <v>674</v>
      </c>
      <c r="G262" t="s">
        <v>4654</v>
      </c>
      <c r="H262" s="1">
        <v>182780</v>
      </c>
      <c r="I262" s="1">
        <v>77672</v>
      </c>
      <c r="J262" s="1">
        <v>30520</v>
      </c>
    </row>
    <row r="263" spans="1:10" x14ac:dyDescent="0.45">
      <c r="A263" s="4">
        <v>45648</v>
      </c>
      <c r="B263" t="s">
        <v>114</v>
      </c>
      <c r="C263" t="s">
        <v>1054</v>
      </c>
      <c r="D263" t="s">
        <v>1118</v>
      </c>
      <c r="E263" t="s">
        <v>3461</v>
      </c>
      <c r="F263" t="s">
        <v>3456</v>
      </c>
      <c r="G263" t="s">
        <v>321</v>
      </c>
      <c r="H263" s="1">
        <v>161499</v>
      </c>
      <c r="I263" s="1">
        <v>76852</v>
      </c>
      <c r="J263" s="1">
        <v>28074</v>
      </c>
    </row>
    <row r="264" spans="1:10" x14ac:dyDescent="0.45">
      <c r="A264" s="4">
        <v>45649</v>
      </c>
      <c r="B264" t="s">
        <v>133</v>
      </c>
      <c r="C264" t="s">
        <v>1288</v>
      </c>
      <c r="D264" t="s">
        <v>1102</v>
      </c>
      <c r="E264" t="s">
        <v>1483</v>
      </c>
      <c r="F264" t="s">
        <v>913</v>
      </c>
      <c r="G264" t="s">
        <v>4661</v>
      </c>
      <c r="H264" s="1">
        <v>183058</v>
      </c>
      <c r="I264" s="1">
        <v>73334</v>
      </c>
      <c r="J264" s="1">
        <v>29669</v>
      </c>
    </row>
    <row r="265" spans="1:10" x14ac:dyDescent="0.45">
      <c r="A265" s="4">
        <v>45650</v>
      </c>
      <c r="B265" t="s">
        <v>146</v>
      </c>
      <c r="C265" t="s">
        <v>1291</v>
      </c>
      <c r="D265" t="s">
        <v>1069</v>
      </c>
      <c r="E265" t="s">
        <v>3381</v>
      </c>
      <c r="F265" t="s">
        <v>2391</v>
      </c>
      <c r="G265" t="s">
        <v>4666</v>
      </c>
      <c r="H265" s="1">
        <v>183876</v>
      </c>
      <c r="I265" s="1">
        <v>78183</v>
      </c>
      <c r="J265" s="1">
        <v>26034</v>
      </c>
    </row>
    <row r="266" spans="1:10" x14ac:dyDescent="0.45">
      <c r="A266" s="4">
        <v>45651</v>
      </c>
      <c r="B266" t="s">
        <v>170</v>
      </c>
      <c r="C266" t="s">
        <v>1293</v>
      </c>
      <c r="D266" t="s">
        <v>1135</v>
      </c>
      <c r="E266" t="s">
        <v>2605</v>
      </c>
      <c r="F266" t="s">
        <v>1941</v>
      </c>
      <c r="G266" t="s">
        <v>4671</v>
      </c>
      <c r="H266" s="1">
        <v>145302</v>
      </c>
      <c r="I266" s="1">
        <v>76578</v>
      </c>
      <c r="J266" s="1">
        <v>21220</v>
      </c>
    </row>
    <row r="267" spans="1:10" x14ac:dyDescent="0.45">
      <c r="A267" s="4">
        <v>45657</v>
      </c>
      <c r="B267" t="s">
        <v>140</v>
      </c>
      <c r="C267" t="s">
        <v>1180</v>
      </c>
      <c r="D267" t="s">
        <v>2762</v>
      </c>
      <c r="E267" t="s">
        <v>3464</v>
      </c>
      <c r="F267" t="s">
        <v>1857</v>
      </c>
      <c r="G267" t="s">
        <v>2403</v>
      </c>
      <c r="H267" s="1">
        <v>200803</v>
      </c>
      <c r="I267" s="1">
        <v>71015</v>
      </c>
      <c r="J267" s="1">
        <v>19353</v>
      </c>
    </row>
    <row r="268" spans="1:10" x14ac:dyDescent="0.45">
      <c r="A268" s="4">
        <v>45658</v>
      </c>
      <c r="B268" t="s">
        <v>142</v>
      </c>
      <c r="C268" t="s">
        <v>1299</v>
      </c>
      <c r="D268" t="s">
        <v>1190</v>
      </c>
      <c r="E268" t="s">
        <v>1845</v>
      </c>
      <c r="F268" t="s">
        <v>2726</v>
      </c>
      <c r="G268" t="s">
        <v>1984</v>
      </c>
      <c r="H268" s="1">
        <v>148250</v>
      </c>
      <c r="I268" s="1">
        <v>68855</v>
      </c>
      <c r="J268" s="1">
        <v>16338</v>
      </c>
    </row>
    <row r="269" spans="1:10" x14ac:dyDescent="0.45">
      <c r="A269" s="4">
        <v>45659</v>
      </c>
      <c r="B269" t="s">
        <v>88</v>
      </c>
      <c r="C269" t="s">
        <v>1297</v>
      </c>
      <c r="D269" t="s">
        <v>1761</v>
      </c>
      <c r="E269" t="s">
        <v>1805</v>
      </c>
      <c r="F269" t="s">
        <v>1957</v>
      </c>
      <c r="G269" t="s">
        <v>2687</v>
      </c>
      <c r="H269" s="1">
        <v>197088</v>
      </c>
      <c r="I269" s="1">
        <v>70106</v>
      </c>
      <c r="J269" s="1">
        <v>20881</v>
      </c>
    </row>
    <row r="270" spans="1:10" x14ac:dyDescent="0.45">
      <c r="A270" s="4">
        <v>45660</v>
      </c>
      <c r="B270" t="s">
        <v>105</v>
      </c>
      <c r="C270" t="s">
        <v>1303</v>
      </c>
      <c r="D270" t="s">
        <v>1083</v>
      </c>
      <c r="E270" t="s">
        <v>869</v>
      </c>
      <c r="F270" t="s">
        <v>1670</v>
      </c>
      <c r="G270" t="s">
        <v>1196</v>
      </c>
      <c r="H270" s="1">
        <v>188263</v>
      </c>
      <c r="I270" s="1">
        <v>65439</v>
      </c>
      <c r="J270" s="1">
        <v>26740</v>
      </c>
    </row>
    <row r="271" spans="1:10" x14ac:dyDescent="0.45">
      <c r="A271" s="4">
        <v>45661</v>
      </c>
      <c r="B271" t="s">
        <v>126</v>
      </c>
      <c r="C271" t="s">
        <v>1311</v>
      </c>
      <c r="D271" t="s">
        <v>2725</v>
      </c>
      <c r="E271" t="s">
        <v>2407</v>
      </c>
      <c r="F271" t="s">
        <v>352</v>
      </c>
      <c r="G271" t="s">
        <v>708</v>
      </c>
      <c r="H271" s="1">
        <v>173700</v>
      </c>
      <c r="I271" s="1">
        <v>70196</v>
      </c>
      <c r="J271" s="1">
        <v>29084</v>
      </c>
    </row>
    <row r="272" spans="1:10" x14ac:dyDescent="0.45">
      <c r="A272" s="4">
        <v>45662</v>
      </c>
      <c r="B272" t="s">
        <v>88</v>
      </c>
      <c r="C272" t="s">
        <v>1315</v>
      </c>
      <c r="D272" t="s">
        <v>1844</v>
      </c>
      <c r="E272" t="s">
        <v>1690</v>
      </c>
      <c r="F272" t="s">
        <v>3876</v>
      </c>
      <c r="G272" t="s">
        <v>2707</v>
      </c>
      <c r="H272" s="1">
        <v>147290</v>
      </c>
      <c r="I272" s="1">
        <v>70191</v>
      </c>
      <c r="J272" s="1">
        <v>19684</v>
      </c>
    </row>
    <row r="273" spans="1:10" x14ac:dyDescent="0.45">
      <c r="A273" s="4">
        <v>45663</v>
      </c>
      <c r="B273" t="s">
        <v>185</v>
      </c>
      <c r="C273" t="s">
        <v>1318</v>
      </c>
      <c r="D273">
        <v>14</v>
      </c>
      <c r="E273" t="s">
        <v>1049</v>
      </c>
      <c r="F273" t="s">
        <v>738</v>
      </c>
      <c r="G273" t="s">
        <v>2692</v>
      </c>
      <c r="H273" s="1">
        <v>163672</v>
      </c>
      <c r="I273" s="1">
        <v>60033</v>
      </c>
      <c r="J273" s="1">
        <v>24539</v>
      </c>
    </row>
    <row r="274" spans="1:10" x14ac:dyDescent="0.45">
      <c r="A274" s="4">
        <v>45664</v>
      </c>
      <c r="B274" t="s">
        <v>201</v>
      </c>
      <c r="C274" t="s">
        <v>1322</v>
      </c>
      <c r="D274" t="s">
        <v>2727</v>
      </c>
      <c r="E274" t="s">
        <v>1380</v>
      </c>
      <c r="F274" t="s">
        <v>690</v>
      </c>
      <c r="G274" t="s">
        <v>1579</v>
      </c>
      <c r="H274" s="1">
        <v>184079</v>
      </c>
      <c r="I274" s="1">
        <v>61979</v>
      </c>
      <c r="J274" s="1">
        <v>25205</v>
      </c>
    </row>
    <row r="275" spans="1:10" x14ac:dyDescent="0.45">
      <c r="A275" s="4">
        <v>45665</v>
      </c>
      <c r="B275" t="s">
        <v>145</v>
      </c>
      <c r="C275" t="s">
        <v>1326</v>
      </c>
      <c r="D275" t="s">
        <v>1732</v>
      </c>
      <c r="E275" t="s">
        <v>3466</v>
      </c>
      <c r="F275" t="s">
        <v>3475</v>
      </c>
      <c r="G275" t="s">
        <v>692</v>
      </c>
      <c r="H275" s="1">
        <v>188022</v>
      </c>
      <c r="I275" s="1">
        <v>61965</v>
      </c>
      <c r="J275" s="1">
        <v>23880</v>
      </c>
    </row>
    <row r="276" spans="1:10" x14ac:dyDescent="0.45">
      <c r="A276" s="4">
        <v>45666</v>
      </c>
      <c r="B276" t="s">
        <v>168</v>
      </c>
      <c r="C276" t="s">
        <v>1301</v>
      </c>
      <c r="D276" t="s">
        <v>1732</v>
      </c>
      <c r="E276" t="s">
        <v>3169</v>
      </c>
      <c r="F276" t="s">
        <v>1454</v>
      </c>
      <c r="G276" t="s">
        <v>3653</v>
      </c>
      <c r="H276" s="1">
        <v>198283</v>
      </c>
      <c r="I276" s="1">
        <v>60003</v>
      </c>
      <c r="J276" s="1">
        <v>26044</v>
      </c>
    </row>
    <row r="277" spans="1:10" x14ac:dyDescent="0.45">
      <c r="A277" s="4">
        <v>45667</v>
      </c>
      <c r="B277" t="s">
        <v>88</v>
      </c>
      <c r="C277" t="s">
        <v>1334</v>
      </c>
      <c r="D277" t="s">
        <v>1330</v>
      </c>
      <c r="E277" t="s">
        <v>2762</v>
      </c>
      <c r="F277" t="s">
        <v>1149</v>
      </c>
      <c r="G277">
        <v>12</v>
      </c>
      <c r="H277" s="1">
        <v>181413</v>
      </c>
      <c r="I277" s="1">
        <v>59491</v>
      </c>
      <c r="J277" s="1">
        <v>22409</v>
      </c>
    </row>
    <row r="278" spans="1:10" x14ac:dyDescent="0.45">
      <c r="A278" s="4">
        <v>45668</v>
      </c>
      <c r="B278" t="s">
        <v>107</v>
      </c>
      <c r="C278" t="s">
        <v>1338</v>
      </c>
      <c r="D278" t="s">
        <v>1731</v>
      </c>
      <c r="E278" t="s">
        <v>1880</v>
      </c>
      <c r="F278" t="s">
        <v>1383</v>
      </c>
      <c r="G278" t="s">
        <v>1309</v>
      </c>
      <c r="H278" s="1">
        <v>194930</v>
      </c>
      <c r="I278" s="1">
        <v>66073</v>
      </c>
      <c r="J278" s="1">
        <v>25904</v>
      </c>
    </row>
    <row r="279" spans="1:10" x14ac:dyDescent="0.45">
      <c r="A279" s="4">
        <v>45669</v>
      </c>
      <c r="B279" t="s">
        <v>105</v>
      </c>
      <c r="C279" t="s">
        <v>1328</v>
      </c>
      <c r="D279" t="s">
        <v>1941</v>
      </c>
      <c r="E279" t="s">
        <v>1649</v>
      </c>
      <c r="F279" t="s">
        <v>1744</v>
      </c>
      <c r="G279" t="s">
        <v>1335</v>
      </c>
      <c r="H279" s="1">
        <v>143325</v>
      </c>
      <c r="I279" s="1">
        <v>62229</v>
      </c>
      <c r="J279" s="1">
        <v>21751</v>
      </c>
    </row>
    <row r="280" spans="1:10" x14ac:dyDescent="0.45">
      <c r="A280" s="4">
        <v>45670</v>
      </c>
      <c r="B280" t="s">
        <v>43</v>
      </c>
      <c r="C280" t="s">
        <v>1344</v>
      </c>
      <c r="D280" t="s">
        <v>1977</v>
      </c>
      <c r="E280" t="s">
        <v>1803</v>
      </c>
      <c r="F280" t="s">
        <v>1840</v>
      </c>
      <c r="G280" t="s">
        <v>719</v>
      </c>
      <c r="H280" s="1">
        <v>199376</v>
      </c>
      <c r="I280" s="1">
        <v>61025</v>
      </c>
      <c r="J280" s="1">
        <v>23692</v>
      </c>
    </row>
    <row r="281" spans="1:10" x14ac:dyDescent="0.45">
      <c r="A281" s="4">
        <v>45671</v>
      </c>
      <c r="B281" t="s">
        <v>101</v>
      </c>
      <c r="C281" t="s">
        <v>1324</v>
      </c>
      <c r="D281" t="s">
        <v>1956</v>
      </c>
      <c r="E281" t="s">
        <v>352</v>
      </c>
      <c r="F281" t="s">
        <v>2777</v>
      </c>
      <c r="G281" t="s">
        <v>2790</v>
      </c>
      <c r="H281" s="1">
        <v>162402</v>
      </c>
      <c r="I281" s="1">
        <v>57227</v>
      </c>
      <c r="J281" s="1">
        <v>25256</v>
      </c>
    </row>
    <row r="282" spans="1:10" x14ac:dyDescent="0.45">
      <c r="A282" s="4">
        <v>45672</v>
      </c>
      <c r="B282">
        <v>1</v>
      </c>
      <c r="C282" t="s">
        <v>1351</v>
      </c>
      <c r="D282" t="s">
        <v>2735</v>
      </c>
      <c r="E282" t="s">
        <v>2786</v>
      </c>
      <c r="F282" t="s">
        <v>1646</v>
      </c>
      <c r="G282" t="s">
        <v>2746</v>
      </c>
      <c r="H282" s="1">
        <v>193949</v>
      </c>
      <c r="I282" s="1">
        <v>63072</v>
      </c>
      <c r="J282" s="1">
        <v>23273</v>
      </c>
    </row>
    <row r="283" spans="1:10" x14ac:dyDescent="0.45">
      <c r="A283" s="4">
        <v>45673</v>
      </c>
      <c r="B283" t="s">
        <v>208</v>
      </c>
      <c r="C283" t="s">
        <v>1331</v>
      </c>
      <c r="D283" t="s">
        <v>2772</v>
      </c>
      <c r="E283" t="s">
        <v>3475</v>
      </c>
      <c r="F283" t="s">
        <v>1489</v>
      </c>
      <c r="G283" t="s">
        <v>1079</v>
      </c>
      <c r="H283" s="1">
        <v>192668</v>
      </c>
      <c r="I283" s="1">
        <v>61750</v>
      </c>
      <c r="J283" s="1">
        <v>23146</v>
      </c>
    </row>
    <row r="284" spans="1:10" x14ac:dyDescent="0.45">
      <c r="A284" s="4">
        <v>45674</v>
      </c>
      <c r="B284" t="s">
        <v>88</v>
      </c>
      <c r="C284" t="s">
        <v>1353</v>
      </c>
      <c r="D284" t="s">
        <v>1372</v>
      </c>
      <c r="E284" t="s">
        <v>1761</v>
      </c>
      <c r="F284" t="s">
        <v>1857</v>
      </c>
      <c r="G284" t="s">
        <v>1364</v>
      </c>
      <c r="H284" s="1">
        <v>166473</v>
      </c>
      <c r="I284" s="1">
        <v>60923</v>
      </c>
      <c r="J284" s="1">
        <v>23486</v>
      </c>
    </row>
    <row r="285" spans="1:10" x14ac:dyDescent="0.45">
      <c r="A285" s="4">
        <v>45675</v>
      </c>
      <c r="B285" t="s">
        <v>202</v>
      </c>
      <c r="C285" t="s">
        <v>1338</v>
      </c>
      <c r="D285" t="s">
        <v>1429</v>
      </c>
      <c r="E285" t="s">
        <v>2382</v>
      </c>
      <c r="F285" t="s">
        <v>3676</v>
      </c>
      <c r="G285" t="s">
        <v>3581</v>
      </c>
      <c r="H285" s="1">
        <v>186656</v>
      </c>
      <c r="I285" s="1">
        <v>63683</v>
      </c>
      <c r="J285" s="1">
        <v>22487</v>
      </c>
    </row>
    <row r="286" spans="1:10" x14ac:dyDescent="0.45">
      <c r="A286" s="4">
        <v>45676</v>
      </c>
      <c r="B286" t="s">
        <v>109</v>
      </c>
      <c r="C286" t="s">
        <v>1329</v>
      </c>
      <c r="D286" t="s">
        <v>2777</v>
      </c>
      <c r="E286" t="s">
        <v>1170</v>
      </c>
      <c r="F286" t="s">
        <v>2607</v>
      </c>
      <c r="G286" t="s">
        <v>2393</v>
      </c>
      <c r="H286" s="1">
        <v>165893</v>
      </c>
      <c r="I286" s="1">
        <v>53770</v>
      </c>
      <c r="J286" s="1">
        <v>20475</v>
      </c>
    </row>
    <row r="287" spans="1:10" x14ac:dyDescent="0.45">
      <c r="A287" s="4">
        <v>45677</v>
      </c>
      <c r="B287" t="s">
        <v>185</v>
      </c>
      <c r="C287" t="s">
        <v>1363</v>
      </c>
      <c r="D287">
        <v>15</v>
      </c>
      <c r="E287" t="s">
        <v>1982</v>
      </c>
      <c r="F287" t="s">
        <v>924</v>
      </c>
      <c r="G287" t="s">
        <v>3490</v>
      </c>
      <c r="H287" s="1">
        <v>178107</v>
      </c>
      <c r="I287" s="1">
        <v>55976</v>
      </c>
      <c r="J287" s="1">
        <v>14369</v>
      </c>
    </row>
    <row r="288" spans="1:10" x14ac:dyDescent="0.45">
      <c r="A288" s="4">
        <v>45678</v>
      </c>
      <c r="B288" t="s">
        <v>200</v>
      </c>
      <c r="C288" t="s">
        <v>1360</v>
      </c>
      <c r="D288" t="s">
        <v>2780</v>
      </c>
      <c r="E288" t="s">
        <v>3479</v>
      </c>
      <c r="F288" t="s">
        <v>948</v>
      </c>
      <c r="G288" t="s">
        <v>1926</v>
      </c>
      <c r="H288" s="1">
        <v>177841</v>
      </c>
      <c r="I288" s="1">
        <v>53738</v>
      </c>
      <c r="J288" s="1">
        <v>16424</v>
      </c>
    </row>
    <row r="289" spans="1:10" x14ac:dyDescent="0.45">
      <c r="A289" s="4">
        <v>45679</v>
      </c>
      <c r="B289" t="s">
        <v>202</v>
      </c>
      <c r="C289" t="s">
        <v>1306</v>
      </c>
      <c r="D289" t="s">
        <v>2745</v>
      </c>
      <c r="E289" t="s">
        <v>1668</v>
      </c>
      <c r="F289" t="s">
        <v>1783</v>
      </c>
      <c r="G289" t="s">
        <v>1789</v>
      </c>
      <c r="H289" s="1">
        <v>180775</v>
      </c>
      <c r="I289" s="1">
        <v>56755</v>
      </c>
      <c r="J289" s="1">
        <v>18250</v>
      </c>
    </row>
    <row r="290" spans="1:10" x14ac:dyDescent="0.45">
      <c r="A290" s="4">
        <v>45680</v>
      </c>
      <c r="B290" t="s">
        <v>104</v>
      </c>
      <c r="C290" t="s">
        <v>1304</v>
      </c>
      <c r="D290" t="s">
        <v>1842</v>
      </c>
      <c r="E290" t="s">
        <v>1371</v>
      </c>
      <c r="F290" t="s">
        <v>2959</v>
      </c>
      <c r="G290" t="s">
        <v>1083</v>
      </c>
      <c r="H290" s="1">
        <v>186798</v>
      </c>
      <c r="I290" s="1">
        <v>63607</v>
      </c>
      <c r="J290" s="1">
        <v>17699</v>
      </c>
    </row>
    <row r="291" spans="1:10" x14ac:dyDescent="0.45">
      <c r="A291" s="4">
        <v>45681</v>
      </c>
      <c r="B291" t="s">
        <v>145</v>
      </c>
      <c r="C291" t="s">
        <v>1365</v>
      </c>
      <c r="D291" t="s">
        <v>2767</v>
      </c>
      <c r="E291" t="s">
        <v>3481</v>
      </c>
      <c r="F291" t="s">
        <v>1574</v>
      </c>
      <c r="G291" t="s">
        <v>3364</v>
      </c>
      <c r="H291" s="1">
        <v>185208</v>
      </c>
      <c r="I291" s="1">
        <v>63106</v>
      </c>
      <c r="J291" s="1">
        <v>19040</v>
      </c>
    </row>
    <row r="292" spans="1:10" x14ac:dyDescent="0.45">
      <c r="A292" s="4">
        <v>45682</v>
      </c>
      <c r="B292">
        <v>1</v>
      </c>
      <c r="C292" t="s">
        <v>1329</v>
      </c>
      <c r="D292" t="s">
        <v>1964</v>
      </c>
      <c r="E292" t="s">
        <v>1326</v>
      </c>
      <c r="F292" t="s">
        <v>1303</v>
      </c>
      <c r="G292" t="s">
        <v>1101</v>
      </c>
      <c r="H292" s="1">
        <v>167148</v>
      </c>
      <c r="I292" s="1">
        <v>62255</v>
      </c>
      <c r="J292" s="1">
        <v>25907</v>
      </c>
    </row>
    <row r="293" spans="1:10" x14ac:dyDescent="0.45">
      <c r="A293" s="4">
        <v>45683</v>
      </c>
      <c r="B293" t="s">
        <v>88</v>
      </c>
      <c r="C293" t="s">
        <v>1372</v>
      </c>
      <c r="D293" t="s">
        <v>1373</v>
      </c>
      <c r="E293" t="s">
        <v>3090</v>
      </c>
      <c r="F293" t="s">
        <v>1887</v>
      </c>
      <c r="G293" t="s">
        <v>1733</v>
      </c>
      <c r="H293" s="1">
        <v>152111</v>
      </c>
      <c r="I293" s="1">
        <v>62013</v>
      </c>
      <c r="J293" s="1">
        <v>20214</v>
      </c>
    </row>
    <row r="294" spans="1:10" x14ac:dyDescent="0.45">
      <c r="A294" s="4">
        <v>45684</v>
      </c>
      <c r="B294" t="s">
        <v>208</v>
      </c>
      <c r="C294" t="s">
        <v>1368</v>
      </c>
      <c r="D294" t="s">
        <v>2785</v>
      </c>
      <c r="E294" t="s">
        <v>1077</v>
      </c>
      <c r="F294" t="s">
        <v>1140</v>
      </c>
      <c r="G294" t="s">
        <v>3040</v>
      </c>
      <c r="H294" s="1">
        <v>135829</v>
      </c>
      <c r="I294" s="1">
        <v>61853</v>
      </c>
      <c r="J294" s="1">
        <v>16632</v>
      </c>
    </row>
    <row r="295" spans="1:10" x14ac:dyDescent="0.45">
      <c r="A295" s="4">
        <v>45685</v>
      </c>
      <c r="B295" t="s">
        <v>104</v>
      </c>
      <c r="C295" t="s">
        <v>1306</v>
      </c>
      <c r="D295" t="s">
        <v>1643</v>
      </c>
      <c r="E295" t="s">
        <v>2738</v>
      </c>
      <c r="F295" t="s">
        <v>1984</v>
      </c>
      <c r="G295" t="s">
        <v>1154</v>
      </c>
      <c r="H295" s="1">
        <v>185231</v>
      </c>
      <c r="I295" s="1">
        <v>65732</v>
      </c>
      <c r="J295" s="1">
        <v>19238</v>
      </c>
    </row>
    <row r="296" spans="1:10" x14ac:dyDescent="0.45">
      <c r="A296" s="4">
        <v>45686</v>
      </c>
      <c r="B296" t="s">
        <v>102</v>
      </c>
      <c r="C296" t="s">
        <v>1327</v>
      </c>
      <c r="D296" t="s">
        <v>2787</v>
      </c>
      <c r="E296" t="s">
        <v>3275</v>
      </c>
      <c r="F296" t="s">
        <v>2575</v>
      </c>
      <c r="G296" t="s">
        <v>1143</v>
      </c>
      <c r="H296" s="1">
        <v>155670</v>
      </c>
      <c r="I296" s="1">
        <v>59232</v>
      </c>
      <c r="J296" s="1">
        <v>18786</v>
      </c>
    </row>
    <row r="297" spans="1:10" x14ac:dyDescent="0.45">
      <c r="A297" s="4">
        <v>45687</v>
      </c>
      <c r="B297" t="s">
        <v>88</v>
      </c>
      <c r="C297" t="s">
        <v>1382</v>
      </c>
      <c r="D297" t="s">
        <v>2790</v>
      </c>
      <c r="E297" t="s">
        <v>724</v>
      </c>
      <c r="F297" t="s">
        <v>1795</v>
      </c>
      <c r="G297" t="s">
        <v>1431</v>
      </c>
      <c r="H297" s="1">
        <v>189964</v>
      </c>
      <c r="I297" s="1">
        <v>56236</v>
      </c>
      <c r="J297" s="1">
        <v>19067</v>
      </c>
    </row>
    <row r="298" spans="1:10" x14ac:dyDescent="0.45">
      <c r="A298" s="4">
        <v>45688</v>
      </c>
      <c r="B298" t="s">
        <v>202</v>
      </c>
      <c r="C298" t="s">
        <v>1383</v>
      </c>
      <c r="D298" t="s">
        <v>1136</v>
      </c>
      <c r="E298" t="s">
        <v>1184</v>
      </c>
      <c r="F298" t="s">
        <v>1106</v>
      </c>
      <c r="G298" t="s">
        <v>1312</v>
      </c>
      <c r="H298" s="1">
        <v>198700</v>
      </c>
      <c r="I298" s="1">
        <v>58809</v>
      </c>
      <c r="J298" s="1">
        <v>20086</v>
      </c>
    </row>
    <row r="299" spans="1:10" x14ac:dyDescent="0.45">
      <c r="A299" s="4">
        <v>45689</v>
      </c>
      <c r="B299" t="s">
        <v>96</v>
      </c>
      <c r="C299">
        <v>9</v>
      </c>
      <c r="D299">
        <v>19</v>
      </c>
      <c r="E299" t="s">
        <v>1084</v>
      </c>
      <c r="F299" t="s">
        <v>2761</v>
      </c>
      <c r="G299" t="s">
        <v>1828</v>
      </c>
      <c r="H299" s="1">
        <v>194967</v>
      </c>
      <c r="I299" s="1">
        <v>67752</v>
      </c>
      <c r="J299" s="1">
        <v>19570</v>
      </c>
    </row>
    <row r="300" spans="1:10" x14ac:dyDescent="0.45">
      <c r="A300" s="4">
        <v>45691</v>
      </c>
      <c r="B300" t="s">
        <v>129</v>
      </c>
      <c r="C300" t="s">
        <v>1387</v>
      </c>
      <c r="D300" t="s">
        <v>2792</v>
      </c>
      <c r="E300" t="s">
        <v>522</v>
      </c>
      <c r="F300" t="s">
        <v>564</v>
      </c>
      <c r="G300" t="s">
        <v>660</v>
      </c>
      <c r="H300" s="1">
        <v>208329</v>
      </c>
      <c r="I300" s="1">
        <v>66203</v>
      </c>
      <c r="J300" s="1">
        <v>19732</v>
      </c>
    </row>
    <row r="301" spans="1:10" x14ac:dyDescent="0.45">
      <c r="A301" s="4">
        <v>45692</v>
      </c>
      <c r="B301" t="s">
        <v>73</v>
      </c>
      <c r="C301" t="s">
        <v>1390</v>
      </c>
      <c r="D301" t="s">
        <v>2794</v>
      </c>
      <c r="E301" t="s">
        <v>3489</v>
      </c>
      <c r="F301" t="s">
        <v>566</v>
      </c>
      <c r="G301" t="s">
        <v>3830</v>
      </c>
      <c r="H301" s="1">
        <v>196959</v>
      </c>
      <c r="I301" s="1">
        <v>59792</v>
      </c>
      <c r="J301" s="1">
        <v>18565</v>
      </c>
    </row>
    <row r="302" spans="1:10" x14ac:dyDescent="0.45">
      <c r="A302" s="4">
        <v>45693</v>
      </c>
      <c r="B302" t="s">
        <v>16</v>
      </c>
      <c r="C302" t="s">
        <v>462</v>
      </c>
      <c r="D302" t="s">
        <v>2796</v>
      </c>
      <c r="E302" t="s">
        <v>1184</v>
      </c>
      <c r="F302" t="s">
        <v>927</v>
      </c>
      <c r="G302" t="s">
        <v>4683</v>
      </c>
      <c r="H302" s="1">
        <v>178912</v>
      </c>
      <c r="I302" s="1">
        <v>55793</v>
      </c>
      <c r="J302" s="1">
        <v>22837</v>
      </c>
    </row>
    <row r="303" spans="1:10" x14ac:dyDescent="0.45">
      <c r="A303" s="4">
        <v>45694</v>
      </c>
      <c r="B303" t="s">
        <v>16</v>
      </c>
      <c r="C303" t="s">
        <v>410</v>
      </c>
      <c r="D303" t="s">
        <v>2799</v>
      </c>
      <c r="E303" t="s">
        <v>3490</v>
      </c>
      <c r="F303" t="s">
        <v>1048</v>
      </c>
      <c r="G303" t="s">
        <v>3949</v>
      </c>
      <c r="H303" s="1">
        <v>166320</v>
      </c>
      <c r="I303" s="1">
        <v>52899</v>
      </c>
      <c r="J303" s="1">
        <v>24490</v>
      </c>
    </row>
    <row r="304" spans="1:10" x14ac:dyDescent="0.45">
      <c r="A304" s="4">
        <v>45695</v>
      </c>
      <c r="B304" t="s">
        <v>71</v>
      </c>
      <c r="C304" t="s">
        <v>1396</v>
      </c>
      <c r="D304" t="s">
        <v>2802</v>
      </c>
      <c r="E304" t="s">
        <v>1218</v>
      </c>
      <c r="F304" t="s">
        <v>3259</v>
      </c>
      <c r="G304" t="s">
        <v>4091</v>
      </c>
      <c r="H304" s="1">
        <v>185643</v>
      </c>
      <c r="I304" s="1">
        <v>62948</v>
      </c>
      <c r="J304" s="1">
        <v>21202</v>
      </c>
    </row>
    <row r="305" spans="1:10" x14ac:dyDescent="0.45">
      <c r="A305" s="4">
        <v>45696</v>
      </c>
      <c r="B305" t="s">
        <v>73</v>
      </c>
      <c r="C305" t="s">
        <v>1399</v>
      </c>
      <c r="D305" t="s">
        <v>1897</v>
      </c>
      <c r="E305" t="s">
        <v>3492</v>
      </c>
      <c r="F305" t="s">
        <v>2847</v>
      </c>
      <c r="G305" t="s">
        <v>2093</v>
      </c>
      <c r="H305" s="1">
        <v>167303</v>
      </c>
      <c r="I305" s="1">
        <v>56732</v>
      </c>
      <c r="J305" s="1">
        <v>20125</v>
      </c>
    </row>
    <row r="306" spans="1:10" x14ac:dyDescent="0.45">
      <c r="A306" s="4">
        <v>45697</v>
      </c>
      <c r="B306" t="s">
        <v>67</v>
      </c>
      <c r="C306" t="s">
        <v>904</v>
      </c>
      <c r="D306" t="s">
        <v>2809</v>
      </c>
      <c r="E306" t="s">
        <v>2561</v>
      </c>
      <c r="F306" t="s">
        <v>2150</v>
      </c>
      <c r="G306" t="s">
        <v>4695</v>
      </c>
      <c r="H306" s="1">
        <v>161698</v>
      </c>
      <c r="I306" s="1">
        <v>60231</v>
      </c>
      <c r="J306" s="1">
        <v>19473</v>
      </c>
    </row>
    <row r="307" spans="1:10" x14ac:dyDescent="0.45">
      <c r="A307" s="4">
        <v>45698</v>
      </c>
      <c r="B307" t="s">
        <v>71</v>
      </c>
      <c r="C307" t="s">
        <v>413</v>
      </c>
      <c r="D307" t="s">
        <v>1522</v>
      </c>
      <c r="E307" t="s">
        <v>1520</v>
      </c>
      <c r="F307" t="s">
        <v>2856</v>
      </c>
      <c r="G307" t="s">
        <v>4699</v>
      </c>
      <c r="H307" s="1">
        <v>194639</v>
      </c>
      <c r="I307" s="1">
        <v>58430</v>
      </c>
      <c r="J307" s="1">
        <v>19635</v>
      </c>
    </row>
    <row r="308" spans="1:10" x14ac:dyDescent="0.45">
      <c r="A308" s="4">
        <v>45699</v>
      </c>
      <c r="B308" t="s">
        <v>232</v>
      </c>
      <c r="C308" t="s">
        <v>1390</v>
      </c>
      <c r="D308" t="s">
        <v>2818</v>
      </c>
      <c r="E308" t="s">
        <v>1240</v>
      </c>
      <c r="F308" t="s">
        <v>3171</v>
      </c>
      <c r="G308" t="s">
        <v>4704</v>
      </c>
      <c r="H308" s="1">
        <v>191568</v>
      </c>
      <c r="I308" s="1">
        <v>62311</v>
      </c>
      <c r="J308" s="1">
        <v>21840</v>
      </c>
    </row>
    <row r="309" spans="1:10" x14ac:dyDescent="0.45">
      <c r="A309" s="4">
        <v>45700</v>
      </c>
      <c r="B309" t="s">
        <v>232</v>
      </c>
      <c r="C309" t="s">
        <v>405</v>
      </c>
      <c r="D309" t="s">
        <v>2822</v>
      </c>
      <c r="E309" t="s">
        <v>885</v>
      </c>
      <c r="F309" t="s">
        <v>3812</v>
      </c>
      <c r="G309" t="s">
        <v>4708</v>
      </c>
      <c r="H309" s="1">
        <v>198749</v>
      </c>
      <c r="I309" s="1">
        <v>62606</v>
      </c>
      <c r="J309" s="1">
        <v>18450</v>
      </c>
    </row>
    <row r="310" spans="1:10" x14ac:dyDescent="0.45">
      <c r="A310" s="4">
        <v>45701</v>
      </c>
      <c r="B310" t="s">
        <v>48</v>
      </c>
      <c r="C310" t="s">
        <v>1408</v>
      </c>
      <c r="D310" t="s">
        <v>2825</v>
      </c>
      <c r="E310" t="s">
        <v>3346</v>
      </c>
      <c r="F310" t="s">
        <v>3698</v>
      </c>
      <c r="G310" t="s">
        <v>4174</v>
      </c>
      <c r="H310" s="1">
        <v>167904</v>
      </c>
      <c r="I310" s="1">
        <v>58697</v>
      </c>
      <c r="J310" s="1">
        <v>20836</v>
      </c>
    </row>
    <row r="311" spans="1:10" x14ac:dyDescent="0.45">
      <c r="A311" s="4">
        <v>45702</v>
      </c>
      <c r="B311" t="s">
        <v>204</v>
      </c>
      <c r="C311" t="s">
        <v>880</v>
      </c>
      <c r="D311" t="s">
        <v>2828</v>
      </c>
      <c r="E311" t="s">
        <v>1975</v>
      </c>
      <c r="F311" t="s">
        <v>910</v>
      </c>
      <c r="G311" t="s">
        <v>4714</v>
      </c>
      <c r="H311" s="1">
        <v>176863</v>
      </c>
      <c r="I311" s="1">
        <v>59085</v>
      </c>
      <c r="J311" s="1">
        <v>17278</v>
      </c>
    </row>
    <row r="312" spans="1:10" x14ac:dyDescent="0.45">
      <c r="A312" s="4">
        <v>45703</v>
      </c>
      <c r="B312" t="s">
        <v>52</v>
      </c>
      <c r="C312" t="s">
        <v>420</v>
      </c>
      <c r="D312" t="s">
        <v>2833</v>
      </c>
      <c r="E312" t="s">
        <v>1156</v>
      </c>
      <c r="F312" t="s">
        <v>692</v>
      </c>
      <c r="G312" t="s">
        <v>4716</v>
      </c>
      <c r="H312" s="1">
        <v>190560</v>
      </c>
      <c r="I312" s="1">
        <v>68729</v>
      </c>
      <c r="J312" s="1">
        <v>20785</v>
      </c>
    </row>
    <row r="313" spans="1:10" x14ac:dyDescent="0.45">
      <c r="A313" s="4">
        <v>45704</v>
      </c>
      <c r="B313" t="s">
        <v>199</v>
      </c>
      <c r="C313" t="s">
        <v>1417</v>
      </c>
      <c r="D313" t="s">
        <v>2836</v>
      </c>
      <c r="E313" t="s">
        <v>2146</v>
      </c>
      <c r="F313" t="s">
        <v>2147</v>
      </c>
      <c r="G313" t="s">
        <v>4719</v>
      </c>
      <c r="H313" s="1">
        <v>143920</v>
      </c>
      <c r="I313" s="1">
        <v>58672</v>
      </c>
      <c r="J313" s="1">
        <v>17512</v>
      </c>
    </row>
    <row r="314" spans="1:10" x14ac:dyDescent="0.45">
      <c r="A314" s="4">
        <v>45705</v>
      </c>
      <c r="B314" t="s">
        <v>53</v>
      </c>
      <c r="C314" t="s">
        <v>636</v>
      </c>
      <c r="D314" t="s">
        <v>2841</v>
      </c>
      <c r="E314" t="s">
        <v>1574</v>
      </c>
      <c r="F314" t="s">
        <v>1101</v>
      </c>
      <c r="G314" t="s">
        <v>4240</v>
      </c>
      <c r="H314" s="1">
        <v>168786</v>
      </c>
      <c r="I314" s="1">
        <v>55580</v>
      </c>
      <c r="J314" s="1">
        <v>17962</v>
      </c>
    </row>
    <row r="315" spans="1:10" x14ac:dyDescent="0.45">
      <c r="A315" s="4">
        <v>45706</v>
      </c>
      <c r="B315" t="s">
        <v>58</v>
      </c>
      <c r="C315" t="s">
        <v>1421</v>
      </c>
      <c r="D315" t="s">
        <v>2216</v>
      </c>
      <c r="E315" t="s">
        <v>3350</v>
      </c>
      <c r="F315" t="s">
        <v>608</v>
      </c>
      <c r="G315" t="s">
        <v>4726</v>
      </c>
      <c r="H315" s="1">
        <v>171184</v>
      </c>
      <c r="I315" s="1">
        <v>54753</v>
      </c>
      <c r="J315" s="1">
        <v>21036</v>
      </c>
    </row>
    <row r="316" spans="1:10" x14ac:dyDescent="0.45">
      <c r="A316" s="4">
        <v>45707</v>
      </c>
      <c r="B316" t="s">
        <v>51</v>
      </c>
      <c r="C316" t="s">
        <v>675</v>
      </c>
      <c r="D316" t="s">
        <v>835</v>
      </c>
      <c r="E316" t="s">
        <v>1927</v>
      </c>
      <c r="F316" t="s">
        <v>3802</v>
      </c>
      <c r="G316" t="s">
        <v>4729</v>
      </c>
      <c r="H316" s="1">
        <v>182541</v>
      </c>
      <c r="I316" s="1">
        <v>56315</v>
      </c>
      <c r="J316" s="1">
        <v>23050</v>
      </c>
    </row>
    <row r="317" spans="1:10" x14ac:dyDescent="0.45">
      <c r="A317" s="4">
        <v>45708</v>
      </c>
      <c r="B317" t="s">
        <v>204</v>
      </c>
      <c r="C317" t="s">
        <v>468</v>
      </c>
      <c r="D317" t="s">
        <v>2012</v>
      </c>
      <c r="E317" t="s">
        <v>1568</v>
      </c>
      <c r="F317" t="s">
        <v>3812</v>
      </c>
      <c r="G317" t="s">
        <v>4734</v>
      </c>
      <c r="H317" s="1">
        <v>165361</v>
      </c>
      <c r="I317" s="1">
        <v>54761</v>
      </c>
      <c r="J317" s="1">
        <v>17690</v>
      </c>
    </row>
    <row r="318" spans="1:10" x14ac:dyDescent="0.45">
      <c r="A318" s="4">
        <v>45709</v>
      </c>
      <c r="B318" t="s">
        <v>227</v>
      </c>
      <c r="C318" t="s">
        <v>858</v>
      </c>
      <c r="D318" t="s">
        <v>2853</v>
      </c>
      <c r="E318" t="s">
        <v>915</v>
      </c>
      <c r="F318" t="s">
        <v>440</v>
      </c>
      <c r="G318" t="s">
        <v>4416</v>
      </c>
      <c r="H318" s="1">
        <v>169428</v>
      </c>
      <c r="I318" s="1">
        <v>57241</v>
      </c>
      <c r="J318" s="1">
        <v>20475</v>
      </c>
    </row>
    <row r="319" spans="1:10" x14ac:dyDescent="0.45">
      <c r="A319" s="4">
        <v>45710</v>
      </c>
      <c r="B319" t="s">
        <v>196</v>
      </c>
      <c r="C319" t="s">
        <v>1402</v>
      </c>
      <c r="D319" t="s">
        <v>2858</v>
      </c>
      <c r="E319" t="s">
        <v>3502</v>
      </c>
      <c r="F319" t="s">
        <v>3885</v>
      </c>
      <c r="G319" t="s">
        <v>4310</v>
      </c>
      <c r="H319" s="1">
        <v>167217</v>
      </c>
      <c r="I319" s="1">
        <v>63561</v>
      </c>
      <c r="J319" s="1">
        <v>19974</v>
      </c>
    </row>
    <row r="320" spans="1:10" x14ac:dyDescent="0.45">
      <c r="A320" s="4">
        <v>45722</v>
      </c>
      <c r="B320" t="s">
        <v>204</v>
      </c>
      <c r="C320" t="s">
        <v>1429</v>
      </c>
      <c r="D320">
        <v>10</v>
      </c>
      <c r="E320" t="s">
        <v>3508</v>
      </c>
      <c r="F320" t="s">
        <v>3887</v>
      </c>
      <c r="G320" t="s">
        <v>3137</v>
      </c>
      <c r="H320" s="1">
        <v>192822</v>
      </c>
      <c r="I320" s="1">
        <v>60684</v>
      </c>
      <c r="J320" s="1">
        <v>20347</v>
      </c>
    </row>
    <row r="321" spans="1:10" x14ac:dyDescent="0.45">
      <c r="A321" s="4">
        <v>45723</v>
      </c>
      <c r="B321" t="s">
        <v>162</v>
      </c>
      <c r="C321" t="s">
        <v>1433</v>
      </c>
      <c r="D321" t="s">
        <v>2034</v>
      </c>
      <c r="E321" t="s">
        <v>1578</v>
      </c>
      <c r="F321" t="s">
        <v>1186</v>
      </c>
      <c r="G321" t="s">
        <v>4749</v>
      </c>
      <c r="H321" s="1">
        <v>180520</v>
      </c>
      <c r="I321" s="1">
        <v>59915</v>
      </c>
      <c r="J321" s="1">
        <v>21672</v>
      </c>
    </row>
    <row r="322" spans="1:10" x14ac:dyDescent="0.45">
      <c r="A322" s="4">
        <v>45724</v>
      </c>
      <c r="B322" t="s">
        <v>156</v>
      </c>
      <c r="C322" t="s">
        <v>1432</v>
      </c>
      <c r="D322" t="s">
        <v>2864</v>
      </c>
      <c r="E322" t="s">
        <v>1976</v>
      </c>
      <c r="F322" t="s">
        <v>937</v>
      </c>
      <c r="G322" t="s">
        <v>4232</v>
      </c>
      <c r="H322" s="1">
        <v>172982</v>
      </c>
      <c r="I322" s="1">
        <v>49477</v>
      </c>
      <c r="J322" s="1">
        <v>16197</v>
      </c>
    </row>
    <row r="323" spans="1:10" x14ac:dyDescent="0.45">
      <c r="A323" s="4">
        <v>45725</v>
      </c>
      <c r="B323" t="s">
        <v>101</v>
      </c>
      <c r="C323" t="s">
        <v>1440</v>
      </c>
      <c r="D323" t="s">
        <v>2836</v>
      </c>
      <c r="E323" t="s">
        <v>1844</v>
      </c>
      <c r="F323" t="s">
        <v>3235</v>
      </c>
      <c r="G323" t="s">
        <v>4757</v>
      </c>
      <c r="H323" s="1">
        <v>144874</v>
      </c>
      <c r="I323" s="1">
        <v>47884</v>
      </c>
      <c r="J323" s="1">
        <v>19881</v>
      </c>
    </row>
    <row r="324" spans="1:10" x14ac:dyDescent="0.45">
      <c r="A324" s="4">
        <v>45726</v>
      </c>
      <c r="B324" t="s">
        <v>151</v>
      </c>
      <c r="C324" t="s">
        <v>442</v>
      </c>
      <c r="D324" t="s">
        <v>2870</v>
      </c>
      <c r="E324" t="s">
        <v>1698</v>
      </c>
      <c r="F324" t="s">
        <v>2059</v>
      </c>
      <c r="G324" t="s">
        <v>4458</v>
      </c>
      <c r="H324" s="1">
        <v>201126</v>
      </c>
      <c r="I324" s="1">
        <v>69481</v>
      </c>
      <c r="J324" s="1">
        <v>20012</v>
      </c>
    </row>
    <row r="325" spans="1:10" x14ac:dyDescent="0.45">
      <c r="A325" s="4">
        <v>45727</v>
      </c>
      <c r="B325" t="s">
        <v>146</v>
      </c>
      <c r="C325" t="s">
        <v>1444</v>
      </c>
      <c r="D325" t="s">
        <v>2813</v>
      </c>
      <c r="E325" t="s">
        <v>3463</v>
      </c>
      <c r="F325" t="s">
        <v>3497</v>
      </c>
      <c r="G325" t="s">
        <v>4763</v>
      </c>
      <c r="H325" s="1">
        <v>176564</v>
      </c>
      <c r="I325" s="1">
        <v>55916</v>
      </c>
      <c r="J325" s="1">
        <v>18310</v>
      </c>
    </row>
    <row r="326" spans="1:10" x14ac:dyDescent="0.45">
      <c r="A326" s="4">
        <v>45728</v>
      </c>
      <c r="B326" t="s">
        <v>137</v>
      </c>
      <c r="C326" t="s">
        <v>1449</v>
      </c>
      <c r="D326" t="s">
        <v>833</v>
      </c>
      <c r="E326" t="s">
        <v>664</v>
      </c>
      <c r="F326" t="s">
        <v>2029</v>
      </c>
      <c r="G326" t="s">
        <v>4767</v>
      </c>
      <c r="H326" s="1">
        <v>173348</v>
      </c>
      <c r="I326" s="1">
        <v>57331</v>
      </c>
      <c r="J326" s="1">
        <v>18287</v>
      </c>
    </row>
    <row r="327" spans="1:10" x14ac:dyDescent="0.45">
      <c r="A327" s="4">
        <v>45729</v>
      </c>
      <c r="B327" t="s">
        <v>241</v>
      </c>
      <c r="C327">
        <v>19</v>
      </c>
      <c r="D327" t="s">
        <v>543</v>
      </c>
      <c r="E327" t="s">
        <v>3514</v>
      </c>
      <c r="F327" t="s">
        <v>3892</v>
      </c>
      <c r="G327" t="s">
        <v>4771</v>
      </c>
      <c r="H327" s="1">
        <v>181007</v>
      </c>
      <c r="I327" s="1">
        <v>58504</v>
      </c>
      <c r="J327" s="1">
        <v>19434</v>
      </c>
    </row>
    <row r="328" spans="1:10" x14ac:dyDescent="0.45">
      <c r="A328" s="4">
        <v>45730</v>
      </c>
      <c r="B328" t="s">
        <v>137</v>
      </c>
      <c r="C328" t="s">
        <v>1456</v>
      </c>
      <c r="D328" t="s">
        <v>2878</v>
      </c>
      <c r="E328" t="s">
        <v>1254</v>
      </c>
      <c r="F328" t="s">
        <v>2953</v>
      </c>
      <c r="G328" t="s">
        <v>4463</v>
      </c>
      <c r="H328" s="1">
        <v>179537</v>
      </c>
      <c r="I328" s="1">
        <v>60282</v>
      </c>
      <c r="J328" s="1">
        <v>18869</v>
      </c>
    </row>
    <row r="329" spans="1:10" x14ac:dyDescent="0.45">
      <c r="A329" s="4">
        <v>45731</v>
      </c>
      <c r="B329" t="s">
        <v>151</v>
      </c>
      <c r="C329" t="s">
        <v>1462</v>
      </c>
      <c r="D329" t="s">
        <v>2560</v>
      </c>
      <c r="E329" t="s">
        <v>2062</v>
      </c>
      <c r="F329" t="s">
        <v>2750</v>
      </c>
      <c r="G329" t="s">
        <v>4777</v>
      </c>
      <c r="H329" s="1">
        <v>148038</v>
      </c>
      <c r="I329" s="1">
        <v>55677</v>
      </c>
      <c r="J329" s="1">
        <v>16258</v>
      </c>
    </row>
    <row r="330" spans="1:10" x14ac:dyDescent="0.45">
      <c r="A330" s="4">
        <v>45732</v>
      </c>
      <c r="B330" t="s">
        <v>185</v>
      </c>
      <c r="C330" t="s">
        <v>1467</v>
      </c>
      <c r="D330" t="s">
        <v>2882</v>
      </c>
      <c r="E330" t="s">
        <v>1052</v>
      </c>
      <c r="F330" t="s">
        <v>1879</v>
      </c>
      <c r="G330" t="s">
        <v>4779</v>
      </c>
      <c r="H330" s="1">
        <v>148058</v>
      </c>
      <c r="I330" s="1">
        <v>56760</v>
      </c>
      <c r="J330" s="1">
        <v>17385</v>
      </c>
    </row>
    <row r="331" spans="1:10" x14ac:dyDescent="0.45">
      <c r="A331" s="4">
        <v>45733</v>
      </c>
      <c r="B331" t="s">
        <v>96</v>
      </c>
      <c r="C331" t="s">
        <v>1437</v>
      </c>
      <c r="D331" t="s">
        <v>2885</v>
      </c>
      <c r="E331" t="s">
        <v>1077</v>
      </c>
      <c r="F331" t="s">
        <v>3093</v>
      </c>
      <c r="G331" t="s">
        <v>4783</v>
      </c>
      <c r="H331" s="1">
        <v>190250</v>
      </c>
      <c r="I331" s="1">
        <v>64815</v>
      </c>
      <c r="J331" s="1">
        <v>18327</v>
      </c>
    </row>
    <row r="332" spans="1:10" x14ac:dyDescent="0.45">
      <c r="A332" s="4">
        <v>45734</v>
      </c>
      <c r="B332" t="s">
        <v>88</v>
      </c>
      <c r="C332">
        <v>21</v>
      </c>
      <c r="D332" t="s">
        <v>2888</v>
      </c>
      <c r="E332" t="s">
        <v>2961</v>
      </c>
      <c r="F332" t="s">
        <v>2959</v>
      </c>
      <c r="G332" t="s">
        <v>4786</v>
      </c>
      <c r="H332" s="1">
        <v>175867</v>
      </c>
      <c r="I332" s="1">
        <v>59326</v>
      </c>
      <c r="J332" s="1">
        <v>18150</v>
      </c>
    </row>
    <row r="333" spans="1:10" x14ac:dyDescent="0.45">
      <c r="A333" s="4">
        <v>45735</v>
      </c>
      <c r="B333" t="s">
        <v>201</v>
      </c>
      <c r="C333" t="s">
        <v>1221</v>
      </c>
      <c r="D333" t="s">
        <v>2894</v>
      </c>
      <c r="E333" t="s">
        <v>1456</v>
      </c>
      <c r="F333" t="s">
        <v>1697</v>
      </c>
      <c r="G333" t="s">
        <v>4791</v>
      </c>
      <c r="H333" s="1">
        <v>174389</v>
      </c>
      <c r="I333" s="1">
        <v>61166</v>
      </c>
      <c r="J333" s="1">
        <v>20419</v>
      </c>
    </row>
    <row r="334" spans="1:10" x14ac:dyDescent="0.45">
      <c r="A334" s="4">
        <v>45736</v>
      </c>
      <c r="B334" t="s">
        <v>107</v>
      </c>
      <c r="C334" t="s">
        <v>444</v>
      </c>
      <c r="D334" t="s">
        <v>2897</v>
      </c>
      <c r="E334" t="s">
        <v>1688</v>
      </c>
      <c r="F334" t="s">
        <v>3119</v>
      </c>
      <c r="G334" t="s">
        <v>4276</v>
      </c>
      <c r="H334" s="1">
        <v>187262</v>
      </c>
      <c r="I334" s="1">
        <v>61559</v>
      </c>
      <c r="J334">
        <v>220</v>
      </c>
    </row>
    <row r="335" spans="1:10" x14ac:dyDescent="0.45">
      <c r="A335" s="4">
        <v>45737</v>
      </c>
      <c r="B335" t="s">
        <v>202</v>
      </c>
      <c r="C335" t="s">
        <v>887</v>
      </c>
      <c r="D335" t="s">
        <v>2902</v>
      </c>
      <c r="E335" t="s">
        <v>424</v>
      </c>
      <c r="F335" t="s">
        <v>2971</v>
      </c>
      <c r="G335" t="s">
        <v>4796</v>
      </c>
      <c r="H335" s="1">
        <v>205977</v>
      </c>
      <c r="I335" s="1">
        <v>67640</v>
      </c>
      <c r="J335" s="1">
        <v>20975</v>
      </c>
    </row>
    <row r="336" spans="1:10" x14ac:dyDescent="0.45">
      <c r="A336" s="4">
        <v>45738</v>
      </c>
      <c r="B336" t="s">
        <v>105</v>
      </c>
      <c r="C336" t="s">
        <v>899</v>
      </c>
      <c r="D336" t="s">
        <v>2906</v>
      </c>
      <c r="E336" t="s">
        <v>585</v>
      </c>
      <c r="F336" t="s">
        <v>2038</v>
      </c>
      <c r="G336" t="s">
        <v>4797</v>
      </c>
      <c r="H336" s="1">
        <v>190346</v>
      </c>
      <c r="I336" s="1">
        <v>66365</v>
      </c>
      <c r="J336" s="1">
        <v>18802</v>
      </c>
    </row>
    <row r="337" spans="1:10" x14ac:dyDescent="0.45">
      <c r="A337" s="4">
        <v>45739</v>
      </c>
      <c r="B337" t="s">
        <v>201</v>
      </c>
      <c r="C337" t="s">
        <v>876</v>
      </c>
      <c r="D337" t="s">
        <v>2232</v>
      </c>
      <c r="E337" t="s">
        <v>3415</v>
      </c>
      <c r="F337" t="s">
        <v>539</v>
      </c>
      <c r="G337" t="s">
        <v>4799</v>
      </c>
      <c r="H337" s="1">
        <v>156172</v>
      </c>
      <c r="I337" s="1">
        <v>58211</v>
      </c>
      <c r="J337" s="1">
        <v>18022</v>
      </c>
    </row>
    <row r="338" spans="1:10" x14ac:dyDescent="0.45">
      <c r="A338" s="4">
        <v>45740</v>
      </c>
      <c r="B338" t="s">
        <v>201</v>
      </c>
      <c r="C338" t="s">
        <v>1480</v>
      </c>
      <c r="D338">
        <v>45</v>
      </c>
      <c r="E338" t="s">
        <v>2283</v>
      </c>
      <c r="F338" t="s">
        <v>3898</v>
      </c>
      <c r="G338" t="s">
        <v>4273</v>
      </c>
      <c r="H338" s="1">
        <v>166824</v>
      </c>
      <c r="I338" s="1">
        <v>55738</v>
      </c>
      <c r="J338" s="1">
        <v>21290</v>
      </c>
    </row>
    <row r="339" spans="1:10" x14ac:dyDescent="0.45">
      <c r="A339" s="4">
        <v>45741</v>
      </c>
      <c r="B339" t="s">
        <v>202</v>
      </c>
      <c r="C339" t="s">
        <v>1482</v>
      </c>
      <c r="D339">
        <v>44</v>
      </c>
      <c r="E339" t="s">
        <v>3243</v>
      </c>
      <c r="F339" t="s">
        <v>1662</v>
      </c>
      <c r="G339" t="s">
        <v>4517</v>
      </c>
      <c r="H339" s="1">
        <v>214826</v>
      </c>
      <c r="I339" s="1">
        <v>69424</v>
      </c>
      <c r="J339" s="1">
        <v>30252</v>
      </c>
    </row>
    <row r="340" spans="1:10" x14ac:dyDescent="0.45">
      <c r="A340" s="4">
        <v>45742</v>
      </c>
      <c r="B340" t="s">
        <v>202</v>
      </c>
      <c r="C340" t="s">
        <v>873</v>
      </c>
      <c r="D340" t="s">
        <v>2920</v>
      </c>
      <c r="E340" t="s">
        <v>829</v>
      </c>
      <c r="F340" t="s">
        <v>407</v>
      </c>
      <c r="G340" t="s">
        <v>4810</v>
      </c>
      <c r="H340" s="1">
        <v>201525</v>
      </c>
      <c r="I340" s="1">
        <v>70627</v>
      </c>
      <c r="J340" s="1">
        <v>29221</v>
      </c>
    </row>
    <row r="341" spans="1:10" x14ac:dyDescent="0.45">
      <c r="A341" s="4">
        <v>45743</v>
      </c>
      <c r="B341" t="s">
        <v>202</v>
      </c>
      <c r="C341" t="s">
        <v>615</v>
      </c>
      <c r="D341" t="s">
        <v>2923</v>
      </c>
      <c r="E341" t="s">
        <v>3047</v>
      </c>
      <c r="F341" t="s">
        <v>1400</v>
      </c>
      <c r="G341" t="s">
        <v>4815</v>
      </c>
      <c r="H341" s="1">
        <v>204732</v>
      </c>
      <c r="I341" s="1">
        <v>73783</v>
      </c>
      <c r="J341" s="1">
        <v>29395</v>
      </c>
    </row>
    <row r="342" spans="1:10" x14ac:dyDescent="0.45">
      <c r="A342" s="4">
        <v>45744</v>
      </c>
      <c r="B342" t="s">
        <v>102</v>
      </c>
      <c r="C342" t="s">
        <v>889</v>
      </c>
      <c r="D342" t="s">
        <v>2927</v>
      </c>
      <c r="E342" t="s">
        <v>591</v>
      </c>
      <c r="F342" t="s">
        <v>1547</v>
      </c>
      <c r="G342" t="s">
        <v>4818</v>
      </c>
      <c r="H342" s="1">
        <v>163892</v>
      </c>
      <c r="I342" s="1">
        <v>76679</v>
      </c>
      <c r="J342" s="1">
        <v>22383</v>
      </c>
    </row>
    <row r="343" spans="1:10" x14ac:dyDescent="0.45">
      <c r="A343" s="4">
        <v>45745</v>
      </c>
      <c r="B343" t="s">
        <v>185</v>
      </c>
      <c r="C343" t="s">
        <v>1489</v>
      </c>
      <c r="D343" t="s">
        <v>2932</v>
      </c>
      <c r="E343" t="s">
        <v>2070</v>
      </c>
      <c r="F343" t="s">
        <v>1967</v>
      </c>
      <c r="G343" t="s">
        <v>4820</v>
      </c>
      <c r="H343" s="1">
        <v>184599</v>
      </c>
      <c r="I343" s="1">
        <v>73964</v>
      </c>
      <c r="J343" s="1">
        <v>22520</v>
      </c>
    </row>
    <row r="344" spans="1:10" x14ac:dyDescent="0.45">
      <c r="A344" s="4">
        <v>45746</v>
      </c>
      <c r="B344" t="s">
        <v>96</v>
      </c>
      <c r="C344" t="s">
        <v>1266</v>
      </c>
      <c r="D344" t="s">
        <v>2936</v>
      </c>
      <c r="E344" t="s">
        <v>1322</v>
      </c>
      <c r="F344" t="s">
        <v>1338</v>
      </c>
      <c r="G344" t="s">
        <v>4825</v>
      </c>
      <c r="H344" s="1">
        <v>163867</v>
      </c>
      <c r="I344" s="1">
        <v>62384</v>
      </c>
      <c r="J344" s="1">
        <v>19170</v>
      </c>
    </row>
    <row r="345" spans="1:10" x14ac:dyDescent="0.45">
      <c r="A345" s="4">
        <v>45747</v>
      </c>
      <c r="B345" t="s">
        <v>102</v>
      </c>
      <c r="C345" t="s">
        <v>1485</v>
      </c>
      <c r="D345" t="s">
        <v>2939</v>
      </c>
      <c r="E345" t="s">
        <v>349</v>
      </c>
      <c r="F345" t="s">
        <v>726</v>
      </c>
      <c r="G345" t="s">
        <v>4829</v>
      </c>
      <c r="H345" s="1">
        <v>97847</v>
      </c>
      <c r="I345" s="1">
        <v>65566</v>
      </c>
      <c r="J345" s="1">
        <v>22601</v>
      </c>
    </row>
    <row r="346" spans="1:10" x14ac:dyDescent="0.45">
      <c r="A346" s="4">
        <v>45748</v>
      </c>
      <c r="B346" t="s">
        <v>96</v>
      </c>
      <c r="C346" t="s">
        <v>1492</v>
      </c>
      <c r="D346" t="s">
        <v>2942</v>
      </c>
      <c r="E346" t="s">
        <v>729</v>
      </c>
      <c r="F346" t="s">
        <v>723</v>
      </c>
      <c r="G346" t="s">
        <v>4823</v>
      </c>
      <c r="H346" s="1">
        <v>129546</v>
      </c>
      <c r="I346" s="1">
        <v>79469</v>
      </c>
      <c r="J346" s="1">
        <v>23479</v>
      </c>
    </row>
    <row r="347" spans="1:10" x14ac:dyDescent="0.45">
      <c r="A347" s="4">
        <v>45755</v>
      </c>
      <c r="B347" t="s">
        <v>149</v>
      </c>
      <c r="C347" t="s">
        <v>1152</v>
      </c>
      <c r="D347" t="s">
        <v>2945</v>
      </c>
      <c r="E347" t="s">
        <v>2788</v>
      </c>
      <c r="F347" t="s">
        <v>2782</v>
      </c>
      <c r="G347" t="s">
        <v>4833</v>
      </c>
      <c r="H347" s="1">
        <v>174410</v>
      </c>
      <c r="I347" s="1">
        <v>67730</v>
      </c>
      <c r="J347" s="1">
        <v>30749</v>
      </c>
    </row>
    <row r="348" spans="1:10" x14ac:dyDescent="0.45">
      <c r="A348" s="4">
        <v>45756</v>
      </c>
      <c r="B348" t="s">
        <v>149</v>
      </c>
      <c r="C348" t="s">
        <v>1327</v>
      </c>
      <c r="D348" t="s">
        <v>1707</v>
      </c>
      <c r="E348" t="s">
        <v>1156</v>
      </c>
      <c r="F348" t="s">
        <v>3264</v>
      </c>
      <c r="G348" t="s">
        <v>4570</v>
      </c>
      <c r="H348" s="1">
        <v>209805</v>
      </c>
      <c r="I348" s="1">
        <v>61618</v>
      </c>
      <c r="J348" s="1">
        <v>29040</v>
      </c>
    </row>
    <row r="349" spans="1:10" x14ac:dyDescent="0.45">
      <c r="A349" s="4">
        <v>45757</v>
      </c>
      <c r="B349" t="s">
        <v>147</v>
      </c>
      <c r="C349" t="s">
        <v>1496</v>
      </c>
      <c r="D349" t="s">
        <v>1362</v>
      </c>
      <c r="E349" t="s">
        <v>2121</v>
      </c>
      <c r="F349" t="s">
        <v>2512</v>
      </c>
      <c r="G349" t="s">
        <v>4838</v>
      </c>
      <c r="H349" s="1">
        <v>212595</v>
      </c>
      <c r="I349" s="1">
        <v>67458</v>
      </c>
      <c r="J349" s="1">
        <v>25649</v>
      </c>
    </row>
    <row r="350" spans="1:10" x14ac:dyDescent="0.45">
      <c r="A350" s="4">
        <v>45759</v>
      </c>
      <c r="B350" t="s">
        <v>145</v>
      </c>
      <c r="C350" t="s">
        <v>1498</v>
      </c>
      <c r="D350" t="s">
        <v>2949</v>
      </c>
      <c r="E350">
        <v>24</v>
      </c>
      <c r="F350" t="s">
        <v>490</v>
      </c>
      <c r="G350" t="s">
        <v>4840</v>
      </c>
      <c r="H350" s="1">
        <v>206192</v>
      </c>
      <c r="I350" s="1">
        <v>71588</v>
      </c>
      <c r="J350" s="1">
        <v>31179</v>
      </c>
    </row>
    <row r="351" spans="1:10" x14ac:dyDescent="0.45">
      <c r="A351" s="4">
        <v>45760</v>
      </c>
      <c r="B351" t="s">
        <v>140</v>
      </c>
      <c r="C351" t="s">
        <v>1500</v>
      </c>
      <c r="D351" t="s">
        <v>1491</v>
      </c>
      <c r="E351" t="s">
        <v>1148</v>
      </c>
      <c r="F351" t="s">
        <v>1100</v>
      </c>
      <c r="G351" t="s">
        <v>4843</v>
      </c>
      <c r="H351" s="1">
        <v>165140</v>
      </c>
      <c r="I351" s="1">
        <v>65678</v>
      </c>
      <c r="J351" s="1">
        <v>22322</v>
      </c>
    </row>
    <row r="352" spans="1:10" x14ac:dyDescent="0.45">
      <c r="A352" s="4">
        <v>45761</v>
      </c>
      <c r="B352" t="s">
        <v>137</v>
      </c>
      <c r="C352" t="s">
        <v>1503</v>
      </c>
      <c r="D352" t="s">
        <v>1268</v>
      </c>
      <c r="E352" t="s">
        <v>1935</v>
      </c>
      <c r="F352" t="s">
        <v>1200</v>
      </c>
      <c r="G352" t="s">
        <v>4846</v>
      </c>
      <c r="H352" s="1">
        <v>212533</v>
      </c>
      <c r="I352" s="1">
        <v>63908</v>
      </c>
      <c r="J352" s="1">
        <v>32144</v>
      </c>
    </row>
    <row r="353" spans="1:10" x14ac:dyDescent="0.45">
      <c r="A353" s="4">
        <v>45762</v>
      </c>
      <c r="B353" t="s">
        <v>145</v>
      </c>
      <c r="C353" t="s">
        <v>1507</v>
      </c>
      <c r="D353" t="s">
        <v>896</v>
      </c>
      <c r="E353" t="s">
        <v>1156</v>
      </c>
      <c r="F353" t="s">
        <v>1470</v>
      </c>
      <c r="G353" t="s">
        <v>4128</v>
      </c>
      <c r="H353" s="1">
        <v>187615</v>
      </c>
      <c r="I353" s="1">
        <v>60192</v>
      </c>
      <c r="J353" s="1">
        <v>36713</v>
      </c>
    </row>
    <row r="354" spans="1:10" x14ac:dyDescent="0.45">
      <c r="A354" s="4">
        <v>45763</v>
      </c>
      <c r="B354" t="s">
        <v>137</v>
      </c>
      <c r="C354" t="s">
        <v>1511</v>
      </c>
      <c r="D354" t="s">
        <v>1246</v>
      </c>
      <c r="E354" t="s">
        <v>1205</v>
      </c>
      <c r="F354" t="s">
        <v>892</v>
      </c>
      <c r="G354" t="s">
        <v>4854</v>
      </c>
      <c r="H354" s="1">
        <v>204878</v>
      </c>
      <c r="I354" s="1">
        <v>60960</v>
      </c>
      <c r="J354" s="1">
        <v>36731</v>
      </c>
    </row>
    <row r="355" spans="1:10" x14ac:dyDescent="0.45">
      <c r="A355" s="4">
        <v>45764</v>
      </c>
      <c r="B355" t="s">
        <v>137</v>
      </c>
      <c r="C355" t="s">
        <v>1515</v>
      </c>
      <c r="D355" t="s">
        <v>2723</v>
      </c>
      <c r="E355" t="s">
        <v>2919</v>
      </c>
      <c r="F355">
        <v>48</v>
      </c>
      <c r="G355" t="s">
        <v>4859</v>
      </c>
      <c r="H355" s="1">
        <v>234594</v>
      </c>
      <c r="I355" s="1">
        <v>69578</v>
      </c>
      <c r="J355" s="1">
        <v>27970</v>
      </c>
    </row>
    <row r="356" spans="1:10" x14ac:dyDescent="0.45">
      <c r="A356" s="4">
        <v>45765</v>
      </c>
      <c r="B356" t="s">
        <v>149</v>
      </c>
      <c r="C356" t="s">
        <v>506</v>
      </c>
      <c r="D356" t="s">
        <v>367</v>
      </c>
      <c r="E356" t="s">
        <v>333</v>
      </c>
      <c r="F356" t="s">
        <v>3909</v>
      </c>
      <c r="G356" t="s">
        <v>4864</v>
      </c>
      <c r="H356" s="1">
        <v>145934</v>
      </c>
      <c r="I356" s="1">
        <v>65419</v>
      </c>
      <c r="J356" s="1">
        <v>24478</v>
      </c>
    </row>
    <row r="357" spans="1:10" x14ac:dyDescent="0.45">
      <c r="A357" s="4">
        <v>45766</v>
      </c>
      <c r="B357" t="s">
        <v>146</v>
      </c>
      <c r="C357" t="s">
        <v>840</v>
      </c>
      <c r="D357" t="s">
        <v>1073</v>
      </c>
      <c r="E357" t="s">
        <v>1252</v>
      </c>
      <c r="F357" t="s">
        <v>1489</v>
      </c>
      <c r="G357" t="s">
        <v>4869</v>
      </c>
      <c r="H357" s="1">
        <v>195506</v>
      </c>
      <c r="I357" s="1">
        <v>68527</v>
      </c>
      <c r="J357" s="1">
        <v>32761</v>
      </c>
    </row>
    <row r="358" spans="1:10" x14ac:dyDescent="0.45">
      <c r="A358" s="4">
        <v>45767</v>
      </c>
      <c r="B358" t="s">
        <v>147</v>
      </c>
      <c r="C358" t="s">
        <v>1522</v>
      </c>
      <c r="D358" t="s">
        <v>1075</v>
      </c>
      <c r="E358" t="s">
        <v>1742</v>
      </c>
      <c r="F358" t="s">
        <v>1983</v>
      </c>
      <c r="G358" t="s">
        <v>4874</v>
      </c>
      <c r="H358" s="1">
        <v>165297</v>
      </c>
      <c r="I358" s="1">
        <v>67793</v>
      </c>
      <c r="J358" s="1">
        <v>28484</v>
      </c>
    </row>
    <row r="359" spans="1:10" x14ac:dyDescent="0.45">
      <c r="A359" s="4">
        <v>45768</v>
      </c>
      <c r="B359" t="s">
        <v>148</v>
      </c>
      <c r="C359" t="s">
        <v>1527</v>
      </c>
      <c r="D359" t="s">
        <v>2761</v>
      </c>
      <c r="E359" t="s">
        <v>3348</v>
      </c>
      <c r="F359" t="s">
        <v>1067</v>
      </c>
      <c r="G359" t="s">
        <v>3003</v>
      </c>
      <c r="H359" s="1">
        <v>218604</v>
      </c>
      <c r="I359" s="1">
        <v>63044</v>
      </c>
      <c r="J359" s="1">
        <v>33915</v>
      </c>
    </row>
    <row r="360" spans="1:10" x14ac:dyDescent="0.45">
      <c r="A360" s="4">
        <v>45769</v>
      </c>
      <c r="B360" t="s">
        <v>137</v>
      </c>
      <c r="C360" t="s">
        <v>1532</v>
      </c>
      <c r="D360" t="s">
        <v>1371</v>
      </c>
      <c r="E360" t="s">
        <v>1868</v>
      </c>
      <c r="F360" t="s">
        <v>3912</v>
      </c>
      <c r="G360" t="s">
        <v>4882</v>
      </c>
      <c r="H360" s="1">
        <v>180965</v>
      </c>
      <c r="I360" s="1">
        <v>56032</v>
      </c>
      <c r="J360" s="1">
        <v>37059</v>
      </c>
    </row>
    <row r="361" spans="1:10" x14ac:dyDescent="0.45">
      <c r="A361" s="4">
        <v>45770</v>
      </c>
      <c r="B361" t="s">
        <v>110</v>
      </c>
      <c r="C361" t="s">
        <v>849</v>
      </c>
      <c r="D361" t="s">
        <v>2959</v>
      </c>
      <c r="E361" t="s">
        <v>3163</v>
      </c>
      <c r="F361" t="s">
        <v>1430</v>
      </c>
      <c r="G361" t="s">
        <v>4886</v>
      </c>
      <c r="H361" s="1">
        <v>177514</v>
      </c>
      <c r="I361" s="1">
        <v>58541</v>
      </c>
      <c r="J361" s="1">
        <v>36650</v>
      </c>
    </row>
    <row r="362" spans="1:10" x14ac:dyDescent="0.45">
      <c r="A362" s="4">
        <v>45771</v>
      </c>
      <c r="B362" t="s">
        <v>110</v>
      </c>
      <c r="C362" t="s">
        <v>484</v>
      </c>
      <c r="D362" t="s">
        <v>2389</v>
      </c>
      <c r="E362" t="s">
        <v>1366</v>
      </c>
      <c r="F362" t="s">
        <v>3235</v>
      </c>
      <c r="G362" t="s">
        <v>4890</v>
      </c>
      <c r="H362" s="1">
        <v>167345</v>
      </c>
      <c r="I362" s="1">
        <v>56418</v>
      </c>
      <c r="J362" s="1">
        <v>37511</v>
      </c>
    </row>
    <row r="363" spans="1:10" x14ac:dyDescent="0.45">
      <c r="A363" s="4">
        <v>45772</v>
      </c>
      <c r="B363" t="s">
        <v>137</v>
      </c>
      <c r="C363" t="s">
        <v>1541</v>
      </c>
      <c r="D363" t="s">
        <v>1649</v>
      </c>
      <c r="E363" t="s">
        <v>3536</v>
      </c>
      <c r="F363" t="s">
        <v>3268</v>
      </c>
      <c r="G363" t="s">
        <v>4895</v>
      </c>
      <c r="H363" s="1">
        <v>207052</v>
      </c>
      <c r="I363" s="1">
        <v>62992</v>
      </c>
      <c r="J363" s="1">
        <v>33344</v>
      </c>
    </row>
    <row r="364" spans="1:10" x14ac:dyDescent="0.45">
      <c r="A364" s="4">
        <v>45773</v>
      </c>
      <c r="B364" t="s">
        <v>137</v>
      </c>
      <c r="C364" t="s">
        <v>493</v>
      </c>
      <c r="D364" t="s">
        <v>1718</v>
      </c>
      <c r="E364" t="s">
        <v>2803</v>
      </c>
      <c r="F364" t="s">
        <v>3669</v>
      </c>
      <c r="G364" t="s">
        <v>4900</v>
      </c>
      <c r="H364" s="1">
        <v>205296</v>
      </c>
      <c r="I364" s="1">
        <v>67873</v>
      </c>
      <c r="J364" s="1">
        <v>32995</v>
      </c>
    </row>
    <row r="365" spans="1:10" x14ac:dyDescent="0.45">
      <c r="A365" s="4">
        <v>45774</v>
      </c>
      <c r="B365" t="s">
        <v>140</v>
      </c>
      <c r="C365" t="s">
        <v>1544</v>
      </c>
      <c r="D365" t="s">
        <v>2389</v>
      </c>
      <c r="E365" t="s">
        <v>1065</v>
      </c>
      <c r="F365" t="s">
        <v>340</v>
      </c>
      <c r="G365" t="s">
        <v>4905</v>
      </c>
      <c r="H365" s="1">
        <v>145211</v>
      </c>
      <c r="I365" s="1">
        <v>60370</v>
      </c>
      <c r="J365" s="1">
        <v>30064</v>
      </c>
    </row>
    <row r="366" spans="1:10" x14ac:dyDescent="0.45">
      <c r="A366" s="4">
        <v>45775</v>
      </c>
      <c r="B366" t="s">
        <v>111</v>
      </c>
      <c r="C366" t="s">
        <v>1546</v>
      </c>
      <c r="D366" t="s">
        <v>367</v>
      </c>
      <c r="E366" t="s">
        <v>1887</v>
      </c>
      <c r="F366" t="s">
        <v>3913</v>
      </c>
      <c r="G366" t="s">
        <v>4910</v>
      </c>
      <c r="H366" s="1">
        <v>170217</v>
      </c>
      <c r="I366" s="1">
        <v>59461</v>
      </c>
      <c r="J366" s="1">
        <v>35760</v>
      </c>
    </row>
    <row r="367" spans="1:10" x14ac:dyDescent="0.45">
      <c r="A367" s="4">
        <v>45776</v>
      </c>
      <c r="B367" t="s">
        <v>140</v>
      </c>
      <c r="C367" t="s">
        <v>847</v>
      </c>
      <c r="D367" t="s">
        <v>2730</v>
      </c>
      <c r="E367" t="s">
        <v>1730</v>
      </c>
      <c r="F367" t="s">
        <v>2401</v>
      </c>
      <c r="G367" t="s">
        <v>4915</v>
      </c>
      <c r="H367" s="1">
        <v>156249</v>
      </c>
      <c r="I367" s="1">
        <v>53782</v>
      </c>
      <c r="J367" s="1">
        <v>34912</v>
      </c>
    </row>
    <row r="368" spans="1:10" x14ac:dyDescent="0.45">
      <c r="A368" s="4">
        <v>45777</v>
      </c>
      <c r="B368" t="s">
        <v>149</v>
      </c>
      <c r="C368" t="s">
        <v>1553</v>
      </c>
      <c r="D368" t="s">
        <v>1655</v>
      </c>
      <c r="E368" t="s">
        <v>652</v>
      </c>
      <c r="F368" t="s">
        <v>3655</v>
      </c>
      <c r="G368" t="s">
        <v>4920</v>
      </c>
      <c r="H368" s="1">
        <v>188470</v>
      </c>
      <c r="I368" s="1">
        <v>60428</v>
      </c>
      <c r="J368" s="1">
        <v>36610</v>
      </c>
    </row>
    <row r="369" spans="1:10" x14ac:dyDescent="0.45">
      <c r="A369" s="4">
        <v>45778</v>
      </c>
      <c r="B369" t="s">
        <v>145</v>
      </c>
      <c r="C369" t="s">
        <v>563</v>
      </c>
      <c r="D369" t="s">
        <v>1370</v>
      </c>
      <c r="E369" t="s">
        <v>2560</v>
      </c>
      <c r="F369" t="s">
        <v>1978</v>
      </c>
      <c r="G369" t="s">
        <v>4924</v>
      </c>
      <c r="H369" s="1">
        <v>159958</v>
      </c>
      <c r="I369" s="1">
        <v>57362</v>
      </c>
      <c r="J369" s="1">
        <v>32350</v>
      </c>
    </row>
    <row r="370" spans="1:10" x14ac:dyDescent="0.45">
      <c r="A370" s="4">
        <v>45779</v>
      </c>
      <c r="B370" t="s">
        <v>137</v>
      </c>
      <c r="C370" t="s">
        <v>1266</v>
      </c>
      <c r="D370" t="s">
        <v>429</v>
      </c>
      <c r="E370" t="s">
        <v>3493</v>
      </c>
      <c r="F370" t="s">
        <v>3914</v>
      </c>
      <c r="G370" t="s">
        <v>4929</v>
      </c>
      <c r="H370" s="1">
        <v>211507</v>
      </c>
      <c r="I370" s="1">
        <v>62265</v>
      </c>
      <c r="J370" s="1">
        <v>29356</v>
      </c>
    </row>
    <row r="371" spans="1:10" x14ac:dyDescent="0.45">
      <c r="A371" s="4">
        <v>45780</v>
      </c>
      <c r="B371" t="s">
        <v>145</v>
      </c>
      <c r="C371" t="s">
        <v>1235</v>
      </c>
      <c r="D371" t="s">
        <v>445</v>
      </c>
      <c r="E371" t="s">
        <v>2315</v>
      </c>
      <c r="F371" t="s">
        <v>2377</v>
      </c>
      <c r="G371" t="s">
        <v>4933</v>
      </c>
      <c r="H371" s="1">
        <v>203595</v>
      </c>
      <c r="I371" s="1">
        <v>66878</v>
      </c>
      <c r="J371" s="1">
        <v>31330</v>
      </c>
    </row>
    <row r="372" spans="1:10" x14ac:dyDescent="0.45">
      <c r="A372" s="4">
        <v>45781</v>
      </c>
      <c r="B372" t="s">
        <v>145</v>
      </c>
      <c r="C372" t="s">
        <v>1563</v>
      </c>
      <c r="D372" t="s">
        <v>916</v>
      </c>
      <c r="E372" t="s">
        <v>2975</v>
      </c>
      <c r="F372" t="s">
        <v>3156</v>
      </c>
      <c r="G372" t="s">
        <v>4936</v>
      </c>
      <c r="H372" s="1">
        <v>157863</v>
      </c>
      <c r="I372" s="1">
        <v>60902</v>
      </c>
      <c r="J372" s="1">
        <v>28945</v>
      </c>
    </row>
    <row r="373" spans="1:10" x14ac:dyDescent="0.45">
      <c r="A373" s="4">
        <v>45782</v>
      </c>
      <c r="B373" t="s">
        <v>132</v>
      </c>
      <c r="C373" t="s">
        <v>1223</v>
      </c>
      <c r="D373" t="s">
        <v>1244</v>
      </c>
      <c r="E373" t="s">
        <v>2869</v>
      </c>
      <c r="F373" t="s">
        <v>3916</v>
      </c>
      <c r="G373" t="s">
        <v>4939</v>
      </c>
      <c r="H373" s="1">
        <v>210552</v>
      </c>
      <c r="I373" s="1">
        <v>62416</v>
      </c>
      <c r="J373" s="1">
        <v>32707</v>
      </c>
    </row>
    <row r="374" spans="1:10" x14ac:dyDescent="0.45">
      <c r="A374" s="4">
        <v>45783</v>
      </c>
      <c r="B374" t="s">
        <v>134</v>
      </c>
      <c r="C374" t="s">
        <v>1566</v>
      </c>
      <c r="D374" t="s">
        <v>2968</v>
      </c>
      <c r="E374" t="s">
        <v>860</v>
      </c>
      <c r="F374" t="s">
        <v>3495</v>
      </c>
      <c r="G374" t="s">
        <v>4943</v>
      </c>
      <c r="H374" s="1">
        <v>194985</v>
      </c>
      <c r="I374" s="1">
        <v>59741</v>
      </c>
      <c r="J374" s="1">
        <v>32130</v>
      </c>
    </row>
    <row r="375" spans="1:10" x14ac:dyDescent="0.45">
      <c r="A375" s="4">
        <v>45784</v>
      </c>
      <c r="B375" t="s">
        <v>117</v>
      </c>
      <c r="C375" t="s">
        <v>875</v>
      </c>
      <c r="D375" t="s">
        <v>2970</v>
      </c>
      <c r="E375" t="s">
        <v>914</v>
      </c>
      <c r="F375" t="s">
        <v>3813</v>
      </c>
      <c r="G375" t="s">
        <v>4947</v>
      </c>
      <c r="H375" s="1">
        <v>142455</v>
      </c>
      <c r="I375" s="1">
        <v>49648</v>
      </c>
      <c r="J375" s="1">
        <v>34193</v>
      </c>
    </row>
    <row r="376" spans="1:10" x14ac:dyDescent="0.45">
      <c r="A376" s="4">
        <v>45785</v>
      </c>
      <c r="B376" t="s">
        <v>222</v>
      </c>
      <c r="C376">
        <v>20</v>
      </c>
      <c r="D376" t="s">
        <v>1995</v>
      </c>
      <c r="E376" t="s">
        <v>413</v>
      </c>
      <c r="F376" t="s">
        <v>1396</v>
      </c>
      <c r="G376" t="s">
        <v>4951</v>
      </c>
      <c r="H376" s="1">
        <v>189646</v>
      </c>
      <c r="I376" s="1">
        <v>64368</v>
      </c>
      <c r="J376" s="1">
        <v>34218</v>
      </c>
    </row>
    <row r="377" spans="1:10" x14ac:dyDescent="0.45">
      <c r="A377" s="4">
        <v>45786</v>
      </c>
      <c r="B377" t="s">
        <v>245</v>
      </c>
      <c r="C377" t="s">
        <v>1203</v>
      </c>
      <c r="D377" t="s">
        <v>2975</v>
      </c>
      <c r="E377" t="s">
        <v>3549</v>
      </c>
      <c r="F377" t="s">
        <v>1399</v>
      </c>
      <c r="G377" t="s">
        <v>4956</v>
      </c>
      <c r="H377" s="1">
        <v>201199</v>
      </c>
      <c r="I377" s="1">
        <v>66872</v>
      </c>
      <c r="J377" s="1">
        <v>30650</v>
      </c>
    </row>
    <row r="378" spans="1:10" x14ac:dyDescent="0.45">
      <c r="A378" s="4">
        <v>45787</v>
      </c>
      <c r="B378" t="s">
        <v>248</v>
      </c>
      <c r="C378" t="s">
        <v>1424</v>
      </c>
      <c r="D378" t="s">
        <v>2862</v>
      </c>
      <c r="E378" t="s">
        <v>573</v>
      </c>
      <c r="F378" t="s">
        <v>399</v>
      </c>
      <c r="G378" t="s">
        <v>4959</v>
      </c>
      <c r="H378" s="1">
        <v>192438</v>
      </c>
      <c r="I378" s="1">
        <v>68189</v>
      </c>
      <c r="J378" s="1">
        <v>33998</v>
      </c>
    </row>
    <row r="379" spans="1:10" x14ac:dyDescent="0.45">
      <c r="A379" s="4">
        <v>45788</v>
      </c>
      <c r="B379" t="s">
        <v>134</v>
      </c>
      <c r="C379" t="s">
        <v>1573</v>
      </c>
      <c r="D379" t="s">
        <v>2983</v>
      </c>
      <c r="E379" t="s">
        <v>1857</v>
      </c>
      <c r="F379" t="s">
        <v>1093</v>
      </c>
      <c r="G379" t="s">
        <v>4961</v>
      </c>
      <c r="H379" s="1">
        <v>148994</v>
      </c>
      <c r="I379" s="1">
        <v>68614</v>
      </c>
      <c r="J379" s="1">
        <v>30067</v>
      </c>
    </row>
    <row r="380" spans="1:10" x14ac:dyDescent="0.45">
      <c r="A380" s="4">
        <v>45789</v>
      </c>
      <c r="B380" t="s">
        <v>251</v>
      </c>
      <c r="C380" t="s">
        <v>1576</v>
      </c>
      <c r="D380" t="s">
        <v>2180</v>
      </c>
      <c r="E380" t="s">
        <v>3054</v>
      </c>
      <c r="F380" t="s">
        <v>2087</v>
      </c>
      <c r="G380" t="s">
        <v>4965</v>
      </c>
      <c r="H380" s="1">
        <v>138902</v>
      </c>
      <c r="I380" s="1">
        <v>64838</v>
      </c>
      <c r="J380" s="1">
        <v>30821</v>
      </c>
    </row>
    <row r="381" spans="1:10" x14ac:dyDescent="0.45">
      <c r="A381" s="4">
        <v>45790</v>
      </c>
      <c r="B381" t="s">
        <v>251</v>
      </c>
      <c r="C381" t="s">
        <v>1579</v>
      </c>
      <c r="D381" t="s">
        <v>1197</v>
      </c>
      <c r="E381" t="s">
        <v>3551</v>
      </c>
      <c r="F381" t="s">
        <v>2086</v>
      </c>
      <c r="G381" t="s">
        <v>4968</v>
      </c>
      <c r="H381" s="1">
        <v>160646</v>
      </c>
      <c r="I381" s="1">
        <v>64060</v>
      </c>
      <c r="J381" s="1">
        <v>32306</v>
      </c>
    </row>
    <row r="382" spans="1:10" x14ac:dyDescent="0.45">
      <c r="A382" s="4">
        <v>45791</v>
      </c>
      <c r="B382" t="s">
        <v>119</v>
      </c>
      <c r="C382" t="s">
        <v>1581</v>
      </c>
      <c r="D382" t="s">
        <v>438</v>
      </c>
      <c r="E382" t="s">
        <v>3089</v>
      </c>
      <c r="F382" t="s">
        <v>3873</v>
      </c>
      <c r="G382" t="s">
        <v>4520</v>
      </c>
      <c r="H382" s="1">
        <v>188811</v>
      </c>
      <c r="I382" s="1">
        <v>60802</v>
      </c>
      <c r="J382" s="1">
        <v>30192</v>
      </c>
    </row>
    <row r="383" spans="1:10" x14ac:dyDescent="0.45">
      <c r="A383" s="4">
        <v>45792</v>
      </c>
      <c r="B383" t="s">
        <v>142</v>
      </c>
      <c r="C383" t="s">
        <v>1570</v>
      </c>
      <c r="D383" t="s">
        <v>1578</v>
      </c>
      <c r="E383" t="s">
        <v>3552</v>
      </c>
      <c r="F383" t="s">
        <v>3922</v>
      </c>
      <c r="G383" t="s">
        <v>3960</v>
      </c>
      <c r="H383" s="1">
        <v>155264</v>
      </c>
      <c r="I383" s="1">
        <v>56312</v>
      </c>
      <c r="J383" s="1">
        <v>26149</v>
      </c>
    </row>
    <row r="384" spans="1:10" x14ac:dyDescent="0.45">
      <c r="A384" s="4">
        <v>45793</v>
      </c>
      <c r="B384" t="s">
        <v>11</v>
      </c>
      <c r="C384" t="s">
        <v>1091</v>
      </c>
      <c r="D384" t="s">
        <v>1779</v>
      </c>
      <c r="E384" t="s">
        <v>1442</v>
      </c>
      <c r="F384" t="s">
        <v>1972</v>
      </c>
      <c r="G384" t="s">
        <v>4596</v>
      </c>
      <c r="H384" s="1">
        <v>179497</v>
      </c>
      <c r="I384" s="1">
        <v>63153</v>
      </c>
      <c r="J384" s="1">
        <v>30692</v>
      </c>
    </row>
    <row r="385" spans="1:10" x14ac:dyDescent="0.45">
      <c r="A385" s="4">
        <v>45794</v>
      </c>
      <c r="B385" t="s">
        <v>170</v>
      </c>
      <c r="C385" t="s">
        <v>1589</v>
      </c>
      <c r="D385" t="s">
        <v>2992</v>
      </c>
      <c r="E385" t="s">
        <v>1718</v>
      </c>
      <c r="F385" t="s">
        <v>2398</v>
      </c>
      <c r="G385" t="s">
        <v>4978</v>
      </c>
      <c r="H385" s="1">
        <v>173461</v>
      </c>
      <c r="I385" s="1">
        <v>66887</v>
      </c>
      <c r="J385" s="1">
        <v>30207</v>
      </c>
    </row>
    <row r="386" spans="1:10" x14ac:dyDescent="0.45">
      <c r="A386" s="4">
        <v>45795</v>
      </c>
      <c r="B386" t="s">
        <v>137</v>
      </c>
      <c r="C386" t="s">
        <v>1592</v>
      </c>
      <c r="D386" t="s">
        <v>2995</v>
      </c>
      <c r="E386" t="s">
        <v>2072</v>
      </c>
      <c r="F386" t="s">
        <v>1658</v>
      </c>
      <c r="G386" t="s">
        <v>4981</v>
      </c>
      <c r="H386" s="1">
        <v>142438</v>
      </c>
      <c r="I386" s="1">
        <v>59069</v>
      </c>
      <c r="J386" s="1">
        <v>26333</v>
      </c>
    </row>
    <row r="387" spans="1:10" x14ac:dyDescent="0.45">
      <c r="A387" s="4">
        <v>45796</v>
      </c>
      <c r="B387" t="s">
        <v>140</v>
      </c>
      <c r="C387" t="s">
        <v>850</v>
      </c>
      <c r="D387" t="s">
        <v>1120</v>
      </c>
      <c r="E387" t="s">
        <v>3554</v>
      </c>
      <c r="F387" t="s">
        <v>1922</v>
      </c>
      <c r="G387" t="s">
        <v>4984</v>
      </c>
      <c r="H387" s="1">
        <v>172440</v>
      </c>
      <c r="I387" s="1">
        <v>60686</v>
      </c>
      <c r="J387" s="1">
        <v>32765</v>
      </c>
    </row>
    <row r="388" spans="1:10" x14ac:dyDescent="0.45">
      <c r="A388" s="4">
        <v>45797</v>
      </c>
      <c r="B388" t="s">
        <v>110</v>
      </c>
      <c r="C388" t="s">
        <v>1596</v>
      </c>
      <c r="D388" t="s">
        <v>3000</v>
      </c>
      <c r="E388" t="s">
        <v>2751</v>
      </c>
      <c r="F388" t="s">
        <v>2721</v>
      </c>
      <c r="G388" t="s">
        <v>4987</v>
      </c>
      <c r="H388" s="1">
        <v>200539</v>
      </c>
      <c r="I388" s="1">
        <v>60375</v>
      </c>
      <c r="J388" s="1">
        <v>30122</v>
      </c>
    </row>
    <row r="389" spans="1:10" x14ac:dyDescent="0.45">
      <c r="A389" s="4">
        <v>45798</v>
      </c>
      <c r="B389" t="s">
        <v>137</v>
      </c>
      <c r="C389" t="s">
        <v>1600</v>
      </c>
      <c r="D389" t="s">
        <v>3003</v>
      </c>
      <c r="E389" t="s">
        <v>1908</v>
      </c>
      <c r="F389" t="s">
        <v>3613</v>
      </c>
      <c r="G389" t="s">
        <v>4992</v>
      </c>
      <c r="H389" s="1">
        <v>203336</v>
      </c>
      <c r="I389" s="1">
        <v>61554</v>
      </c>
      <c r="J389" s="1">
        <v>29361</v>
      </c>
    </row>
    <row r="390" spans="1:10" x14ac:dyDescent="0.45">
      <c r="A390" s="4">
        <v>45799</v>
      </c>
      <c r="B390" t="s">
        <v>148</v>
      </c>
      <c r="C390" t="s">
        <v>1605</v>
      </c>
      <c r="D390" t="s">
        <v>3007</v>
      </c>
      <c r="E390" t="s">
        <v>650</v>
      </c>
      <c r="F390" t="s">
        <v>1399</v>
      </c>
      <c r="G390" t="s">
        <v>4988</v>
      </c>
      <c r="H390" s="1">
        <v>207018</v>
      </c>
      <c r="I390" s="1">
        <v>61892</v>
      </c>
      <c r="J390" s="1">
        <v>30486</v>
      </c>
    </row>
    <row r="391" spans="1:10" x14ac:dyDescent="0.45">
      <c r="A391" s="4">
        <v>45800</v>
      </c>
      <c r="B391" t="s">
        <v>130</v>
      </c>
      <c r="C391" t="s">
        <v>319</v>
      </c>
      <c r="D391" t="s">
        <v>3011</v>
      </c>
      <c r="E391" t="s">
        <v>3559</v>
      </c>
      <c r="F391" t="s">
        <v>2593</v>
      </c>
      <c r="G391" t="s">
        <v>4519</v>
      </c>
      <c r="H391" s="1">
        <v>215182</v>
      </c>
      <c r="I391" s="1">
        <v>65956</v>
      </c>
      <c r="J391" s="1">
        <v>30875</v>
      </c>
    </row>
    <row r="392" spans="1:10" x14ac:dyDescent="0.45">
      <c r="A392" s="4">
        <v>45801</v>
      </c>
      <c r="B392" t="s">
        <v>143</v>
      </c>
      <c r="C392" t="s">
        <v>1610</v>
      </c>
      <c r="D392" t="s">
        <v>3016</v>
      </c>
      <c r="E392" t="s">
        <v>1443</v>
      </c>
      <c r="F392" t="s">
        <v>1224</v>
      </c>
      <c r="G392" t="s">
        <v>2105</v>
      </c>
      <c r="H392" s="1">
        <v>197315</v>
      </c>
      <c r="I392" s="1">
        <v>63902</v>
      </c>
      <c r="J392" s="1">
        <v>33441</v>
      </c>
    </row>
    <row r="393" spans="1:10" x14ac:dyDescent="0.45">
      <c r="A393" s="4">
        <v>45802</v>
      </c>
      <c r="B393" t="s">
        <v>101</v>
      </c>
      <c r="C393" t="s">
        <v>1614</v>
      </c>
      <c r="D393" t="s">
        <v>3022</v>
      </c>
      <c r="E393" t="s">
        <v>1425</v>
      </c>
      <c r="F393" t="s">
        <v>667</v>
      </c>
      <c r="G393" t="s">
        <v>5001</v>
      </c>
      <c r="H393" s="1">
        <v>141086</v>
      </c>
      <c r="I393" s="1">
        <v>55974</v>
      </c>
      <c r="J393" s="1">
        <v>29136</v>
      </c>
    </row>
    <row r="394" spans="1:10" x14ac:dyDescent="0.45">
      <c r="A394" s="4">
        <v>45803</v>
      </c>
      <c r="B394" t="s">
        <v>109</v>
      </c>
      <c r="C394" t="s">
        <v>1619</v>
      </c>
      <c r="D394" t="s">
        <v>3027</v>
      </c>
      <c r="E394" t="s">
        <v>1563</v>
      </c>
      <c r="F394" t="s">
        <v>2953</v>
      </c>
      <c r="G394" t="s">
        <v>5005</v>
      </c>
      <c r="H394" s="1">
        <v>208952</v>
      </c>
      <c r="I394" s="1">
        <v>64758</v>
      </c>
      <c r="J394" s="1">
        <v>25541</v>
      </c>
    </row>
    <row r="395" spans="1:10" x14ac:dyDescent="0.45">
      <c r="A395" s="4">
        <v>45804</v>
      </c>
      <c r="B395" t="s">
        <v>148</v>
      </c>
      <c r="C395" t="s">
        <v>442</v>
      </c>
      <c r="D395" t="s">
        <v>1670</v>
      </c>
      <c r="E395" t="s">
        <v>2606</v>
      </c>
      <c r="F395" t="s">
        <v>2606</v>
      </c>
      <c r="G395" t="s">
        <v>5009</v>
      </c>
      <c r="H395" s="1">
        <v>208395</v>
      </c>
      <c r="I395" s="1">
        <v>60562</v>
      </c>
      <c r="J395" s="1">
        <v>27942</v>
      </c>
    </row>
    <row r="396" spans="1:10" x14ac:dyDescent="0.45">
      <c r="A396" s="4">
        <v>45805</v>
      </c>
      <c r="B396" t="s">
        <v>152</v>
      </c>
      <c r="C396" t="s">
        <v>1490</v>
      </c>
      <c r="D396" t="s">
        <v>673</v>
      </c>
      <c r="E396" t="s">
        <v>2416</v>
      </c>
      <c r="F396" t="s">
        <v>2146</v>
      </c>
      <c r="G396" t="s">
        <v>4051</v>
      </c>
      <c r="H396" s="1">
        <v>209475</v>
      </c>
      <c r="I396" s="1">
        <v>62359</v>
      </c>
      <c r="J396" s="1">
        <v>36436</v>
      </c>
    </row>
    <row r="397" spans="1:10" x14ac:dyDescent="0.45">
      <c r="A397" s="4">
        <v>45806</v>
      </c>
      <c r="B397" t="s">
        <v>111</v>
      </c>
      <c r="C397" t="s">
        <v>1628</v>
      </c>
      <c r="D397" t="s">
        <v>1224</v>
      </c>
      <c r="E397" t="s">
        <v>3112</v>
      </c>
      <c r="F397" t="s">
        <v>3353</v>
      </c>
      <c r="G397" t="s">
        <v>2100</v>
      </c>
      <c r="H397" s="1">
        <v>155936</v>
      </c>
      <c r="I397" s="1">
        <v>58319</v>
      </c>
      <c r="J397" s="1">
        <v>30356</v>
      </c>
    </row>
    <row r="398" spans="1:10" x14ac:dyDescent="0.45">
      <c r="A398" s="4">
        <v>45807</v>
      </c>
      <c r="B398" t="s">
        <v>111</v>
      </c>
      <c r="C398" t="s">
        <v>1116</v>
      </c>
      <c r="D398" t="s">
        <v>1229</v>
      </c>
      <c r="E398" t="s">
        <v>1225</v>
      </c>
      <c r="F398" t="s">
        <v>1739</v>
      </c>
      <c r="G398" t="s">
        <v>4255</v>
      </c>
      <c r="H398" s="1">
        <v>137898</v>
      </c>
      <c r="I398" s="1">
        <v>54685</v>
      </c>
      <c r="J398" s="1">
        <v>36933</v>
      </c>
    </row>
    <row r="399" spans="1:10" x14ac:dyDescent="0.45">
      <c r="A399" s="4">
        <v>45808</v>
      </c>
      <c r="B399" t="s">
        <v>137</v>
      </c>
      <c r="C399" t="s">
        <v>356</v>
      </c>
      <c r="D399" t="s">
        <v>3032</v>
      </c>
      <c r="E399" t="s">
        <v>3563</v>
      </c>
      <c r="F399" t="s">
        <v>1895</v>
      </c>
      <c r="G399" t="s">
        <v>5021</v>
      </c>
      <c r="H399" s="1">
        <v>156052</v>
      </c>
      <c r="I399" s="1">
        <v>57479</v>
      </c>
      <c r="J399" s="1">
        <v>25223</v>
      </c>
    </row>
    <row r="400" spans="1:10" x14ac:dyDescent="0.45">
      <c r="A400" s="4">
        <v>45809</v>
      </c>
      <c r="B400" t="s">
        <v>137</v>
      </c>
      <c r="C400" t="s">
        <v>1633</v>
      </c>
      <c r="D400" t="s">
        <v>1061</v>
      </c>
      <c r="E400">
        <v>5</v>
      </c>
      <c r="F400" t="s">
        <v>3152</v>
      </c>
      <c r="G400" t="s">
        <v>5025</v>
      </c>
      <c r="H400" s="1">
        <v>159029</v>
      </c>
      <c r="I400" s="1">
        <v>60284</v>
      </c>
      <c r="J400" s="1">
        <v>29336</v>
      </c>
    </row>
    <row r="401" spans="1:10" x14ac:dyDescent="0.45">
      <c r="A401" s="4">
        <v>45810</v>
      </c>
      <c r="B401" t="s">
        <v>102</v>
      </c>
      <c r="C401" t="s">
        <v>736</v>
      </c>
      <c r="D401" t="s">
        <v>1659</v>
      </c>
      <c r="E401" t="s">
        <v>1225</v>
      </c>
      <c r="F401" t="s">
        <v>1217</v>
      </c>
      <c r="G401" t="s">
        <v>5028</v>
      </c>
      <c r="H401" s="1">
        <v>226290</v>
      </c>
      <c r="I401" s="1">
        <v>63369</v>
      </c>
      <c r="J401" s="1">
        <v>31032</v>
      </c>
    </row>
    <row r="402" spans="1:10" x14ac:dyDescent="0.45">
      <c r="A402" s="4">
        <v>45811</v>
      </c>
      <c r="B402" t="s">
        <v>21</v>
      </c>
      <c r="C402" t="s">
        <v>1640</v>
      </c>
      <c r="D402" t="s">
        <v>3035</v>
      </c>
      <c r="E402" t="s">
        <v>650</v>
      </c>
      <c r="F402" t="s">
        <v>3927</v>
      </c>
      <c r="G402" t="s">
        <v>3259</v>
      </c>
      <c r="H402" s="1">
        <v>221706</v>
      </c>
      <c r="I402" s="1">
        <v>63428</v>
      </c>
      <c r="J402" s="1">
        <v>30217</v>
      </c>
    </row>
    <row r="403" spans="1:10" x14ac:dyDescent="0.45">
      <c r="A403" s="4">
        <v>45812</v>
      </c>
      <c r="B403" t="s">
        <v>126</v>
      </c>
      <c r="C403" t="s">
        <v>1641</v>
      </c>
      <c r="D403" t="s">
        <v>1647</v>
      </c>
      <c r="E403" t="s">
        <v>489</v>
      </c>
      <c r="F403" t="s">
        <v>534</v>
      </c>
      <c r="G403" t="s">
        <v>4603</v>
      </c>
      <c r="H403" s="1">
        <v>214514</v>
      </c>
      <c r="I403" s="1">
        <v>62336</v>
      </c>
      <c r="J403" s="1">
        <v>34276</v>
      </c>
    </row>
    <row r="404" spans="1:10" x14ac:dyDescent="0.45">
      <c r="A404" s="4">
        <v>45813</v>
      </c>
      <c r="B404" t="s">
        <v>18</v>
      </c>
      <c r="C404" t="s">
        <v>1645</v>
      </c>
      <c r="D404" t="s">
        <v>2852</v>
      </c>
      <c r="E404" t="s">
        <v>1981</v>
      </c>
      <c r="F404" t="s">
        <v>1454</v>
      </c>
      <c r="G404" t="s">
        <v>1350</v>
      </c>
      <c r="H404" s="1">
        <v>205002</v>
      </c>
      <c r="I404" s="1">
        <v>64642</v>
      </c>
      <c r="J404" s="1">
        <v>41614</v>
      </c>
    </row>
    <row r="405" spans="1:10" x14ac:dyDescent="0.45">
      <c r="A405" s="4">
        <v>45814</v>
      </c>
      <c r="B405" t="s">
        <v>108</v>
      </c>
      <c r="C405" t="s">
        <v>1647</v>
      </c>
      <c r="D405" t="s">
        <v>3040</v>
      </c>
      <c r="E405" t="s">
        <v>948</v>
      </c>
      <c r="F405" t="s">
        <v>1059</v>
      </c>
      <c r="G405" t="s">
        <v>5032</v>
      </c>
      <c r="H405" s="1">
        <v>100112</v>
      </c>
      <c r="I405" s="1">
        <v>44859</v>
      </c>
      <c r="J405" s="1">
        <v>29827</v>
      </c>
    </row>
    <row r="406" spans="1:10" x14ac:dyDescent="0.45">
      <c r="A406" s="4">
        <v>45815</v>
      </c>
      <c r="B406" t="s">
        <v>129</v>
      </c>
      <c r="C406" t="s">
        <v>1199</v>
      </c>
      <c r="D406" t="s">
        <v>534</v>
      </c>
      <c r="E406" t="s">
        <v>3083</v>
      </c>
      <c r="F406" t="s">
        <v>3930</v>
      </c>
      <c r="G406" t="s">
        <v>3768</v>
      </c>
      <c r="H406" s="1">
        <v>114995</v>
      </c>
      <c r="I406" s="1">
        <v>49325</v>
      </c>
      <c r="J406" s="1">
        <v>35635</v>
      </c>
    </row>
    <row r="407" spans="1:10" x14ac:dyDescent="0.45">
      <c r="A407" s="4">
        <v>45816</v>
      </c>
      <c r="B407" t="s">
        <v>39</v>
      </c>
      <c r="C407" t="s">
        <v>1653</v>
      </c>
      <c r="D407" t="s">
        <v>1880</v>
      </c>
      <c r="E407" t="s">
        <v>3103</v>
      </c>
      <c r="F407" t="s">
        <v>3643</v>
      </c>
      <c r="G407" t="s">
        <v>5034</v>
      </c>
      <c r="H407" s="1">
        <v>151565</v>
      </c>
      <c r="I407" s="1">
        <v>63773</v>
      </c>
      <c r="J407" s="1">
        <v>30254</v>
      </c>
    </row>
    <row r="408" spans="1:10" x14ac:dyDescent="0.45">
      <c r="A408" s="4">
        <v>45817</v>
      </c>
      <c r="B408" t="s">
        <v>21</v>
      </c>
      <c r="C408" t="s">
        <v>702</v>
      </c>
      <c r="D408" t="s">
        <v>3045</v>
      </c>
      <c r="E408" t="s">
        <v>342</v>
      </c>
      <c r="F408" t="s">
        <v>3258</v>
      </c>
      <c r="G408" t="s">
        <v>5037</v>
      </c>
      <c r="H408" s="1">
        <v>206289</v>
      </c>
      <c r="I408" s="1">
        <v>66946</v>
      </c>
      <c r="J408" s="1">
        <v>25149</v>
      </c>
    </row>
    <row r="409" spans="1:10" x14ac:dyDescent="0.45">
      <c r="A409" s="4">
        <v>45818</v>
      </c>
      <c r="B409" t="s">
        <v>8</v>
      </c>
      <c r="C409" t="s">
        <v>1461</v>
      </c>
      <c r="D409" t="s">
        <v>591</v>
      </c>
      <c r="E409" t="s">
        <v>3575</v>
      </c>
      <c r="F409" t="s">
        <v>3933</v>
      </c>
      <c r="G409" t="s">
        <v>1528</v>
      </c>
      <c r="H409" s="1">
        <v>181937</v>
      </c>
      <c r="I409" s="1">
        <v>54192</v>
      </c>
      <c r="J409" s="1">
        <v>17955</v>
      </c>
    </row>
    <row r="410" spans="1:10" x14ac:dyDescent="0.45">
      <c r="A410" s="4">
        <v>45819</v>
      </c>
      <c r="B410" t="s">
        <v>19</v>
      </c>
      <c r="C410" t="s">
        <v>1662</v>
      </c>
      <c r="D410" t="s">
        <v>3047</v>
      </c>
      <c r="E410" t="s">
        <v>1249</v>
      </c>
      <c r="F410" t="s">
        <v>618</v>
      </c>
      <c r="G410" t="s">
        <v>5040</v>
      </c>
      <c r="H410" s="1">
        <v>221115</v>
      </c>
      <c r="I410" s="1">
        <v>65822</v>
      </c>
      <c r="J410" s="1">
        <v>29135</v>
      </c>
    </row>
    <row r="411" spans="1:10" x14ac:dyDescent="0.45">
      <c r="A411" s="4">
        <v>45820</v>
      </c>
      <c r="B411" t="s">
        <v>126</v>
      </c>
      <c r="C411" t="s">
        <v>708</v>
      </c>
      <c r="D411" t="s">
        <v>1635</v>
      </c>
      <c r="E411" t="s">
        <v>2607</v>
      </c>
      <c r="F411" t="s">
        <v>1964</v>
      </c>
      <c r="G411" t="s">
        <v>5044</v>
      </c>
      <c r="H411" s="1">
        <v>212053</v>
      </c>
      <c r="I411" s="1">
        <v>64384</v>
      </c>
      <c r="J411" s="1">
        <v>28679</v>
      </c>
    </row>
    <row r="412" spans="1:10" x14ac:dyDescent="0.45">
      <c r="A412" s="4">
        <v>45821</v>
      </c>
      <c r="B412">
        <v>1</v>
      </c>
      <c r="C412" t="s">
        <v>1665</v>
      </c>
      <c r="D412" t="s">
        <v>1870</v>
      </c>
      <c r="E412" t="s">
        <v>3444</v>
      </c>
      <c r="F412" t="s">
        <v>3106</v>
      </c>
      <c r="G412" t="s">
        <v>4049</v>
      </c>
      <c r="H412" s="1">
        <v>215879</v>
      </c>
      <c r="I412" s="1">
        <v>64009</v>
      </c>
      <c r="J412" s="1">
        <v>27985</v>
      </c>
    </row>
    <row r="413" spans="1:10" x14ac:dyDescent="0.45">
      <c r="A413" s="4">
        <v>45822</v>
      </c>
      <c r="B413" t="s">
        <v>25</v>
      </c>
      <c r="C413" t="s">
        <v>1495</v>
      </c>
      <c r="D413" t="s">
        <v>926</v>
      </c>
      <c r="E413" t="s">
        <v>1088</v>
      </c>
      <c r="F413" t="s">
        <v>1074</v>
      </c>
      <c r="G413" t="s">
        <v>2263</v>
      </c>
      <c r="H413" s="1">
        <v>165019</v>
      </c>
      <c r="I413" s="1">
        <v>59896</v>
      </c>
      <c r="J413" s="1">
        <v>30874</v>
      </c>
    </row>
    <row r="414" spans="1:10" x14ac:dyDescent="0.45">
      <c r="A414" s="4">
        <v>45823</v>
      </c>
      <c r="B414" t="s">
        <v>108</v>
      </c>
      <c r="C414" t="s">
        <v>728</v>
      </c>
      <c r="D414" t="s">
        <v>1355</v>
      </c>
      <c r="E414" t="s">
        <v>2766</v>
      </c>
      <c r="F414" t="s">
        <v>3212</v>
      </c>
      <c r="G414" t="s">
        <v>5050</v>
      </c>
      <c r="H414" s="1">
        <v>151093</v>
      </c>
      <c r="I414" s="1">
        <v>56707</v>
      </c>
      <c r="J414" s="1">
        <v>31126</v>
      </c>
    </row>
    <row r="415" spans="1:10" x14ac:dyDescent="0.45">
      <c r="A415" s="4">
        <v>45824</v>
      </c>
      <c r="B415" t="s">
        <v>21</v>
      </c>
      <c r="C415" t="s">
        <v>616</v>
      </c>
      <c r="D415" t="s">
        <v>2875</v>
      </c>
      <c r="E415" t="s">
        <v>1347</v>
      </c>
      <c r="F415" t="s">
        <v>1329</v>
      </c>
      <c r="G415" t="s">
        <v>5053</v>
      </c>
      <c r="H415" s="1">
        <v>213927</v>
      </c>
      <c r="I415" s="1">
        <v>63444</v>
      </c>
      <c r="J415" s="1">
        <v>23071</v>
      </c>
    </row>
    <row r="416" spans="1:10" x14ac:dyDescent="0.45">
      <c r="A416" s="4">
        <v>45826</v>
      </c>
      <c r="B416" t="s">
        <v>149</v>
      </c>
      <c r="C416" t="s">
        <v>1674</v>
      </c>
      <c r="D416" t="s">
        <v>1728</v>
      </c>
      <c r="E416" t="s">
        <v>3580</v>
      </c>
      <c r="F416" t="s">
        <v>3573</v>
      </c>
      <c r="G416" t="s">
        <v>5056</v>
      </c>
      <c r="H416" s="1">
        <v>190981</v>
      </c>
      <c r="I416" s="1">
        <v>58120</v>
      </c>
      <c r="J416" s="1">
        <v>31695</v>
      </c>
    </row>
    <row r="417" spans="1:10" x14ac:dyDescent="0.45">
      <c r="A417" s="4">
        <v>45827</v>
      </c>
      <c r="B417" t="s">
        <v>148</v>
      </c>
      <c r="C417" t="s">
        <v>1678</v>
      </c>
      <c r="D417" t="s">
        <v>729</v>
      </c>
      <c r="E417" t="s">
        <v>3129</v>
      </c>
      <c r="F417" t="s">
        <v>1393</v>
      </c>
      <c r="G417" t="s">
        <v>5061</v>
      </c>
      <c r="H417" s="1">
        <v>199204</v>
      </c>
      <c r="I417" s="1">
        <v>59029</v>
      </c>
      <c r="J417" s="1">
        <v>24993</v>
      </c>
    </row>
    <row r="418" spans="1:10" x14ac:dyDescent="0.45">
      <c r="A418" s="4">
        <v>45828</v>
      </c>
      <c r="B418" t="s">
        <v>146</v>
      </c>
      <c r="C418" t="s">
        <v>1680</v>
      </c>
      <c r="D418">
        <v>5</v>
      </c>
      <c r="E418" t="s">
        <v>1144</v>
      </c>
      <c r="F418" t="s">
        <v>2003</v>
      </c>
      <c r="G418" t="s">
        <v>5066</v>
      </c>
      <c r="H418" s="1">
        <v>215425</v>
      </c>
      <c r="I418" s="1">
        <v>47881</v>
      </c>
      <c r="J418" s="1">
        <v>23078</v>
      </c>
    </row>
    <row r="419" spans="1:10" x14ac:dyDescent="0.45">
      <c r="A419" s="4">
        <v>45829</v>
      </c>
      <c r="B419" t="s">
        <v>148</v>
      </c>
      <c r="C419" t="s">
        <v>1682</v>
      </c>
      <c r="D419" t="s">
        <v>3056</v>
      </c>
      <c r="E419" t="s">
        <v>1853</v>
      </c>
      <c r="F419" t="s">
        <v>696</v>
      </c>
      <c r="G419" t="s">
        <v>5069</v>
      </c>
      <c r="H419" s="1">
        <v>187010</v>
      </c>
      <c r="I419" s="1">
        <v>65533</v>
      </c>
      <c r="J419" s="1">
        <v>29081</v>
      </c>
    </row>
    <row r="420" spans="1:10" x14ac:dyDescent="0.45">
      <c r="A420" s="4">
        <v>45830</v>
      </c>
      <c r="B420" t="s">
        <v>170</v>
      </c>
      <c r="C420" t="s">
        <v>346</v>
      </c>
      <c r="D420">
        <v>10</v>
      </c>
      <c r="E420" t="s">
        <v>3582</v>
      </c>
      <c r="F420" t="s">
        <v>3594</v>
      </c>
      <c r="G420" t="s">
        <v>5073</v>
      </c>
      <c r="H420" s="1">
        <v>161361</v>
      </c>
      <c r="I420" s="1">
        <v>60046</v>
      </c>
      <c r="J420" s="1">
        <v>17402</v>
      </c>
    </row>
    <row r="421" spans="1:10" x14ac:dyDescent="0.45">
      <c r="A421" s="4">
        <v>45831</v>
      </c>
      <c r="B421" t="s">
        <v>127</v>
      </c>
      <c r="C421" t="s">
        <v>954</v>
      </c>
      <c r="D421" t="s">
        <v>729</v>
      </c>
      <c r="E421" t="s">
        <v>2280</v>
      </c>
      <c r="F421" t="s">
        <v>3938</v>
      </c>
      <c r="G421" t="s">
        <v>5078</v>
      </c>
      <c r="H421" s="1">
        <v>201919</v>
      </c>
      <c r="I421" s="1">
        <v>57486</v>
      </c>
      <c r="J421" s="1">
        <v>28263</v>
      </c>
    </row>
    <row r="422" spans="1:10" x14ac:dyDescent="0.45">
      <c r="A422" s="4">
        <v>45832</v>
      </c>
      <c r="B422" t="s">
        <v>164</v>
      </c>
      <c r="C422" t="s">
        <v>1652</v>
      </c>
      <c r="D422">
        <v>5</v>
      </c>
      <c r="E422" t="s">
        <v>1187</v>
      </c>
      <c r="F422" t="s">
        <v>2601</v>
      </c>
      <c r="G422" t="s">
        <v>5083</v>
      </c>
      <c r="H422" s="1">
        <v>184553</v>
      </c>
      <c r="I422" s="1">
        <v>56959</v>
      </c>
      <c r="J422" s="1">
        <v>28245</v>
      </c>
    </row>
    <row r="423" spans="1:10" x14ac:dyDescent="0.45">
      <c r="A423" s="4">
        <v>45833</v>
      </c>
      <c r="B423" t="s">
        <v>154</v>
      </c>
      <c r="C423" t="s">
        <v>1685</v>
      </c>
      <c r="D423" t="s">
        <v>1794</v>
      </c>
      <c r="E423" t="s">
        <v>1111</v>
      </c>
      <c r="F423" t="s">
        <v>1578</v>
      </c>
      <c r="G423" t="s">
        <v>5086</v>
      </c>
      <c r="H423" s="1">
        <v>198149</v>
      </c>
      <c r="I423" s="1">
        <v>61681</v>
      </c>
      <c r="J423" s="1">
        <v>31436</v>
      </c>
    </row>
    <row r="424" spans="1:10" x14ac:dyDescent="0.45">
      <c r="A424" s="4">
        <v>45834</v>
      </c>
      <c r="B424" t="s">
        <v>114</v>
      </c>
      <c r="C424" t="s">
        <v>720</v>
      </c>
      <c r="D424">
        <v>10</v>
      </c>
      <c r="E424" t="s">
        <v>1930</v>
      </c>
      <c r="F424" t="s">
        <v>1506</v>
      </c>
      <c r="G424" t="s">
        <v>5092</v>
      </c>
      <c r="H424" s="1">
        <v>168860</v>
      </c>
      <c r="I424" s="1">
        <v>58695</v>
      </c>
      <c r="J424" s="1">
        <v>36599</v>
      </c>
    </row>
    <row r="425" spans="1:10" x14ac:dyDescent="0.45">
      <c r="A425" s="4">
        <v>45838</v>
      </c>
      <c r="B425" t="s">
        <v>111</v>
      </c>
      <c r="C425" t="s">
        <v>889</v>
      </c>
      <c r="D425" t="s">
        <v>926</v>
      </c>
      <c r="E425" t="s">
        <v>3590</v>
      </c>
      <c r="F425" t="s">
        <v>3941</v>
      </c>
      <c r="G425" t="s">
        <v>5096</v>
      </c>
      <c r="H425" s="1">
        <v>208394</v>
      </c>
      <c r="I425" s="1">
        <v>59452</v>
      </c>
      <c r="J425" s="1">
        <v>25371</v>
      </c>
    </row>
    <row r="426" spans="1:10" x14ac:dyDescent="0.45">
      <c r="A426" s="4">
        <v>45839</v>
      </c>
      <c r="B426" t="s">
        <v>137</v>
      </c>
      <c r="C426" t="s">
        <v>1690</v>
      </c>
      <c r="D426" t="s">
        <v>3059</v>
      </c>
      <c r="E426" t="s">
        <v>1995</v>
      </c>
      <c r="F426" t="s">
        <v>1994</v>
      </c>
      <c r="G426" t="s">
        <v>378</v>
      </c>
      <c r="H426" s="1">
        <v>185309</v>
      </c>
      <c r="I426" s="1">
        <v>58666</v>
      </c>
      <c r="J426" s="1">
        <v>29765</v>
      </c>
    </row>
    <row r="427" spans="1:10" x14ac:dyDescent="0.45">
      <c r="A427" s="4">
        <v>45840</v>
      </c>
      <c r="B427" t="s">
        <v>110</v>
      </c>
      <c r="C427" t="s">
        <v>1059</v>
      </c>
      <c r="D427" t="s">
        <v>1773</v>
      </c>
      <c r="E427" t="s">
        <v>692</v>
      </c>
      <c r="F427" t="s">
        <v>1645</v>
      </c>
      <c r="G427" t="s">
        <v>5099</v>
      </c>
      <c r="H427" s="1">
        <v>179057</v>
      </c>
      <c r="I427" s="1">
        <v>57699</v>
      </c>
      <c r="J427" s="1">
        <v>32213</v>
      </c>
    </row>
    <row r="428" spans="1:10" x14ac:dyDescent="0.45">
      <c r="A428" s="4">
        <v>45841</v>
      </c>
      <c r="B428" t="s">
        <v>142</v>
      </c>
      <c r="C428" t="s">
        <v>922</v>
      </c>
      <c r="D428" t="s">
        <v>1429</v>
      </c>
      <c r="E428" t="s">
        <v>852</v>
      </c>
      <c r="F428" t="s">
        <v>2041</v>
      </c>
      <c r="G428" t="s">
        <v>684</v>
      </c>
      <c r="H428" s="1">
        <v>192414</v>
      </c>
      <c r="I428" s="1">
        <v>62148</v>
      </c>
      <c r="J428" s="1">
        <v>27429</v>
      </c>
    </row>
    <row r="429" spans="1:10" x14ac:dyDescent="0.45">
      <c r="A429" s="4">
        <v>45842</v>
      </c>
      <c r="B429" t="s">
        <v>142</v>
      </c>
      <c r="C429" t="s">
        <v>1698</v>
      </c>
      <c r="D429" t="s">
        <v>1961</v>
      </c>
      <c r="E429" t="s">
        <v>2742</v>
      </c>
      <c r="F429" t="s">
        <v>693</v>
      </c>
      <c r="G429" t="s">
        <v>5105</v>
      </c>
      <c r="H429" s="1">
        <v>189143</v>
      </c>
      <c r="I429" s="1">
        <v>62698</v>
      </c>
      <c r="J429" s="1">
        <v>26986</v>
      </c>
    </row>
    <row r="430" spans="1:10" x14ac:dyDescent="0.45">
      <c r="A430" s="4">
        <v>45845</v>
      </c>
      <c r="B430" t="s">
        <v>112</v>
      </c>
      <c r="C430" t="s">
        <v>1048</v>
      </c>
      <c r="D430" t="s">
        <v>2788</v>
      </c>
      <c r="E430" t="s">
        <v>420</v>
      </c>
      <c r="F430" t="s">
        <v>1400</v>
      </c>
      <c r="G430" t="s">
        <v>5108</v>
      </c>
      <c r="H430" s="1">
        <v>194553</v>
      </c>
      <c r="I430" s="1">
        <v>60713</v>
      </c>
      <c r="J430" s="1">
        <v>20750</v>
      </c>
    </row>
    <row r="431" spans="1:10" x14ac:dyDescent="0.45">
      <c r="A431" s="4">
        <v>45846</v>
      </c>
      <c r="B431" t="s">
        <v>96</v>
      </c>
      <c r="C431">
        <v>9</v>
      </c>
      <c r="D431" t="s">
        <v>1359</v>
      </c>
      <c r="E431" t="s">
        <v>3169</v>
      </c>
      <c r="F431" t="s">
        <v>922</v>
      </c>
      <c r="G431" t="s">
        <v>5113</v>
      </c>
      <c r="H431" s="1">
        <v>195915</v>
      </c>
      <c r="I431" s="1">
        <v>58854</v>
      </c>
      <c r="J431" s="1">
        <v>25878</v>
      </c>
    </row>
    <row r="432" spans="1:10" x14ac:dyDescent="0.45">
      <c r="A432" s="4">
        <v>45847</v>
      </c>
      <c r="B432" t="s">
        <v>88</v>
      </c>
      <c r="C432" t="s">
        <v>1704</v>
      </c>
      <c r="D432" t="s">
        <v>2388</v>
      </c>
      <c r="E432" t="s">
        <v>1807</v>
      </c>
      <c r="F432" t="s">
        <v>3105</v>
      </c>
      <c r="G432" t="s">
        <v>4536</v>
      </c>
      <c r="H432" s="1">
        <v>181777</v>
      </c>
      <c r="I432" s="1">
        <v>60446</v>
      </c>
      <c r="J432" s="1">
        <v>29963</v>
      </c>
    </row>
    <row r="433" spans="1:10" x14ac:dyDescent="0.45">
      <c r="A433" s="4">
        <v>45848</v>
      </c>
      <c r="B433" t="s">
        <v>110</v>
      </c>
      <c r="C433" t="s">
        <v>1705</v>
      </c>
      <c r="D433" t="s">
        <v>3061</v>
      </c>
      <c r="E433" t="s">
        <v>459</v>
      </c>
      <c r="F433" t="s">
        <v>2079</v>
      </c>
      <c r="G433" t="s">
        <v>5119</v>
      </c>
      <c r="H433" s="1">
        <v>149249</v>
      </c>
      <c r="I433" s="1">
        <v>41645</v>
      </c>
      <c r="J433" s="1">
        <v>33844</v>
      </c>
    </row>
    <row r="434" spans="1:10" x14ac:dyDescent="0.45">
      <c r="A434" s="4">
        <v>45849</v>
      </c>
      <c r="B434" t="s">
        <v>148</v>
      </c>
      <c r="C434" t="s">
        <v>1707</v>
      </c>
      <c r="D434" t="s">
        <v>3063</v>
      </c>
      <c r="E434" t="s">
        <v>2049</v>
      </c>
      <c r="F434" t="s">
        <v>479</v>
      </c>
      <c r="G434" t="s">
        <v>5123</v>
      </c>
      <c r="H434" s="1">
        <v>167575</v>
      </c>
      <c r="I434" s="1">
        <v>56769</v>
      </c>
      <c r="J434" s="1">
        <v>30635</v>
      </c>
    </row>
    <row r="435" spans="1:10" x14ac:dyDescent="0.45">
      <c r="A435" s="4">
        <v>45850</v>
      </c>
      <c r="B435" t="s">
        <v>148</v>
      </c>
      <c r="C435" t="s">
        <v>1672</v>
      </c>
      <c r="D435" t="s">
        <v>1974</v>
      </c>
      <c r="E435" t="s">
        <v>3605</v>
      </c>
      <c r="F435" t="s">
        <v>3948</v>
      </c>
      <c r="G435" t="s">
        <v>5126</v>
      </c>
      <c r="H435" s="1">
        <v>194396</v>
      </c>
      <c r="I435" s="1">
        <v>64723</v>
      </c>
      <c r="J435" s="1">
        <v>23034</v>
      </c>
    </row>
    <row r="436" spans="1:10" x14ac:dyDescent="0.45">
      <c r="A436" s="4">
        <v>45851</v>
      </c>
      <c r="B436" t="s">
        <v>145</v>
      </c>
      <c r="C436" t="s">
        <v>1713</v>
      </c>
      <c r="D436" t="s">
        <v>1413</v>
      </c>
      <c r="E436" t="s">
        <v>3562</v>
      </c>
      <c r="F436" t="s">
        <v>889</v>
      </c>
      <c r="G436" t="s">
        <v>5131</v>
      </c>
      <c r="H436" s="1">
        <v>153490</v>
      </c>
      <c r="I436" s="1">
        <v>58721</v>
      </c>
      <c r="J436" s="1">
        <v>19293</v>
      </c>
    </row>
    <row r="437" spans="1:10" x14ac:dyDescent="0.45">
      <c r="A437" s="4">
        <v>45852</v>
      </c>
      <c r="B437" t="s">
        <v>137</v>
      </c>
      <c r="C437" t="s">
        <v>1714</v>
      </c>
      <c r="D437" t="s">
        <v>654</v>
      </c>
      <c r="E437" t="s">
        <v>1077</v>
      </c>
      <c r="F437" t="s">
        <v>1080</v>
      </c>
      <c r="G437" t="s">
        <v>5134</v>
      </c>
      <c r="H437" s="1">
        <v>154000</v>
      </c>
      <c r="I437" s="1">
        <v>49268</v>
      </c>
      <c r="J437" s="1">
        <v>30421</v>
      </c>
    </row>
    <row r="438" spans="1:10" x14ac:dyDescent="0.45">
      <c r="A438" s="4">
        <v>45853</v>
      </c>
      <c r="B438" t="s">
        <v>149</v>
      </c>
      <c r="C438" t="s">
        <v>1353</v>
      </c>
      <c r="D438" t="s">
        <v>1981</v>
      </c>
      <c r="E438" t="s">
        <v>3404</v>
      </c>
      <c r="F438" t="s">
        <v>2723</v>
      </c>
      <c r="G438" t="s">
        <v>312</v>
      </c>
      <c r="H438" s="1">
        <v>175494</v>
      </c>
      <c r="I438" s="1">
        <v>58378</v>
      </c>
      <c r="J438" s="1">
        <v>29339</v>
      </c>
    </row>
    <row r="439" spans="1:10" x14ac:dyDescent="0.45">
      <c r="A439" s="4">
        <v>45854</v>
      </c>
      <c r="B439" t="s">
        <v>149</v>
      </c>
      <c r="C439" t="s">
        <v>1322</v>
      </c>
      <c r="D439" t="s">
        <v>1107</v>
      </c>
      <c r="E439" t="s">
        <v>2734</v>
      </c>
      <c r="F439" t="s">
        <v>1355</v>
      </c>
      <c r="G439" t="s">
        <v>4652</v>
      </c>
      <c r="H439" s="1">
        <v>159839</v>
      </c>
      <c r="I439" s="1">
        <v>56652</v>
      </c>
      <c r="J439" s="1">
        <v>21478</v>
      </c>
    </row>
    <row r="440" spans="1:10" x14ac:dyDescent="0.45">
      <c r="A440" s="4">
        <v>45855</v>
      </c>
      <c r="B440" t="s">
        <v>148</v>
      </c>
      <c r="C440">
        <v>3</v>
      </c>
      <c r="D440" t="s">
        <v>3068</v>
      </c>
      <c r="E440" t="s">
        <v>3609</v>
      </c>
      <c r="F440" t="s">
        <v>3565</v>
      </c>
      <c r="G440" t="s">
        <v>1607</v>
      </c>
      <c r="H440" s="1">
        <v>147615</v>
      </c>
      <c r="I440" s="1">
        <v>54263</v>
      </c>
      <c r="J440" s="1">
        <v>36814</v>
      </c>
    </row>
    <row r="441" spans="1:10" x14ac:dyDescent="0.45">
      <c r="A441" s="4">
        <v>45857</v>
      </c>
      <c r="B441" t="s">
        <v>147</v>
      </c>
      <c r="C441" t="s">
        <v>1726</v>
      </c>
      <c r="D441" t="s">
        <v>1768</v>
      </c>
      <c r="E441" t="s">
        <v>3610</v>
      </c>
      <c r="F441" t="s">
        <v>3639</v>
      </c>
      <c r="G441" t="s">
        <v>1605</v>
      </c>
      <c r="H441" s="1">
        <v>140746</v>
      </c>
      <c r="I441" s="1">
        <v>60258</v>
      </c>
      <c r="J441" s="1">
        <v>37742</v>
      </c>
    </row>
    <row r="442" spans="1:10" x14ac:dyDescent="0.45">
      <c r="A442" s="4">
        <v>45858</v>
      </c>
      <c r="B442" t="s">
        <v>146</v>
      </c>
      <c r="C442" t="s">
        <v>1728</v>
      </c>
      <c r="D442" t="s">
        <v>3071</v>
      </c>
      <c r="E442" t="s">
        <v>701</v>
      </c>
      <c r="F442" t="s">
        <v>3699</v>
      </c>
      <c r="G442" t="s">
        <v>5145</v>
      </c>
      <c r="H442" s="1">
        <v>116179</v>
      </c>
      <c r="I442" s="1">
        <v>57638</v>
      </c>
      <c r="J442" s="1">
        <v>32411</v>
      </c>
    </row>
    <row r="443" spans="1:10" x14ac:dyDescent="0.45">
      <c r="A443" s="4">
        <v>45859</v>
      </c>
      <c r="B443" t="s">
        <v>152</v>
      </c>
      <c r="C443" t="s">
        <v>1731</v>
      </c>
      <c r="D443" t="s">
        <v>3025</v>
      </c>
      <c r="E443" t="s">
        <v>1086</v>
      </c>
      <c r="F443" t="s">
        <v>3654</v>
      </c>
      <c r="G443" t="s">
        <v>4440</v>
      </c>
      <c r="H443" s="1">
        <v>149332</v>
      </c>
      <c r="I443" s="1">
        <v>55838</v>
      </c>
      <c r="J443" s="1">
        <v>31266</v>
      </c>
    </row>
    <row r="444" spans="1:10" x14ac:dyDescent="0.45">
      <c r="A444" s="4">
        <v>45860</v>
      </c>
      <c r="B444" t="s">
        <v>146</v>
      </c>
      <c r="C444" t="s">
        <v>1733</v>
      </c>
      <c r="D444" t="s">
        <v>1067</v>
      </c>
      <c r="E444" t="s">
        <v>1994</v>
      </c>
      <c r="F444" t="s">
        <v>3456</v>
      </c>
      <c r="G444">
        <v>92</v>
      </c>
      <c r="H444" s="1">
        <v>158398</v>
      </c>
      <c r="I444" s="1">
        <v>56056</v>
      </c>
      <c r="J444" s="1">
        <v>31652</v>
      </c>
    </row>
    <row r="445" spans="1:10" x14ac:dyDescent="0.45">
      <c r="A445" s="4">
        <v>45861</v>
      </c>
      <c r="B445" t="s">
        <v>148</v>
      </c>
      <c r="C445" t="s">
        <v>1309</v>
      </c>
      <c r="D445" t="s">
        <v>1128</v>
      </c>
      <c r="E445" t="s">
        <v>1650</v>
      </c>
      <c r="F445" t="s">
        <v>882</v>
      </c>
      <c r="G445" t="s">
        <v>5156</v>
      </c>
      <c r="H445" s="1">
        <v>174272</v>
      </c>
      <c r="I445" s="1">
        <v>56428</v>
      </c>
      <c r="J445" s="1">
        <v>31275</v>
      </c>
    </row>
    <row r="446" spans="1:10" x14ac:dyDescent="0.45">
      <c r="A446" s="4">
        <v>45862</v>
      </c>
      <c r="B446" t="s">
        <v>137</v>
      </c>
      <c r="C446">
        <v>9</v>
      </c>
      <c r="D446">
        <v>10</v>
      </c>
      <c r="E446" t="s">
        <v>1261</v>
      </c>
      <c r="F446" t="s">
        <v>3030</v>
      </c>
      <c r="G446" t="s">
        <v>4964</v>
      </c>
      <c r="H446" s="1">
        <v>188206</v>
      </c>
      <c r="I446" s="1">
        <v>59123</v>
      </c>
      <c r="J446" s="1">
        <v>28501</v>
      </c>
    </row>
    <row r="447" spans="1:10" x14ac:dyDescent="0.45">
      <c r="A447" s="4">
        <v>45863</v>
      </c>
      <c r="B447" t="s">
        <v>152</v>
      </c>
      <c r="C447">
        <v>9</v>
      </c>
      <c r="D447">
        <v>10</v>
      </c>
      <c r="E447" t="s">
        <v>1443</v>
      </c>
      <c r="F447" t="s">
        <v>1471</v>
      </c>
      <c r="G447" t="s">
        <v>5162</v>
      </c>
      <c r="H447" s="1">
        <v>191424</v>
      </c>
      <c r="I447" s="1">
        <v>59795</v>
      </c>
      <c r="J447" s="1">
        <v>28148</v>
      </c>
    </row>
    <row r="448" spans="1:10" x14ac:dyDescent="0.45">
      <c r="A448" s="4">
        <v>45864</v>
      </c>
      <c r="B448" t="s">
        <v>156</v>
      </c>
      <c r="C448">
        <v>9</v>
      </c>
      <c r="D448">
        <v>10</v>
      </c>
      <c r="E448" t="s">
        <v>501</v>
      </c>
      <c r="F448" t="s">
        <v>1894</v>
      </c>
      <c r="G448" t="s">
        <v>5167</v>
      </c>
      <c r="H448" s="1">
        <v>182578</v>
      </c>
      <c r="I448" s="1">
        <v>65779</v>
      </c>
      <c r="J448" s="1">
        <v>28139</v>
      </c>
    </row>
    <row r="449" spans="1:10" x14ac:dyDescent="0.45">
      <c r="A449" s="4">
        <v>45865</v>
      </c>
      <c r="B449" t="s">
        <v>130</v>
      </c>
      <c r="C449">
        <v>9</v>
      </c>
      <c r="D449">
        <v>10</v>
      </c>
      <c r="E449" t="s">
        <v>3326</v>
      </c>
      <c r="F449" t="s">
        <v>3953</v>
      </c>
      <c r="G449" t="s">
        <v>5171</v>
      </c>
      <c r="H449" s="1">
        <v>144096</v>
      </c>
      <c r="I449" s="1">
        <v>59291</v>
      </c>
      <c r="J449" s="1">
        <v>22887</v>
      </c>
    </row>
    <row r="450" spans="1:10" x14ac:dyDescent="0.45">
      <c r="A450" s="4">
        <v>45866</v>
      </c>
      <c r="B450" t="s">
        <v>137</v>
      </c>
      <c r="C450" t="s">
        <v>1736</v>
      </c>
      <c r="D450" t="s">
        <v>1929</v>
      </c>
      <c r="E450" t="s">
        <v>2587</v>
      </c>
      <c r="F450" t="s">
        <v>1323</v>
      </c>
      <c r="G450" t="s">
        <v>4530</v>
      </c>
      <c r="H450" s="1">
        <v>170422</v>
      </c>
      <c r="I450" s="1">
        <v>56784</v>
      </c>
      <c r="J450" s="1">
        <v>27458</v>
      </c>
    </row>
    <row r="451" spans="1:10" x14ac:dyDescent="0.45">
      <c r="A451" s="4">
        <v>45867</v>
      </c>
      <c r="B451" t="s">
        <v>145</v>
      </c>
      <c r="C451" t="s">
        <v>1161</v>
      </c>
      <c r="D451" t="s">
        <v>2563</v>
      </c>
      <c r="E451" t="s">
        <v>3613</v>
      </c>
      <c r="F451" t="s">
        <v>729</v>
      </c>
      <c r="G451" t="s">
        <v>5178</v>
      </c>
      <c r="H451" s="1">
        <v>178631</v>
      </c>
      <c r="I451" s="1">
        <v>57681</v>
      </c>
      <c r="J451" s="1">
        <v>26095</v>
      </c>
    </row>
    <row r="452" spans="1:10" x14ac:dyDescent="0.45">
      <c r="A452" s="4">
        <v>45868</v>
      </c>
      <c r="B452" t="s">
        <v>140</v>
      </c>
      <c r="C452" t="s">
        <v>1743</v>
      </c>
      <c r="D452" t="s">
        <v>1865</v>
      </c>
      <c r="E452" t="s">
        <v>1802</v>
      </c>
      <c r="F452" t="s">
        <v>704</v>
      </c>
      <c r="G452" t="s">
        <v>5183</v>
      </c>
      <c r="H452" s="1">
        <v>183262</v>
      </c>
      <c r="I452" s="1">
        <v>56151</v>
      </c>
      <c r="J452" s="1">
        <v>21557</v>
      </c>
    </row>
    <row r="453" spans="1:10" x14ac:dyDescent="0.45">
      <c r="A453" s="4">
        <v>45869</v>
      </c>
      <c r="B453" t="s">
        <v>140</v>
      </c>
      <c r="C453" t="s">
        <v>1350</v>
      </c>
      <c r="D453" t="s">
        <v>2716</v>
      </c>
      <c r="E453" t="s">
        <v>1642</v>
      </c>
      <c r="F453" t="s">
        <v>1278</v>
      </c>
      <c r="G453" t="s">
        <v>5177</v>
      </c>
      <c r="H453" s="1">
        <v>177080</v>
      </c>
      <c r="I453" s="1">
        <v>56416</v>
      </c>
      <c r="J453" s="1">
        <v>28934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C96C-CB4B-4213-9A72-D29E5A9AAF2D}">
  <dimension ref="A1:I453"/>
  <sheetViews>
    <sheetView workbookViewId="0">
      <selection activeCell="I2" sqref="I2"/>
    </sheetView>
  </sheetViews>
  <sheetFormatPr defaultRowHeight="14.25" x14ac:dyDescent="0.45"/>
  <cols>
    <col min="1" max="1" width="12.5976562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 t="s">
        <v>14</v>
      </c>
      <c r="C2" t="s">
        <v>114</v>
      </c>
      <c r="D2">
        <v>1</v>
      </c>
      <c r="E2" t="s">
        <v>40</v>
      </c>
      <c r="F2" t="s">
        <v>115</v>
      </c>
      <c r="G2" t="s">
        <v>116</v>
      </c>
      <c r="H2">
        <v>24</v>
      </c>
      <c r="I2" t="b">
        <f>AND(COUNTIF('NO2'!A:A,A2)&gt;0,COUNTIF('O3'!A:A,A2)&gt;0,COUNTIF('PM10'!A:A,A2)&gt;0,COUNTIF('PM2.5'!A:A,A2)&gt;0,COUNTIF('SO2'!A:A,A2)&gt;0)</f>
        <v>1</v>
      </c>
    </row>
    <row r="3" spans="1:9" x14ac:dyDescent="0.45">
      <c r="A3" s="4">
        <v>45338</v>
      </c>
      <c r="B3" t="s">
        <v>117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>
        <v>24</v>
      </c>
      <c r="I3" t="b">
        <f>AND(COUNTIF('NO2'!A:A,A3)&gt;0,COUNTIF('O3'!A:A,A3)&gt;0,COUNTIF('PM10'!A:A,A3)&gt;0,COUNTIF('PM2.5'!A:A,A3)&gt;0,COUNTIF('SO2'!A:A,A3)&gt;0)</f>
        <v>1</v>
      </c>
    </row>
    <row r="4" spans="1:9" x14ac:dyDescent="0.45">
      <c r="A4" s="4">
        <v>45342</v>
      </c>
      <c r="B4" t="s">
        <v>129</v>
      </c>
      <c r="C4" t="s">
        <v>130</v>
      </c>
      <c r="D4" t="s">
        <v>41</v>
      </c>
      <c r="E4" t="s">
        <v>10</v>
      </c>
      <c r="F4" t="s">
        <v>104</v>
      </c>
      <c r="G4" t="s">
        <v>131</v>
      </c>
      <c r="H4">
        <v>24</v>
      </c>
      <c r="I4" t="b">
        <f>AND(COUNTIF('NO2'!A:A,A4)&gt;0,COUNTIF('O3'!A:A,A4)&gt;0,COUNTIF('PM10'!A:A,A4)&gt;0,COUNTIF('PM2.5'!A:A,A4)&gt;0,COUNTIF('SO2'!A:A,A4)&gt;0)</f>
        <v>1</v>
      </c>
    </row>
    <row r="5" spans="1:9" x14ac:dyDescent="0.45">
      <c r="A5" s="4">
        <v>45343</v>
      </c>
      <c r="B5" t="s">
        <v>132</v>
      </c>
      <c r="C5" t="s">
        <v>133</v>
      </c>
      <c r="D5" t="s">
        <v>117</v>
      </c>
      <c r="E5" t="s">
        <v>123</v>
      </c>
      <c r="F5" t="s">
        <v>134</v>
      </c>
      <c r="G5" t="s">
        <v>135</v>
      </c>
      <c r="H5">
        <v>24</v>
      </c>
      <c r="I5" t="b">
        <f>AND(COUNTIF('NO2'!A:A,A5)&gt;0,COUNTIF('O3'!A:A,A5)&gt;0,COUNTIF('PM10'!A:A,A5)&gt;0,COUNTIF('PM2.5'!A:A,A5)&gt;0,COUNTIF('SO2'!A:A,A5)&gt;0)</f>
        <v>1</v>
      </c>
    </row>
    <row r="6" spans="1:9" x14ac:dyDescent="0.45">
      <c r="A6" s="4">
        <v>45344</v>
      </c>
      <c r="B6" t="s">
        <v>133</v>
      </c>
      <c r="C6" t="s">
        <v>114</v>
      </c>
      <c r="D6" t="s">
        <v>114</v>
      </c>
      <c r="E6" t="s">
        <v>124</v>
      </c>
      <c r="F6" t="s">
        <v>114</v>
      </c>
      <c r="G6" t="s">
        <v>17</v>
      </c>
      <c r="H6">
        <v>24</v>
      </c>
      <c r="I6" t="b">
        <f>AND(COUNTIF('NO2'!A:A,A6)&gt;0,COUNTIF('O3'!A:A,A6)&gt;0,COUNTIF('PM10'!A:A,A6)&gt;0,COUNTIF('PM2.5'!A:A,A6)&gt;0,COUNTIF('SO2'!A:A,A6)&gt;0)</f>
        <v>1</v>
      </c>
    </row>
    <row r="7" spans="1:9" x14ac:dyDescent="0.45">
      <c r="A7" s="4">
        <v>45372</v>
      </c>
      <c r="B7" t="s">
        <v>140</v>
      </c>
      <c r="C7" t="s">
        <v>137</v>
      </c>
      <c r="D7" t="s">
        <v>137</v>
      </c>
      <c r="E7" t="s">
        <v>137</v>
      </c>
      <c r="F7" t="s">
        <v>137</v>
      </c>
      <c r="G7" t="s">
        <v>24</v>
      </c>
      <c r="H7">
        <v>9</v>
      </c>
      <c r="I7" t="b">
        <f>AND(COUNTIF('NO2'!A:A,A7)&gt;0,COUNTIF('O3'!A:A,A7)&gt;0,COUNTIF('PM10'!A:A,A7)&gt;0,COUNTIF('PM2.5'!A:A,A7)&gt;0,COUNTIF('SO2'!A:A,A7)&gt;0)</f>
        <v>1</v>
      </c>
    </row>
    <row r="8" spans="1:9" x14ac:dyDescent="0.45">
      <c r="A8" s="4">
        <v>45373</v>
      </c>
      <c r="B8" t="s">
        <v>115</v>
      </c>
      <c r="C8" t="s">
        <v>115</v>
      </c>
      <c r="D8" t="s">
        <v>115</v>
      </c>
      <c r="E8" t="s">
        <v>115</v>
      </c>
      <c r="F8" t="s">
        <v>115</v>
      </c>
      <c r="G8" t="s">
        <v>141</v>
      </c>
      <c r="H8">
        <v>4</v>
      </c>
      <c r="I8" t="b">
        <f>AND(COUNTIF('NO2'!A:A,A8)&gt;0,COUNTIF('O3'!A:A,A8)&gt;0,COUNTIF('PM10'!A:A,A8)&gt;0,COUNTIF('PM2.5'!A:A,A8)&gt;0,COUNTIF('SO2'!A:A,A8)&gt;0)</f>
        <v>1</v>
      </c>
    </row>
    <row r="9" spans="1:9" x14ac:dyDescent="0.45">
      <c r="A9" s="4">
        <v>45377</v>
      </c>
      <c r="B9" t="s">
        <v>137</v>
      </c>
      <c r="C9" t="s">
        <v>137</v>
      </c>
      <c r="D9" t="s">
        <v>137</v>
      </c>
      <c r="E9" t="s">
        <v>137</v>
      </c>
      <c r="F9" t="s">
        <v>137</v>
      </c>
      <c r="G9">
        <v>0</v>
      </c>
      <c r="H9">
        <v>1</v>
      </c>
      <c r="I9" t="b">
        <f>AND(COUNTIF('NO2'!A:A,A9)&gt;0,COUNTIF('O3'!A:A,A9)&gt;0,COUNTIF('PM10'!A:A,A9)&gt;0,COUNTIF('PM2.5'!A:A,A9)&gt;0,COUNTIF('SO2'!A:A,A9)&gt;0)</f>
        <v>1</v>
      </c>
    </row>
    <row r="10" spans="1:9" x14ac:dyDescent="0.45">
      <c r="A10" s="4">
        <v>45383</v>
      </c>
      <c r="B10" t="s">
        <v>104</v>
      </c>
      <c r="C10" t="s">
        <v>137</v>
      </c>
      <c r="D10" t="s">
        <v>142</v>
      </c>
      <c r="E10" t="s">
        <v>143</v>
      </c>
      <c r="F10" t="s">
        <v>110</v>
      </c>
      <c r="G10" t="s">
        <v>144</v>
      </c>
      <c r="H10">
        <v>21</v>
      </c>
      <c r="I10" t="b">
        <f>AND(COUNTIF('NO2'!A:A,A10)&gt;0,COUNTIF('O3'!A:A,A10)&gt;0,COUNTIF('PM10'!A:A,A10)&gt;0,COUNTIF('PM2.5'!A:A,A10)&gt;0,COUNTIF('SO2'!A:A,A10)&gt;0)</f>
        <v>1</v>
      </c>
    </row>
    <row r="11" spans="1:9" x14ac:dyDescent="0.45">
      <c r="A11" s="4">
        <v>45384</v>
      </c>
      <c r="B11" t="s">
        <v>145</v>
      </c>
      <c r="C11" t="s">
        <v>146</v>
      </c>
      <c r="D11" t="s">
        <v>147</v>
      </c>
      <c r="E11" t="s">
        <v>148</v>
      </c>
      <c r="F11" t="s">
        <v>147</v>
      </c>
      <c r="G11" t="s">
        <v>16</v>
      </c>
      <c r="H11">
        <v>24</v>
      </c>
      <c r="I11" t="b">
        <f>AND(COUNTIF('NO2'!A:A,A11)&gt;0,COUNTIF('O3'!A:A,A11)&gt;0,COUNTIF('PM10'!A:A,A11)&gt;0,COUNTIF('PM2.5'!A:A,A11)&gt;0,COUNTIF('SO2'!A:A,A11)&gt;0)</f>
        <v>1</v>
      </c>
    </row>
    <row r="12" spans="1:9" x14ac:dyDescent="0.45">
      <c r="A12" s="4">
        <v>45385</v>
      </c>
      <c r="B12" t="s">
        <v>137</v>
      </c>
      <c r="C12" t="s">
        <v>148</v>
      </c>
      <c r="D12" t="s">
        <v>149</v>
      </c>
      <c r="E12" t="s">
        <v>137</v>
      </c>
      <c r="F12" t="s">
        <v>149</v>
      </c>
      <c r="G12" t="s">
        <v>16</v>
      </c>
      <c r="H12">
        <v>24</v>
      </c>
      <c r="I12" t="b">
        <f>AND(COUNTIF('NO2'!A:A,A12)&gt;0,COUNTIF('O3'!A:A,A12)&gt;0,COUNTIF('PM10'!A:A,A12)&gt;0,COUNTIF('PM2.5'!A:A,A12)&gt;0,COUNTIF('SO2'!A:A,A12)&gt;0)</f>
        <v>1</v>
      </c>
    </row>
    <row r="13" spans="1:9" x14ac:dyDescent="0.45">
      <c r="A13" s="4">
        <v>45386</v>
      </c>
      <c r="B13" t="s">
        <v>150</v>
      </c>
      <c r="C13" t="s">
        <v>137</v>
      </c>
      <c r="D13" t="s">
        <v>110</v>
      </c>
      <c r="E13" t="s">
        <v>150</v>
      </c>
      <c r="F13" t="s">
        <v>137</v>
      </c>
      <c r="G13" t="s">
        <v>86</v>
      </c>
      <c r="H13">
        <v>24</v>
      </c>
      <c r="I13" t="b">
        <f>AND(COUNTIF('NO2'!A:A,A13)&gt;0,COUNTIF('O3'!A:A,A13)&gt;0,COUNTIF('PM10'!A:A,A13)&gt;0,COUNTIF('PM2.5'!A:A,A13)&gt;0,COUNTIF('SO2'!A:A,A13)&gt;0)</f>
        <v>1</v>
      </c>
    </row>
    <row r="14" spans="1:9" x14ac:dyDescent="0.45">
      <c r="A14" s="4">
        <v>45387</v>
      </c>
      <c r="B14" t="s">
        <v>142</v>
      </c>
      <c r="C14" t="s">
        <v>111</v>
      </c>
      <c r="D14" t="s">
        <v>151</v>
      </c>
      <c r="E14" t="s">
        <v>142</v>
      </c>
      <c r="F14" t="s">
        <v>111</v>
      </c>
      <c r="G14" t="s">
        <v>85</v>
      </c>
      <c r="H14">
        <v>23</v>
      </c>
      <c r="I14" t="b">
        <f>AND(COUNTIF('NO2'!A:A,A14)&gt;0,COUNTIF('O3'!A:A,A14)&gt;0,COUNTIF('PM10'!A:A,A14)&gt;0,COUNTIF('PM2.5'!A:A,A14)&gt;0,COUNTIF('SO2'!A:A,A14)&gt;0)</f>
        <v>1</v>
      </c>
    </row>
    <row r="15" spans="1:9" x14ac:dyDescent="0.45">
      <c r="A15" s="4">
        <v>45388</v>
      </c>
      <c r="B15" t="s">
        <v>150</v>
      </c>
      <c r="C15" t="s">
        <v>145</v>
      </c>
      <c r="D15" t="s">
        <v>111</v>
      </c>
      <c r="E15" t="s">
        <v>150</v>
      </c>
      <c r="F15" t="s">
        <v>140</v>
      </c>
      <c r="G15" t="s">
        <v>97</v>
      </c>
      <c r="H15">
        <v>24</v>
      </c>
      <c r="I15" t="b">
        <f>AND(COUNTIF('NO2'!A:A,A15)&gt;0,COUNTIF('O3'!A:A,A15)&gt;0,COUNTIF('PM10'!A:A,A15)&gt;0,COUNTIF('PM2.5'!A:A,A15)&gt;0,COUNTIF('SO2'!A:A,A15)&gt;0)</f>
        <v>1</v>
      </c>
    </row>
    <row r="16" spans="1:9" x14ac:dyDescent="0.45">
      <c r="A16" s="4">
        <v>45389</v>
      </c>
      <c r="B16" t="s">
        <v>149</v>
      </c>
      <c r="C16" t="s">
        <v>123</v>
      </c>
      <c r="D16" t="s">
        <v>152</v>
      </c>
      <c r="E16" t="s">
        <v>147</v>
      </c>
      <c r="F16" t="s">
        <v>127</v>
      </c>
      <c r="G16" t="s">
        <v>153</v>
      </c>
      <c r="H16">
        <v>24</v>
      </c>
      <c r="I16" t="b">
        <f>AND(COUNTIF('NO2'!A:A,A16)&gt;0,COUNTIF('O3'!A:A,A16)&gt;0,COUNTIF('PM10'!A:A,A16)&gt;0,COUNTIF('PM2.5'!A:A,A16)&gt;0,COUNTIF('SO2'!A:A,A16)&gt;0)</f>
        <v>1</v>
      </c>
    </row>
    <row r="17" spans="1:9" x14ac:dyDescent="0.45">
      <c r="A17" s="4">
        <v>45390</v>
      </c>
      <c r="B17" t="s">
        <v>146</v>
      </c>
      <c r="C17" t="s">
        <v>154</v>
      </c>
      <c r="D17" t="s">
        <v>136</v>
      </c>
      <c r="E17" t="s">
        <v>132</v>
      </c>
      <c r="F17" t="s">
        <v>127</v>
      </c>
      <c r="G17" t="s">
        <v>155</v>
      </c>
      <c r="H17">
        <v>24</v>
      </c>
      <c r="I17" t="b">
        <f>AND(COUNTIF('NO2'!A:A,A17)&gt;0,COUNTIF('O3'!A:A,A17)&gt;0,COUNTIF('PM10'!A:A,A17)&gt;0,COUNTIF('PM2.5'!A:A,A17)&gt;0,COUNTIF('SO2'!A:A,A17)&gt;0)</f>
        <v>1</v>
      </c>
    </row>
    <row r="18" spans="1:9" x14ac:dyDescent="0.45">
      <c r="A18" s="4">
        <v>45391</v>
      </c>
      <c r="B18" t="s">
        <v>152</v>
      </c>
      <c r="C18" t="s">
        <v>115</v>
      </c>
      <c r="D18" t="s">
        <v>156</v>
      </c>
      <c r="E18" t="s">
        <v>130</v>
      </c>
      <c r="F18" t="s">
        <v>157</v>
      </c>
      <c r="G18" t="s">
        <v>27</v>
      </c>
      <c r="H18">
        <v>24</v>
      </c>
      <c r="I18" t="b">
        <f>AND(COUNTIF('NO2'!A:A,A18)&gt;0,COUNTIF('O3'!A:A,A18)&gt;0,COUNTIF('PM10'!A:A,A18)&gt;0,COUNTIF('PM2.5'!A:A,A18)&gt;0,COUNTIF('SO2'!A:A,A18)&gt;0)</f>
        <v>1</v>
      </c>
    </row>
    <row r="19" spans="1:9" x14ac:dyDescent="0.45">
      <c r="A19" s="4">
        <v>45392</v>
      </c>
      <c r="B19" t="s">
        <v>148</v>
      </c>
      <c r="C19" t="s">
        <v>115</v>
      </c>
      <c r="D19" t="s">
        <v>156</v>
      </c>
      <c r="E19" t="s">
        <v>152</v>
      </c>
      <c r="F19" t="s">
        <v>157</v>
      </c>
      <c r="G19" t="s">
        <v>158</v>
      </c>
      <c r="H19">
        <v>24</v>
      </c>
      <c r="I19" t="b">
        <f>AND(COUNTIF('NO2'!A:A,A19)&gt;0,COUNTIF('O3'!A:A,A19)&gt;0,COUNTIF('PM10'!A:A,A19)&gt;0,COUNTIF('PM2.5'!A:A,A19)&gt;0,COUNTIF('SO2'!A:A,A19)&gt;0)</f>
        <v>1</v>
      </c>
    </row>
    <row r="20" spans="1:9" x14ac:dyDescent="0.45">
      <c r="A20" s="4">
        <v>45393</v>
      </c>
      <c r="B20" t="s">
        <v>140</v>
      </c>
      <c r="C20" t="s">
        <v>157</v>
      </c>
      <c r="D20" t="s">
        <v>156</v>
      </c>
      <c r="E20" t="s">
        <v>149</v>
      </c>
      <c r="F20" t="s">
        <v>132</v>
      </c>
      <c r="G20" t="s">
        <v>72</v>
      </c>
      <c r="H20">
        <v>24</v>
      </c>
      <c r="I20" t="b">
        <f>AND(COUNTIF('NO2'!A:A,A20)&gt;0,COUNTIF('O3'!A:A,A20)&gt;0,COUNTIF('PM10'!A:A,A20)&gt;0,COUNTIF('PM2.5'!A:A,A20)&gt;0,COUNTIF('SO2'!A:A,A20)&gt;0)</f>
        <v>1</v>
      </c>
    </row>
    <row r="21" spans="1:9" x14ac:dyDescent="0.45">
      <c r="A21" s="4">
        <v>45394</v>
      </c>
      <c r="B21" t="s">
        <v>140</v>
      </c>
      <c r="C21" t="s">
        <v>154</v>
      </c>
      <c r="D21" t="s">
        <v>148</v>
      </c>
      <c r="E21" t="s">
        <v>140</v>
      </c>
      <c r="F21" t="s">
        <v>159</v>
      </c>
      <c r="G21" t="s">
        <v>160</v>
      </c>
      <c r="H21">
        <v>24</v>
      </c>
      <c r="I21" t="b">
        <f>AND(COUNTIF('NO2'!A:A,A21)&gt;0,COUNTIF('O3'!A:A,A21)&gt;0,COUNTIF('PM10'!A:A,A21)&gt;0,COUNTIF('PM2.5'!A:A,A21)&gt;0,COUNTIF('SO2'!A:A,A21)&gt;0)</f>
        <v>1</v>
      </c>
    </row>
    <row r="22" spans="1:9" x14ac:dyDescent="0.45">
      <c r="A22" s="4">
        <v>45395</v>
      </c>
      <c r="B22" t="s">
        <v>161</v>
      </c>
      <c r="C22" t="s">
        <v>154</v>
      </c>
      <c r="D22" t="s">
        <v>162</v>
      </c>
      <c r="E22" t="s">
        <v>163</v>
      </c>
      <c r="F22" t="s">
        <v>164</v>
      </c>
      <c r="G22" t="s">
        <v>87</v>
      </c>
      <c r="H22">
        <v>24</v>
      </c>
      <c r="I22" t="b">
        <f>AND(COUNTIF('NO2'!A:A,A22)&gt;0,COUNTIF('O3'!A:A,A22)&gt;0,COUNTIF('PM10'!A:A,A22)&gt;0,COUNTIF('PM2.5'!A:A,A22)&gt;0,COUNTIF('SO2'!A:A,A22)&gt;0)</f>
        <v>1</v>
      </c>
    </row>
    <row r="23" spans="1:9" x14ac:dyDescent="0.45">
      <c r="A23" s="4">
        <v>45396</v>
      </c>
      <c r="B23" t="s">
        <v>132</v>
      </c>
      <c r="C23" t="s">
        <v>162</v>
      </c>
      <c r="D23" t="s">
        <v>163</v>
      </c>
      <c r="E23" t="s">
        <v>159</v>
      </c>
      <c r="F23" t="s">
        <v>162</v>
      </c>
      <c r="G23" t="s">
        <v>165</v>
      </c>
      <c r="H23">
        <v>24</v>
      </c>
      <c r="I23" t="b">
        <f>AND(COUNTIF('NO2'!A:A,A23)&gt;0,COUNTIF('O3'!A:A,A23)&gt;0,COUNTIF('PM10'!A:A,A23)&gt;0,COUNTIF('PM2.5'!A:A,A23)&gt;0,COUNTIF('SO2'!A:A,A23)&gt;0)</f>
        <v>1</v>
      </c>
    </row>
    <row r="24" spans="1:9" x14ac:dyDescent="0.45">
      <c r="A24" s="4">
        <v>45397</v>
      </c>
      <c r="B24" t="s">
        <v>110</v>
      </c>
      <c r="C24" t="s">
        <v>132</v>
      </c>
      <c r="D24" t="s">
        <v>156</v>
      </c>
      <c r="E24" t="s">
        <v>145</v>
      </c>
      <c r="F24" t="s">
        <v>156</v>
      </c>
      <c r="G24" t="s">
        <v>166</v>
      </c>
      <c r="H24">
        <v>24</v>
      </c>
      <c r="I24" t="b">
        <f>AND(COUNTIF('NO2'!A:A,A24)&gt;0,COUNTIF('O3'!A:A,A24)&gt;0,COUNTIF('PM10'!A:A,A24)&gt;0,COUNTIF('PM2.5'!A:A,A24)&gt;0,COUNTIF('SO2'!A:A,A24)&gt;0)</f>
        <v>1</v>
      </c>
    </row>
    <row r="25" spans="1:9" x14ac:dyDescent="0.45">
      <c r="A25" s="4">
        <v>45398</v>
      </c>
      <c r="B25" t="s">
        <v>150</v>
      </c>
      <c r="C25" t="s">
        <v>137</v>
      </c>
      <c r="D25" t="s">
        <v>110</v>
      </c>
      <c r="E25" t="s">
        <v>111</v>
      </c>
      <c r="F25" t="s">
        <v>140</v>
      </c>
      <c r="G25" t="s">
        <v>16</v>
      </c>
      <c r="H25">
        <v>24</v>
      </c>
      <c r="I25" t="b">
        <f>AND(COUNTIF('NO2'!A:A,A25)&gt;0,COUNTIF('O3'!A:A,A25)&gt;0,COUNTIF('PM10'!A:A,A25)&gt;0,COUNTIF('PM2.5'!A:A,A25)&gt;0,COUNTIF('SO2'!A:A,A25)&gt;0)</f>
        <v>1</v>
      </c>
    </row>
    <row r="26" spans="1:9" x14ac:dyDescent="0.45">
      <c r="A26" s="4">
        <v>45399</v>
      </c>
      <c r="B26" t="s">
        <v>167</v>
      </c>
      <c r="C26" t="s">
        <v>148</v>
      </c>
      <c r="D26" t="s">
        <v>168</v>
      </c>
      <c r="E26" t="s">
        <v>168</v>
      </c>
      <c r="F26" t="s">
        <v>111</v>
      </c>
      <c r="G26" t="s">
        <v>169</v>
      </c>
      <c r="H26">
        <v>24</v>
      </c>
      <c r="I26" t="b">
        <f>AND(COUNTIF('NO2'!A:A,A26)&gt;0,COUNTIF('O3'!A:A,A26)&gt;0,COUNTIF('PM10'!A:A,A26)&gt;0,COUNTIF('PM2.5'!A:A,A26)&gt;0,COUNTIF('SO2'!A:A,A26)&gt;0)</f>
        <v>1</v>
      </c>
    </row>
    <row r="27" spans="1:9" x14ac:dyDescent="0.45">
      <c r="A27" s="4">
        <v>45400</v>
      </c>
      <c r="B27" t="s">
        <v>148</v>
      </c>
      <c r="C27" t="s">
        <v>170</v>
      </c>
      <c r="D27" t="s">
        <v>146</v>
      </c>
      <c r="E27" t="s">
        <v>147</v>
      </c>
      <c r="F27" t="s">
        <v>152</v>
      </c>
      <c r="G27" t="s">
        <v>37</v>
      </c>
      <c r="H27">
        <v>24</v>
      </c>
      <c r="I27" t="b">
        <f>AND(COUNTIF('NO2'!A:A,A27)&gt;0,COUNTIF('O3'!A:A,A27)&gt;0,COUNTIF('PM10'!A:A,A27)&gt;0,COUNTIF('PM2.5'!A:A,A27)&gt;0,COUNTIF('SO2'!A:A,A27)&gt;0)</f>
        <v>1</v>
      </c>
    </row>
    <row r="28" spans="1:9" x14ac:dyDescent="0.45">
      <c r="A28" s="4">
        <v>45401</v>
      </c>
      <c r="B28" t="s">
        <v>149</v>
      </c>
      <c r="C28" t="s">
        <v>170</v>
      </c>
      <c r="D28" t="s">
        <v>152</v>
      </c>
      <c r="E28" t="s">
        <v>148</v>
      </c>
      <c r="F28" t="s">
        <v>130</v>
      </c>
      <c r="G28" t="s">
        <v>27</v>
      </c>
      <c r="H28">
        <v>24</v>
      </c>
      <c r="I28" t="b">
        <f>AND(COUNTIF('NO2'!A:A,A28)&gt;0,COUNTIF('O3'!A:A,A28)&gt;0,COUNTIF('PM10'!A:A,A28)&gt;0,COUNTIF('PM2.5'!A:A,A28)&gt;0,COUNTIF('SO2'!A:A,A28)&gt;0)</f>
        <v>1</v>
      </c>
    </row>
    <row r="29" spans="1:9" x14ac:dyDescent="0.45">
      <c r="A29" s="4">
        <v>45402</v>
      </c>
      <c r="B29" t="s">
        <v>149</v>
      </c>
      <c r="C29" t="s">
        <v>170</v>
      </c>
      <c r="D29" t="s">
        <v>148</v>
      </c>
      <c r="E29" t="s">
        <v>149</v>
      </c>
      <c r="F29" t="s">
        <v>146</v>
      </c>
      <c r="G29" t="s">
        <v>20</v>
      </c>
      <c r="H29">
        <v>24</v>
      </c>
      <c r="I29" t="b">
        <f>AND(COUNTIF('NO2'!A:A,A29)&gt;0,COUNTIF('O3'!A:A,A29)&gt;0,COUNTIF('PM10'!A:A,A29)&gt;0,COUNTIF('PM2.5'!A:A,A29)&gt;0,COUNTIF('SO2'!A:A,A29)&gt;0)</f>
        <v>1</v>
      </c>
    </row>
    <row r="30" spans="1:9" x14ac:dyDescent="0.45">
      <c r="A30" s="4">
        <v>45403</v>
      </c>
      <c r="B30" t="s">
        <v>152</v>
      </c>
      <c r="C30" t="s">
        <v>132</v>
      </c>
      <c r="D30" t="s">
        <v>156</v>
      </c>
      <c r="E30" t="s">
        <v>130</v>
      </c>
      <c r="F30" t="s">
        <v>156</v>
      </c>
      <c r="G30" t="s">
        <v>100</v>
      </c>
      <c r="H30">
        <v>24</v>
      </c>
      <c r="I30" t="b">
        <f>AND(COUNTIF('NO2'!A:A,A30)&gt;0,COUNTIF('O3'!A:A,A30)&gt;0,COUNTIF('PM10'!A:A,A30)&gt;0,COUNTIF('PM2.5'!A:A,A30)&gt;0,COUNTIF('SO2'!A:A,A30)&gt;0)</f>
        <v>1</v>
      </c>
    </row>
    <row r="31" spans="1:9" x14ac:dyDescent="0.45">
      <c r="A31" s="4">
        <v>45404</v>
      </c>
      <c r="B31" t="s">
        <v>140</v>
      </c>
      <c r="C31" t="s">
        <v>152</v>
      </c>
      <c r="D31" t="s">
        <v>148</v>
      </c>
      <c r="E31" t="s">
        <v>145</v>
      </c>
      <c r="F31" t="s">
        <v>147</v>
      </c>
      <c r="G31" t="s">
        <v>165</v>
      </c>
      <c r="H31">
        <v>24</v>
      </c>
      <c r="I31" t="b">
        <f>AND(COUNTIF('NO2'!A:A,A31)&gt;0,COUNTIF('O3'!A:A,A31)&gt;0,COUNTIF('PM10'!A:A,A31)&gt;0,COUNTIF('PM2.5'!A:A,A31)&gt;0,COUNTIF('SO2'!A:A,A31)&gt;0)</f>
        <v>1</v>
      </c>
    </row>
    <row r="32" spans="1:9" x14ac:dyDescent="0.45">
      <c r="A32" s="4">
        <v>45405</v>
      </c>
      <c r="B32" t="s">
        <v>110</v>
      </c>
      <c r="C32" t="s">
        <v>123</v>
      </c>
      <c r="D32" t="s">
        <v>137</v>
      </c>
      <c r="E32" t="s">
        <v>110</v>
      </c>
      <c r="F32" t="s">
        <v>161</v>
      </c>
      <c r="G32" t="s">
        <v>106</v>
      </c>
      <c r="H32">
        <v>24</v>
      </c>
      <c r="I32" t="b">
        <f>AND(COUNTIF('NO2'!A:A,A32)&gt;0,COUNTIF('O3'!A:A,A32)&gt;0,COUNTIF('PM10'!A:A,A32)&gt;0,COUNTIF('PM2.5'!A:A,A32)&gt;0,COUNTIF('SO2'!A:A,A32)&gt;0)</f>
        <v>1</v>
      </c>
    </row>
    <row r="33" spans="1:9" x14ac:dyDescent="0.45">
      <c r="A33" s="4">
        <v>45406</v>
      </c>
      <c r="B33" t="s">
        <v>115</v>
      </c>
      <c r="C33" t="s">
        <v>134</v>
      </c>
      <c r="D33" t="s">
        <v>117</v>
      </c>
      <c r="E33" t="s">
        <v>136</v>
      </c>
      <c r="F33" t="s">
        <v>134</v>
      </c>
      <c r="G33" t="s">
        <v>171</v>
      </c>
      <c r="H33">
        <v>24</v>
      </c>
      <c r="I33" t="b">
        <f>AND(COUNTIF('NO2'!A:A,A33)&gt;0,COUNTIF('O3'!A:A,A33)&gt;0,COUNTIF('PM10'!A:A,A33)&gt;0,COUNTIF('PM2.5'!A:A,A33)&gt;0,COUNTIF('SO2'!A:A,A33)&gt;0)</f>
        <v>1</v>
      </c>
    </row>
    <row r="34" spans="1:9" x14ac:dyDescent="0.45">
      <c r="A34" s="4">
        <v>45407</v>
      </c>
      <c r="B34" t="s">
        <v>149</v>
      </c>
      <c r="C34" t="s">
        <v>159</v>
      </c>
      <c r="D34" t="s">
        <v>132</v>
      </c>
      <c r="E34" t="s">
        <v>152</v>
      </c>
      <c r="F34" t="s">
        <v>157</v>
      </c>
      <c r="G34" t="s">
        <v>172</v>
      </c>
      <c r="H34">
        <v>24</v>
      </c>
      <c r="I34" t="b">
        <f>AND(COUNTIF('NO2'!A:A,A34)&gt;0,COUNTIF('O3'!A:A,A34)&gt;0,COUNTIF('PM10'!A:A,A34)&gt;0,COUNTIF('PM2.5'!A:A,A34)&gt;0,COUNTIF('SO2'!A:A,A34)&gt;0)</f>
        <v>1</v>
      </c>
    </row>
    <row r="35" spans="1:9" x14ac:dyDescent="0.45">
      <c r="A35" s="4">
        <v>45408</v>
      </c>
      <c r="B35" t="s">
        <v>111</v>
      </c>
      <c r="C35" t="s">
        <v>147</v>
      </c>
      <c r="D35" t="s">
        <v>137</v>
      </c>
      <c r="E35" t="s">
        <v>140</v>
      </c>
      <c r="F35" t="s">
        <v>148</v>
      </c>
      <c r="G35" t="s">
        <v>165</v>
      </c>
      <c r="H35">
        <v>24</v>
      </c>
      <c r="I35" t="b">
        <f>AND(COUNTIF('NO2'!A:A,A35)&gt;0,COUNTIF('O3'!A:A,A35)&gt;0,COUNTIF('PM10'!A:A,A35)&gt;0,COUNTIF('PM2.5'!A:A,A35)&gt;0,COUNTIF('SO2'!A:A,A35)&gt;0)</f>
        <v>1</v>
      </c>
    </row>
    <row r="36" spans="1:9" x14ac:dyDescent="0.45">
      <c r="A36" s="4">
        <v>45409</v>
      </c>
      <c r="B36" t="s">
        <v>167</v>
      </c>
      <c r="C36" t="s">
        <v>146</v>
      </c>
      <c r="D36" t="s">
        <v>167</v>
      </c>
      <c r="E36" t="s">
        <v>167</v>
      </c>
      <c r="F36" t="s">
        <v>151</v>
      </c>
      <c r="G36" t="s">
        <v>173</v>
      </c>
      <c r="H36">
        <v>24</v>
      </c>
      <c r="I36" t="b">
        <f>AND(COUNTIF('NO2'!A:A,A36)&gt;0,COUNTIF('O3'!A:A,A36)&gt;0,COUNTIF('PM10'!A:A,A36)&gt;0,COUNTIF('PM2.5'!A:A,A36)&gt;0,COUNTIF('SO2'!A:A,A36)&gt;0)</f>
        <v>1</v>
      </c>
    </row>
    <row r="37" spans="1:9" x14ac:dyDescent="0.45">
      <c r="A37" s="4">
        <v>45410</v>
      </c>
      <c r="B37" t="s">
        <v>146</v>
      </c>
      <c r="C37" t="s">
        <v>174</v>
      </c>
      <c r="D37" t="s">
        <v>115</v>
      </c>
      <c r="E37" t="s">
        <v>156</v>
      </c>
      <c r="F37" t="s">
        <v>161</v>
      </c>
      <c r="G37" t="s">
        <v>175</v>
      </c>
      <c r="H37">
        <v>24</v>
      </c>
      <c r="I37" t="b">
        <f>AND(COUNTIF('NO2'!A:A,A37)&gt;0,COUNTIF('O3'!A:A,A37)&gt;0,COUNTIF('PM10'!A:A,A37)&gt;0,COUNTIF('PM2.5'!A:A,A37)&gt;0,COUNTIF('SO2'!A:A,A37)&gt;0)</f>
        <v>1</v>
      </c>
    </row>
    <row r="38" spans="1:9" x14ac:dyDescent="0.45">
      <c r="A38" s="4">
        <v>45411</v>
      </c>
      <c r="B38" t="s">
        <v>137</v>
      </c>
      <c r="C38" t="s">
        <v>147</v>
      </c>
      <c r="D38" t="s">
        <v>149</v>
      </c>
      <c r="E38" t="s">
        <v>145</v>
      </c>
      <c r="F38" t="s">
        <v>148</v>
      </c>
      <c r="G38" t="s">
        <v>38</v>
      </c>
      <c r="H38">
        <v>24</v>
      </c>
      <c r="I38" t="b">
        <f>AND(COUNTIF('NO2'!A:A,A38)&gt;0,COUNTIF('O3'!A:A,A38)&gt;0,COUNTIF('PM10'!A:A,A38)&gt;0,COUNTIF('PM2.5'!A:A,A38)&gt;0,COUNTIF('SO2'!A:A,A38)&gt;0)</f>
        <v>1</v>
      </c>
    </row>
    <row r="39" spans="1:9" x14ac:dyDescent="0.45">
      <c r="A39" s="4">
        <v>45412</v>
      </c>
      <c r="B39" t="s">
        <v>147</v>
      </c>
      <c r="C39" t="s">
        <v>132</v>
      </c>
      <c r="D39" t="s">
        <v>130</v>
      </c>
      <c r="E39" t="s">
        <v>147</v>
      </c>
      <c r="F39" t="s">
        <v>156</v>
      </c>
      <c r="G39" t="s">
        <v>27</v>
      </c>
      <c r="H39">
        <v>24</v>
      </c>
      <c r="I39" t="b">
        <f>AND(COUNTIF('NO2'!A:A,A39)&gt;0,COUNTIF('O3'!A:A,A39)&gt;0,COUNTIF('PM10'!A:A,A39)&gt;0,COUNTIF('PM2.5'!A:A,A39)&gt;0,COUNTIF('SO2'!A:A,A39)&gt;0)</f>
        <v>1</v>
      </c>
    </row>
    <row r="40" spans="1:9" x14ac:dyDescent="0.45">
      <c r="A40" s="4">
        <v>45413</v>
      </c>
      <c r="B40" t="s">
        <v>111</v>
      </c>
      <c r="C40" t="s">
        <v>130</v>
      </c>
      <c r="D40" t="s">
        <v>149</v>
      </c>
      <c r="E40" t="s">
        <v>140</v>
      </c>
      <c r="F40" t="s">
        <v>152</v>
      </c>
      <c r="G40" t="s">
        <v>176</v>
      </c>
      <c r="H40">
        <v>24</v>
      </c>
      <c r="I40" t="b">
        <f>AND(COUNTIF('NO2'!A:A,A40)&gt;0,COUNTIF('O3'!A:A,A40)&gt;0,COUNTIF('PM10'!A:A,A40)&gt;0,COUNTIF('PM2.5'!A:A,A40)&gt;0,COUNTIF('SO2'!A:A,A40)&gt;0)</f>
        <v>1</v>
      </c>
    </row>
    <row r="41" spans="1:9" x14ac:dyDescent="0.45">
      <c r="A41" s="4">
        <v>45414</v>
      </c>
      <c r="B41" t="s">
        <v>150</v>
      </c>
      <c r="C41" t="s">
        <v>110</v>
      </c>
      <c r="D41" t="s">
        <v>150</v>
      </c>
      <c r="E41" t="s">
        <v>150</v>
      </c>
      <c r="F41" t="s">
        <v>111</v>
      </c>
      <c r="G41" t="s">
        <v>33</v>
      </c>
      <c r="H41">
        <v>24</v>
      </c>
      <c r="I41" t="b">
        <f>AND(COUNTIF('NO2'!A:A,A41)&gt;0,COUNTIF('O3'!A:A,A41)&gt;0,COUNTIF('PM10'!A:A,A41)&gt;0,COUNTIF('PM2.5'!A:A,A41)&gt;0,COUNTIF('SO2'!A:A,A41)&gt;0)</f>
        <v>1</v>
      </c>
    </row>
    <row r="42" spans="1:9" x14ac:dyDescent="0.45">
      <c r="A42" s="4">
        <v>45415</v>
      </c>
      <c r="B42" t="s">
        <v>142</v>
      </c>
      <c r="C42" t="s">
        <v>110</v>
      </c>
      <c r="D42" t="s">
        <v>151</v>
      </c>
      <c r="E42" t="s">
        <v>151</v>
      </c>
      <c r="F42" t="s">
        <v>111</v>
      </c>
      <c r="G42" t="s">
        <v>100</v>
      </c>
      <c r="H42">
        <v>24</v>
      </c>
      <c r="I42" t="b">
        <f>AND(COUNTIF('NO2'!A:A,A42)&gt;0,COUNTIF('O3'!A:A,A42)&gt;0,COUNTIF('PM10'!A:A,A42)&gt;0,COUNTIF('PM2.5'!A:A,A42)&gt;0,COUNTIF('SO2'!A:A,A42)&gt;0)</f>
        <v>1</v>
      </c>
    </row>
    <row r="43" spans="1:9" x14ac:dyDescent="0.45">
      <c r="A43" s="4">
        <v>45416</v>
      </c>
      <c r="B43" t="s">
        <v>142</v>
      </c>
      <c r="C43" t="s">
        <v>110</v>
      </c>
      <c r="D43" t="s">
        <v>111</v>
      </c>
      <c r="E43" t="s">
        <v>150</v>
      </c>
      <c r="F43" t="s">
        <v>111</v>
      </c>
      <c r="G43" t="s">
        <v>37</v>
      </c>
      <c r="H43">
        <v>16</v>
      </c>
      <c r="I43" t="b">
        <f>AND(COUNTIF('NO2'!A:A,A43)&gt;0,COUNTIF('O3'!A:A,A43)&gt;0,COUNTIF('PM10'!A:A,A43)&gt;0,COUNTIF('PM2.5'!A:A,A43)&gt;0,COUNTIF('SO2'!A:A,A43)&gt;0)</f>
        <v>1</v>
      </c>
    </row>
    <row r="44" spans="1:9" x14ac:dyDescent="0.45">
      <c r="A44" s="4">
        <v>45417</v>
      </c>
      <c r="B44" t="s">
        <v>142</v>
      </c>
      <c r="C44" t="s">
        <v>150</v>
      </c>
      <c r="D44" t="s">
        <v>151</v>
      </c>
      <c r="E44" t="s">
        <v>142</v>
      </c>
      <c r="F44" t="s">
        <v>151</v>
      </c>
      <c r="G44" t="s">
        <v>33</v>
      </c>
      <c r="H44">
        <v>20</v>
      </c>
      <c r="I44" t="b">
        <f>AND(COUNTIF('NO2'!A:A,A44)&gt;0,COUNTIF('O3'!A:A,A44)&gt;0,COUNTIF('PM10'!A:A,A44)&gt;0,COUNTIF('PM2.5'!A:A,A44)&gt;0,COUNTIF('SO2'!A:A,A44)&gt;0)</f>
        <v>1</v>
      </c>
    </row>
    <row r="45" spans="1:9" x14ac:dyDescent="0.45">
      <c r="A45" s="4">
        <v>45418</v>
      </c>
      <c r="B45" t="s">
        <v>143</v>
      </c>
      <c r="C45" t="s">
        <v>150</v>
      </c>
      <c r="D45" t="s">
        <v>167</v>
      </c>
      <c r="E45" t="s">
        <v>143</v>
      </c>
      <c r="F45" t="s">
        <v>168</v>
      </c>
      <c r="G45" t="s">
        <v>85</v>
      </c>
      <c r="H45">
        <v>24</v>
      </c>
      <c r="I45" t="b">
        <f>AND(COUNTIF('NO2'!A:A,A45)&gt;0,COUNTIF('O3'!A:A,A45)&gt;0,COUNTIF('PM10'!A:A,A45)&gt;0,COUNTIF('PM2.5'!A:A,A45)&gt;0,COUNTIF('SO2'!A:A,A45)&gt;0)</f>
        <v>1</v>
      </c>
    </row>
    <row r="46" spans="1:9" x14ac:dyDescent="0.45">
      <c r="A46" s="4">
        <v>45419</v>
      </c>
      <c r="B46" t="s">
        <v>168</v>
      </c>
      <c r="C46" t="s">
        <v>140</v>
      </c>
      <c r="D46" t="s">
        <v>111</v>
      </c>
      <c r="E46" t="s">
        <v>142</v>
      </c>
      <c r="F46" t="s">
        <v>110</v>
      </c>
      <c r="G46" t="s">
        <v>27</v>
      </c>
      <c r="H46">
        <v>24</v>
      </c>
      <c r="I46" t="b">
        <f>AND(COUNTIF('NO2'!A:A,A46)&gt;0,COUNTIF('O3'!A:A,A46)&gt;0,COUNTIF('PM10'!A:A,A46)&gt;0,COUNTIF('PM2.5'!A:A,A46)&gt;0,COUNTIF('SO2'!A:A,A46)&gt;0)</f>
        <v>1</v>
      </c>
    </row>
    <row r="47" spans="1:9" x14ac:dyDescent="0.45">
      <c r="A47" s="4">
        <v>45420</v>
      </c>
      <c r="B47" t="s">
        <v>168</v>
      </c>
      <c r="C47" t="s">
        <v>156</v>
      </c>
      <c r="D47" t="s">
        <v>168</v>
      </c>
      <c r="E47" t="s">
        <v>168</v>
      </c>
      <c r="F47" t="s">
        <v>137</v>
      </c>
      <c r="G47" t="s">
        <v>177</v>
      </c>
      <c r="H47">
        <v>24</v>
      </c>
      <c r="I47" t="b">
        <f>AND(COUNTIF('NO2'!A:A,A47)&gt;0,COUNTIF('O3'!A:A,A47)&gt;0,COUNTIF('PM10'!A:A,A47)&gt;0,COUNTIF('PM2.5'!A:A,A47)&gt;0,COUNTIF('SO2'!A:A,A47)&gt;0)</f>
        <v>1</v>
      </c>
    </row>
    <row r="48" spans="1:9" x14ac:dyDescent="0.45">
      <c r="A48" s="4">
        <v>45421</v>
      </c>
      <c r="B48" t="s">
        <v>170</v>
      </c>
      <c r="C48" t="s">
        <v>136</v>
      </c>
      <c r="D48" t="s">
        <v>161</v>
      </c>
      <c r="E48" t="s">
        <v>157</v>
      </c>
      <c r="F48" t="s">
        <v>174</v>
      </c>
      <c r="G48" t="s">
        <v>83</v>
      </c>
      <c r="H48">
        <v>24</v>
      </c>
      <c r="I48" t="b">
        <f>AND(COUNTIF('NO2'!A:A,A48)&gt;0,COUNTIF('O3'!A:A,A48)&gt;0,COUNTIF('PM10'!A:A,A48)&gt;0,COUNTIF('PM2.5'!A:A,A48)&gt;0,COUNTIF('SO2'!A:A,A48)&gt;0)</f>
        <v>1</v>
      </c>
    </row>
    <row r="49" spans="1:9" x14ac:dyDescent="0.45">
      <c r="A49" s="4">
        <v>45422</v>
      </c>
      <c r="B49" t="s">
        <v>148</v>
      </c>
      <c r="C49" t="s">
        <v>130</v>
      </c>
      <c r="D49" t="s">
        <v>146</v>
      </c>
      <c r="E49" t="s">
        <v>147</v>
      </c>
      <c r="F49" t="s">
        <v>152</v>
      </c>
      <c r="G49" t="s">
        <v>85</v>
      </c>
      <c r="H49">
        <v>24</v>
      </c>
      <c r="I49" t="b">
        <f>AND(COUNTIF('NO2'!A:A,A49)&gt;0,COUNTIF('O3'!A:A,A49)&gt;0,COUNTIF('PM10'!A:A,A49)&gt;0,COUNTIF('PM2.5'!A:A,A49)&gt;0,COUNTIF('SO2'!A:A,A49)&gt;0)</f>
        <v>1</v>
      </c>
    </row>
    <row r="50" spans="1:9" x14ac:dyDescent="0.45">
      <c r="A50" s="4">
        <v>45423</v>
      </c>
      <c r="B50" t="s">
        <v>140</v>
      </c>
      <c r="C50" t="s">
        <v>145</v>
      </c>
      <c r="D50" t="s">
        <v>137</v>
      </c>
      <c r="E50" t="s">
        <v>137</v>
      </c>
      <c r="F50" t="s">
        <v>137</v>
      </c>
      <c r="G50" t="s">
        <v>38</v>
      </c>
      <c r="H50">
        <v>24</v>
      </c>
      <c r="I50" t="b">
        <f>AND(COUNTIF('NO2'!A:A,A50)&gt;0,COUNTIF('O3'!A:A,A50)&gt;0,COUNTIF('PM10'!A:A,A50)&gt;0,COUNTIF('PM2.5'!A:A,A50)&gt;0,COUNTIF('SO2'!A:A,A50)&gt;0)</f>
        <v>1</v>
      </c>
    </row>
    <row r="51" spans="1:9" x14ac:dyDescent="0.45">
      <c r="A51" s="4">
        <v>45424</v>
      </c>
      <c r="B51" t="s">
        <v>137</v>
      </c>
      <c r="C51" t="s">
        <v>149</v>
      </c>
      <c r="D51" t="s">
        <v>137</v>
      </c>
      <c r="E51" t="s">
        <v>137</v>
      </c>
      <c r="F51" t="s">
        <v>149</v>
      </c>
      <c r="G51" t="s">
        <v>16</v>
      </c>
      <c r="H51">
        <v>24</v>
      </c>
      <c r="I51" t="b">
        <f>AND(COUNTIF('NO2'!A:A,A51)&gt;0,COUNTIF('O3'!A:A,A51)&gt;0,COUNTIF('PM10'!A:A,A51)&gt;0,COUNTIF('PM2.5'!A:A,A51)&gt;0,COUNTIF('SO2'!A:A,A51)&gt;0)</f>
        <v>1</v>
      </c>
    </row>
    <row r="52" spans="1:9" x14ac:dyDescent="0.45">
      <c r="A52" s="4">
        <v>45425</v>
      </c>
      <c r="B52" t="s">
        <v>149</v>
      </c>
      <c r="C52" t="s">
        <v>147</v>
      </c>
      <c r="D52" t="s">
        <v>148</v>
      </c>
      <c r="E52" t="s">
        <v>148</v>
      </c>
      <c r="F52" t="s">
        <v>147</v>
      </c>
      <c r="G52" t="s">
        <v>24</v>
      </c>
      <c r="H52">
        <v>24</v>
      </c>
      <c r="I52" t="b">
        <f>AND(COUNTIF('NO2'!A:A,A52)&gt;0,COUNTIF('O3'!A:A,A52)&gt;0,COUNTIF('PM10'!A:A,A52)&gt;0,COUNTIF('PM2.5'!A:A,A52)&gt;0,COUNTIF('SO2'!A:A,A52)&gt;0)</f>
        <v>1</v>
      </c>
    </row>
    <row r="53" spans="1:9" x14ac:dyDescent="0.45">
      <c r="A53" s="4">
        <v>45426</v>
      </c>
      <c r="B53" t="s">
        <v>149</v>
      </c>
      <c r="C53" t="s">
        <v>147</v>
      </c>
      <c r="D53" t="s">
        <v>148</v>
      </c>
      <c r="E53" t="s">
        <v>148</v>
      </c>
      <c r="F53" t="s">
        <v>147</v>
      </c>
      <c r="G53" t="s">
        <v>17</v>
      </c>
      <c r="H53">
        <v>24</v>
      </c>
      <c r="I53" t="b">
        <f>AND(COUNTIF('NO2'!A:A,A53)&gt;0,COUNTIF('O3'!A:A,A53)&gt;0,COUNTIF('PM10'!A:A,A53)&gt;0,COUNTIF('PM2.5'!A:A,A53)&gt;0,COUNTIF('SO2'!A:A,A53)&gt;0)</f>
        <v>1</v>
      </c>
    </row>
    <row r="54" spans="1:9" x14ac:dyDescent="0.45">
      <c r="A54" s="4">
        <v>45427</v>
      </c>
      <c r="B54" t="s">
        <v>148</v>
      </c>
      <c r="C54" t="s">
        <v>130</v>
      </c>
      <c r="D54" t="s">
        <v>152</v>
      </c>
      <c r="E54" t="s">
        <v>147</v>
      </c>
      <c r="F54" t="s">
        <v>152</v>
      </c>
      <c r="G54" t="s">
        <v>100</v>
      </c>
      <c r="H54">
        <v>24</v>
      </c>
      <c r="I54" t="b">
        <f>AND(COUNTIF('NO2'!A:A,A54)&gt;0,COUNTIF('O3'!A:A,A54)&gt;0,COUNTIF('PM10'!A:A,A54)&gt;0,COUNTIF('PM2.5'!A:A,A54)&gt;0,COUNTIF('SO2'!A:A,A54)&gt;0)</f>
        <v>1</v>
      </c>
    </row>
    <row r="55" spans="1:9" x14ac:dyDescent="0.45">
      <c r="A55" s="4">
        <v>45428</v>
      </c>
      <c r="B55" t="s">
        <v>149</v>
      </c>
      <c r="C55" t="s">
        <v>130</v>
      </c>
      <c r="D55" t="s">
        <v>147</v>
      </c>
      <c r="E55" t="s">
        <v>148</v>
      </c>
      <c r="F55" t="s">
        <v>130</v>
      </c>
      <c r="G55" t="s">
        <v>97</v>
      </c>
      <c r="H55">
        <v>24</v>
      </c>
      <c r="I55" t="b">
        <f>AND(COUNTIF('NO2'!A:A,A55)&gt;0,COUNTIF('O3'!A:A,A55)&gt;0,COUNTIF('PM10'!A:A,A55)&gt;0,COUNTIF('PM2.5'!A:A,A55)&gt;0,COUNTIF('SO2'!A:A,A55)&gt;0)</f>
        <v>1</v>
      </c>
    </row>
    <row r="56" spans="1:9" x14ac:dyDescent="0.45">
      <c r="A56" s="4">
        <v>45429</v>
      </c>
      <c r="B56" t="s">
        <v>145</v>
      </c>
      <c r="C56" t="s">
        <v>147</v>
      </c>
      <c r="D56" t="s">
        <v>148</v>
      </c>
      <c r="E56" t="s">
        <v>149</v>
      </c>
      <c r="F56" t="s">
        <v>147</v>
      </c>
      <c r="G56" t="s">
        <v>23</v>
      </c>
      <c r="H56">
        <v>24</v>
      </c>
      <c r="I56" t="b">
        <f>AND(COUNTIF('NO2'!A:A,A56)&gt;0,COUNTIF('O3'!A:A,A56)&gt;0,COUNTIF('PM10'!A:A,A56)&gt;0,COUNTIF('PM2.5'!A:A,A56)&gt;0,COUNTIF('SO2'!A:A,A56)&gt;0)</f>
        <v>1</v>
      </c>
    </row>
    <row r="57" spans="1:9" x14ac:dyDescent="0.45">
      <c r="A57" s="4">
        <v>45430</v>
      </c>
      <c r="B57" t="s">
        <v>110</v>
      </c>
      <c r="C57" t="s">
        <v>145</v>
      </c>
      <c r="D57" t="s">
        <v>137</v>
      </c>
      <c r="E57" t="s">
        <v>140</v>
      </c>
      <c r="F57" t="s">
        <v>137</v>
      </c>
      <c r="G57" t="s">
        <v>37</v>
      </c>
      <c r="H57">
        <v>24</v>
      </c>
      <c r="I57" t="b">
        <f>AND(COUNTIF('NO2'!A:A,A57)&gt;0,COUNTIF('O3'!A:A,A57)&gt;0,COUNTIF('PM10'!A:A,A57)&gt;0,COUNTIF('PM2.5'!A:A,A57)&gt;0,COUNTIF('SO2'!A:A,A57)&gt;0)</f>
        <v>1</v>
      </c>
    </row>
    <row r="58" spans="1:9" x14ac:dyDescent="0.45">
      <c r="A58" s="4">
        <v>45431</v>
      </c>
      <c r="B58" t="s">
        <v>167</v>
      </c>
      <c r="C58" t="s">
        <v>111</v>
      </c>
      <c r="D58" t="s">
        <v>168</v>
      </c>
      <c r="E58" t="s">
        <v>168</v>
      </c>
      <c r="F58" t="s">
        <v>150</v>
      </c>
      <c r="G58" t="s">
        <v>178</v>
      </c>
      <c r="H58">
        <v>24</v>
      </c>
      <c r="I58" t="b">
        <f>AND(COUNTIF('NO2'!A:A,A58)&gt;0,COUNTIF('O3'!A:A,A58)&gt;0,COUNTIF('PM10'!A:A,A58)&gt;0,COUNTIF('PM2.5'!A:A,A58)&gt;0,COUNTIF('SO2'!A:A,A58)&gt;0)</f>
        <v>1</v>
      </c>
    </row>
    <row r="59" spans="1:9" x14ac:dyDescent="0.45">
      <c r="A59" s="4">
        <v>45432</v>
      </c>
      <c r="B59" t="s">
        <v>168</v>
      </c>
      <c r="C59" t="s">
        <v>150</v>
      </c>
      <c r="D59" t="s">
        <v>151</v>
      </c>
      <c r="E59" t="s">
        <v>142</v>
      </c>
      <c r="F59" t="s">
        <v>151</v>
      </c>
      <c r="G59" t="s">
        <v>38</v>
      </c>
      <c r="H59">
        <v>24</v>
      </c>
      <c r="I59" t="b">
        <f>AND(COUNTIF('NO2'!A:A,A59)&gt;0,COUNTIF('O3'!A:A,A59)&gt;0,COUNTIF('PM10'!A:A,A59)&gt;0,COUNTIF('PM2.5'!A:A,A59)&gt;0,COUNTIF('SO2'!A:A,A59)&gt;0)</f>
        <v>1</v>
      </c>
    </row>
    <row r="60" spans="1:9" x14ac:dyDescent="0.45">
      <c r="A60" s="4">
        <v>45433</v>
      </c>
      <c r="B60" t="s">
        <v>150</v>
      </c>
      <c r="C60" t="s">
        <v>145</v>
      </c>
      <c r="D60" t="s">
        <v>110</v>
      </c>
      <c r="E60" t="s">
        <v>111</v>
      </c>
      <c r="F60" t="s">
        <v>137</v>
      </c>
      <c r="G60" t="s">
        <v>179</v>
      </c>
      <c r="H60">
        <v>24</v>
      </c>
      <c r="I60" t="b">
        <f>AND(COUNTIF('NO2'!A:A,A60)&gt;0,COUNTIF('O3'!A:A,A60)&gt;0,COUNTIF('PM10'!A:A,A60)&gt;0,COUNTIF('PM2.5'!A:A,A60)&gt;0,COUNTIF('SO2'!A:A,A60)&gt;0)</f>
        <v>1</v>
      </c>
    </row>
    <row r="61" spans="1:9" x14ac:dyDescent="0.45">
      <c r="A61" s="4">
        <v>45434</v>
      </c>
      <c r="B61" t="s">
        <v>137</v>
      </c>
      <c r="C61" t="s">
        <v>130</v>
      </c>
      <c r="D61" t="s">
        <v>145</v>
      </c>
      <c r="E61" t="s">
        <v>145</v>
      </c>
      <c r="F61" t="s">
        <v>130</v>
      </c>
      <c r="G61" t="s">
        <v>180</v>
      </c>
      <c r="H61">
        <v>18</v>
      </c>
      <c r="I61" t="b">
        <f>AND(COUNTIF('NO2'!A:A,A61)&gt;0,COUNTIF('O3'!A:A,A61)&gt;0,COUNTIF('PM10'!A:A,A61)&gt;0,COUNTIF('PM2.5'!A:A,A61)&gt;0,COUNTIF('SO2'!A:A,A61)&gt;0)</f>
        <v>1</v>
      </c>
    </row>
    <row r="62" spans="1:9" x14ac:dyDescent="0.45">
      <c r="A62" s="4">
        <v>45435</v>
      </c>
      <c r="B62" t="s">
        <v>137</v>
      </c>
      <c r="C62" t="s">
        <v>170</v>
      </c>
      <c r="D62" t="s">
        <v>130</v>
      </c>
      <c r="E62" t="s">
        <v>147</v>
      </c>
      <c r="F62" t="s">
        <v>130</v>
      </c>
      <c r="G62" t="s">
        <v>27</v>
      </c>
      <c r="H62">
        <v>18</v>
      </c>
      <c r="I62" t="b">
        <f>AND(COUNTIF('NO2'!A:A,A62)&gt;0,COUNTIF('O3'!A:A,A62)&gt;0,COUNTIF('PM10'!A:A,A62)&gt;0,COUNTIF('PM2.5'!A:A,A62)&gt;0,COUNTIF('SO2'!A:A,A62)&gt;0)</f>
        <v>1</v>
      </c>
    </row>
    <row r="63" spans="1:9" x14ac:dyDescent="0.45">
      <c r="A63" s="4">
        <v>45446</v>
      </c>
      <c r="B63" t="s">
        <v>49</v>
      </c>
      <c r="C63" t="s">
        <v>126</v>
      </c>
      <c r="D63" t="s">
        <v>19</v>
      </c>
      <c r="E63" t="s">
        <v>182</v>
      </c>
      <c r="F63" t="s">
        <v>30</v>
      </c>
      <c r="G63" t="s">
        <v>184</v>
      </c>
      <c r="H63">
        <v>24</v>
      </c>
      <c r="I63" t="b">
        <f>AND(COUNTIF('NO2'!A:A,A63)&gt;0,COUNTIF('O3'!A:A,A63)&gt;0,COUNTIF('PM10'!A:A,A63)&gt;0,COUNTIF('PM2.5'!A:A,A63)&gt;0,COUNTIF('SO2'!A:A,A63)&gt;0)</f>
        <v>1</v>
      </c>
    </row>
    <row r="64" spans="1:9" x14ac:dyDescent="0.45">
      <c r="A64" s="4">
        <v>45447</v>
      </c>
      <c r="B64" t="s">
        <v>185</v>
      </c>
      <c r="C64" t="s">
        <v>152</v>
      </c>
      <c r="D64" t="s">
        <v>137</v>
      </c>
      <c r="E64" t="s">
        <v>142</v>
      </c>
      <c r="F64" t="s">
        <v>148</v>
      </c>
      <c r="G64" t="s">
        <v>186</v>
      </c>
      <c r="H64">
        <v>24</v>
      </c>
      <c r="I64" t="b">
        <f>AND(COUNTIF('NO2'!A:A,A64)&gt;0,COUNTIF('O3'!A:A,A64)&gt;0,COUNTIF('PM10'!A:A,A64)&gt;0,COUNTIF('PM2.5'!A:A,A64)&gt;0,COUNTIF('SO2'!A:A,A64)&gt;0)</f>
        <v>1</v>
      </c>
    </row>
    <row r="65" spans="1:9" x14ac:dyDescent="0.45">
      <c r="A65" s="4">
        <v>45448</v>
      </c>
      <c r="B65" t="s">
        <v>18</v>
      </c>
      <c r="C65" t="s">
        <v>152</v>
      </c>
      <c r="D65" t="s">
        <v>139</v>
      </c>
      <c r="E65" t="s">
        <v>29</v>
      </c>
      <c r="F65" t="s">
        <v>145</v>
      </c>
      <c r="G65" t="s">
        <v>187</v>
      </c>
      <c r="H65">
        <v>23</v>
      </c>
      <c r="I65" t="b">
        <f>AND(COUNTIF('NO2'!A:A,A65)&gt;0,COUNTIF('O3'!A:A,A65)&gt;0,COUNTIF('PM10'!A:A,A65)&gt;0,COUNTIF('PM2.5'!A:A,A65)&gt;0,COUNTIF('SO2'!A:A,A65)&gt;0)</f>
        <v>1</v>
      </c>
    </row>
    <row r="66" spans="1:9" x14ac:dyDescent="0.45">
      <c r="A66" s="4">
        <v>45449</v>
      </c>
      <c r="B66" t="s">
        <v>183</v>
      </c>
      <c r="C66" t="s">
        <v>18</v>
      </c>
      <c r="D66" t="s">
        <v>182</v>
      </c>
      <c r="E66" t="s">
        <v>183</v>
      </c>
      <c r="F66" t="s">
        <v>188</v>
      </c>
      <c r="G66" t="s">
        <v>189</v>
      </c>
      <c r="H66">
        <v>24</v>
      </c>
      <c r="I66" t="b">
        <f>AND(COUNTIF('NO2'!A:A,A66)&gt;0,COUNTIF('O3'!A:A,A66)&gt;0,COUNTIF('PM10'!A:A,A66)&gt;0,COUNTIF('PM2.5'!A:A,A66)&gt;0,COUNTIF('SO2'!A:A,A66)&gt;0)</f>
        <v>1</v>
      </c>
    </row>
    <row r="67" spans="1:9" x14ac:dyDescent="0.45">
      <c r="A67" s="4">
        <v>45450</v>
      </c>
      <c r="B67" t="s">
        <v>190</v>
      </c>
      <c r="C67" t="s">
        <v>18</v>
      </c>
      <c r="D67" t="s">
        <v>129</v>
      </c>
      <c r="E67" t="s">
        <v>191</v>
      </c>
      <c r="F67" t="s">
        <v>18</v>
      </c>
      <c r="G67" t="s">
        <v>27</v>
      </c>
      <c r="H67">
        <v>24</v>
      </c>
      <c r="I67" t="b">
        <f>AND(COUNTIF('NO2'!A:A,A67)&gt;0,COUNTIF('O3'!A:A,A67)&gt;0,COUNTIF('PM10'!A:A,A67)&gt;0,COUNTIF('PM2.5'!A:A,A67)&gt;0,COUNTIF('SO2'!A:A,A67)&gt;0)</f>
        <v>1</v>
      </c>
    </row>
    <row r="68" spans="1:9" x14ac:dyDescent="0.45">
      <c r="A68" s="4">
        <v>45451</v>
      </c>
      <c r="B68" t="s">
        <v>181</v>
      </c>
      <c r="C68" t="s">
        <v>129</v>
      </c>
      <c r="D68" t="s">
        <v>191</v>
      </c>
      <c r="E68" t="s">
        <v>190</v>
      </c>
      <c r="F68" t="s">
        <v>129</v>
      </c>
      <c r="G68" t="s">
        <v>31</v>
      </c>
      <c r="H68">
        <v>24</v>
      </c>
      <c r="I68" t="b">
        <f>AND(COUNTIF('NO2'!A:A,A68)&gt;0,COUNTIF('O3'!A:A,A68)&gt;0,COUNTIF('PM10'!A:A,A68)&gt;0,COUNTIF('PM2.5'!A:A,A68)&gt;0,COUNTIF('SO2'!A:A,A68)&gt;0)</f>
        <v>1</v>
      </c>
    </row>
    <row r="69" spans="1:9" x14ac:dyDescent="0.45">
      <c r="A69" s="4">
        <v>45452</v>
      </c>
      <c r="B69" t="s">
        <v>190</v>
      </c>
      <c r="C69" t="s">
        <v>129</v>
      </c>
      <c r="D69" t="s">
        <v>98</v>
      </c>
      <c r="E69" t="s">
        <v>191</v>
      </c>
      <c r="F69" t="s">
        <v>129</v>
      </c>
      <c r="G69" t="s">
        <v>85</v>
      </c>
      <c r="H69">
        <v>24</v>
      </c>
      <c r="I69" t="b">
        <f>AND(COUNTIF('NO2'!A:A,A69)&gt;0,COUNTIF('O3'!A:A,A69)&gt;0,COUNTIF('PM10'!A:A,A69)&gt;0,COUNTIF('PM2.5'!A:A,A69)&gt;0,COUNTIF('SO2'!A:A,A69)&gt;0)</f>
        <v>1</v>
      </c>
    </row>
    <row r="70" spans="1:9" x14ac:dyDescent="0.45">
      <c r="A70" s="4">
        <v>45453</v>
      </c>
      <c r="B70" t="s">
        <v>190</v>
      </c>
      <c r="C70" t="s">
        <v>129</v>
      </c>
      <c r="D70" t="s">
        <v>190</v>
      </c>
      <c r="E70" t="s">
        <v>190</v>
      </c>
      <c r="F70" t="s">
        <v>188</v>
      </c>
      <c r="G70" t="s">
        <v>37</v>
      </c>
      <c r="H70">
        <v>24</v>
      </c>
      <c r="I70" t="b">
        <f>AND(COUNTIF('NO2'!A:A,A70)&gt;0,COUNTIF('O3'!A:A,A70)&gt;0,COUNTIF('PM10'!A:A,A70)&gt;0,COUNTIF('PM2.5'!A:A,A70)&gt;0,COUNTIF('SO2'!A:A,A70)&gt;0)</f>
        <v>1</v>
      </c>
    </row>
    <row r="71" spans="1:9" x14ac:dyDescent="0.45">
      <c r="A71" s="4">
        <v>45454</v>
      </c>
      <c r="B71" t="s">
        <v>191</v>
      </c>
      <c r="C71" t="s">
        <v>18</v>
      </c>
      <c r="D71" t="s">
        <v>129</v>
      </c>
      <c r="E71" t="s">
        <v>98</v>
      </c>
      <c r="F71" t="s">
        <v>18</v>
      </c>
      <c r="G71" t="s">
        <v>37</v>
      </c>
      <c r="H71">
        <v>24</v>
      </c>
      <c r="I71" t="b">
        <f>AND(COUNTIF('NO2'!A:A,A71)&gt;0,COUNTIF('O3'!A:A,A71)&gt;0,COUNTIF('PM10'!A:A,A71)&gt;0,COUNTIF('PM2.5'!A:A,A71)&gt;0,COUNTIF('SO2'!A:A,A71)&gt;0)</f>
        <v>1</v>
      </c>
    </row>
    <row r="72" spans="1:9" x14ac:dyDescent="0.45">
      <c r="A72" s="4">
        <v>45455</v>
      </c>
      <c r="B72" t="s">
        <v>191</v>
      </c>
      <c r="C72" t="s">
        <v>9</v>
      </c>
      <c r="D72" t="s">
        <v>129</v>
      </c>
      <c r="E72" t="s">
        <v>188</v>
      </c>
      <c r="F72" t="s">
        <v>21</v>
      </c>
      <c r="G72" t="s">
        <v>192</v>
      </c>
      <c r="H72">
        <v>24</v>
      </c>
      <c r="I72" t="b">
        <f>AND(COUNTIF('NO2'!A:A,A72)&gt;0,COUNTIF('O3'!A:A,A72)&gt;0,COUNTIF('PM10'!A:A,A72)&gt;0,COUNTIF('PM2.5'!A:A,A72)&gt;0,COUNTIF('SO2'!A:A,A72)&gt;0)</f>
        <v>1</v>
      </c>
    </row>
    <row r="73" spans="1:9" x14ac:dyDescent="0.45">
      <c r="A73" s="4">
        <v>45456</v>
      </c>
      <c r="B73" t="s">
        <v>21</v>
      </c>
      <c r="C73" t="s">
        <v>14</v>
      </c>
      <c r="D73" t="s">
        <v>9</v>
      </c>
      <c r="E73" t="s">
        <v>19</v>
      </c>
      <c r="F73" t="s">
        <v>15</v>
      </c>
      <c r="G73" t="s">
        <v>158</v>
      </c>
      <c r="H73">
        <v>24</v>
      </c>
      <c r="I73" t="b">
        <f>AND(COUNTIF('NO2'!A:A,A73)&gt;0,COUNTIF('O3'!A:A,A73)&gt;0,COUNTIF('PM10'!A:A,A73)&gt;0,COUNTIF('PM2.5'!A:A,A73)&gt;0,COUNTIF('SO2'!A:A,A73)&gt;0)</f>
        <v>1</v>
      </c>
    </row>
    <row r="74" spans="1:9" x14ac:dyDescent="0.45">
      <c r="A74" s="4">
        <v>45457</v>
      </c>
      <c r="B74" t="s">
        <v>191</v>
      </c>
      <c r="C74" t="s">
        <v>26</v>
      </c>
      <c r="D74" t="s">
        <v>13</v>
      </c>
      <c r="E74" t="s">
        <v>98</v>
      </c>
      <c r="F74" t="s">
        <v>35</v>
      </c>
      <c r="G74" t="s">
        <v>193</v>
      </c>
      <c r="H74">
        <v>19</v>
      </c>
      <c r="I74" t="b">
        <f>AND(COUNTIF('NO2'!A:A,A74)&gt;0,COUNTIF('O3'!A:A,A74)&gt;0,COUNTIF('PM10'!A:A,A74)&gt;0,COUNTIF('PM2.5'!A:A,A74)&gt;0,COUNTIF('SO2'!A:A,A74)&gt;0)</f>
        <v>1</v>
      </c>
    </row>
    <row r="75" spans="1:9" x14ac:dyDescent="0.45">
      <c r="A75" s="4">
        <v>45458</v>
      </c>
      <c r="B75" t="s">
        <v>49</v>
      </c>
      <c r="C75" t="s">
        <v>8</v>
      </c>
      <c r="D75" t="s">
        <v>190</v>
      </c>
      <c r="E75" t="s">
        <v>182</v>
      </c>
      <c r="F75" t="s">
        <v>188</v>
      </c>
      <c r="G75" t="s">
        <v>158</v>
      </c>
      <c r="H75">
        <v>23</v>
      </c>
      <c r="I75" t="b">
        <f>AND(COUNTIF('NO2'!A:A,A75)&gt;0,COUNTIF('O3'!A:A,A75)&gt;0,COUNTIF('PM10'!A:A,A75)&gt;0,COUNTIF('PM2.5'!A:A,A75)&gt;0,COUNTIF('SO2'!A:A,A75)&gt;0)</f>
        <v>1</v>
      </c>
    </row>
    <row r="76" spans="1:9" x14ac:dyDescent="0.45">
      <c r="A76" s="4">
        <v>45459</v>
      </c>
      <c r="B76" t="s">
        <v>18</v>
      </c>
      <c r="C76" t="s">
        <v>15</v>
      </c>
      <c r="D76" t="s">
        <v>11</v>
      </c>
      <c r="E76" t="s">
        <v>10</v>
      </c>
      <c r="F76" t="s">
        <v>13</v>
      </c>
      <c r="G76" t="s">
        <v>27</v>
      </c>
      <c r="H76">
        <v>24</v>
      </c>
      <c r="I76" t="b">
        <f>AND(COUNTIF('NO2'!A:A,A76)&gt;0,COUNTIF('O3'!A:A,A76)&gt;0,COUNTIF('PM10'!A:A,A76)&gt;0,COUNTIF('PM2.5'!A:A,A76)&gt;0,COUNTIF('SO2'!A:A,A76)&gt;0)</f>
        <v>1</v>
      </c>
    </row>
    <row r="77" spans="1:9" x14ac:dyDescent="0.45">
      <c r="A77" s="4">
        <v>45460</v>
      </c>
      <c r="B77" t="s">
        <v>76</v>
      </c>
      <c r="C77" t="s">
        <v>98</v>
      </c>
      <c r="D77" t="s">
        <v>49</v>
      </c>
      <c r="E77" t="s">
        <v>82</v>
      </c>
      <c r="F77" t="s">
        <v>182</v>
      </c>
      <c r="G77" t="s">
        <v>165</v>
      </c>
      <c r="H77">
        <v>24</v>
      </c>
      <c r="I77" t="b">
        <f>AND(COUNTIF('NO2'!A:A,A77)&gt;0,COUNTIF('O3'!A:A,A77)&gt;0,COUNTIF('PM10'!A:A,A77)&gt;0,COUNTIF('PM2.5'!A:A,A77)&gt;0,COUNTIF('SO2'!A:A,A77)&gt;0)</f>
        <v>1</v>
      </c>
    </row>
    <row r="78" spans="1:9" x14ac:dyDescent="0.45">
      <c r="A78" s="4">
        <v>45461</v>
      </c>
      <c r="B78" t="s">
        <v>79</v>
      </c>
      <c r="C78" t="s">
        <v>81</v>
      </c>
      <c r="D78" t="s">
        <v>76</v>
      </c>
      <c r="E78" t="s">
        <v>77</v>
      </c>
      <c r="F78" t="s">
        <v>65</v>
      </c>
      <c r="G78" t="s">
        <v>194</v>
      </c>
      <c r="H78">
        <v>24</v>
      </c>
      <c r="I78" t="b">
        <f>AND(COUNTIF('NO2'!A:A,A78)&gt;0,COUNTIF('O3'!A:A,A78)&gt;0,COUNTIF('PM10'!A:A,A78)&gt;0,COUNTIF('PM2.5'!A:A,A78)&gt;0,COUNTIF('SO2'!A:A,A78)&gt;0)</f>
        <v>1</v>
      </c>
    </row>
    <row r="79" spans="1:9" x14ac:dyDescent="0.45">
      <c r="A79" s="4">
        <v>45462</v>
      </c>
      <c r="B79" t="s">
        <v>79</v>
      </c>
      <c r="C79" t="s">
        <v>69</v>
      </c>
      <c r="D79" t="s">
        <v>77</v>
      </c>
      <c r="E79" t="s">
        <v>79</v>
      </c>
      <c r="F79" t="s">
        <v>62</v>
      </c>
      <c r="G79" t="s">
        <v>16</v>
      </c>
      <c r="H79">
        <v>24</v>
      </c>
      <c r="I79" t="b">
        <f>AND(COUNTIF('NO2'!A:A,A79)&gt;0,COUNTIF('O3'!A:A,A79)&gt;0,COUNTIF('PM10'!A:A,A79)&gt;0,COUNTIF('PM2.5'!A:A,A79)&gt;0,COUNTIF('SO2'!A:A,A79)&gt;0)</f>
        <v>1</v>
      </c>
    </row>
    <row r="80" spans="1:9" x14ac:dyDescent="0.45">
      <c r="A80" s="4">
        <v>45463</v>
      </c>
      <c r="B80" t="s">
        <v>79</v>
      </c>
      <c r="C80" t="s">
        <v>69</v>
      </c>
      <c r="D80" t="s">
        <v>69</v>
      </c>
      <c r="E80" t="s">
        <v>79</v>
      </c>
      <c r="F80" t="s">
        <v>69</v>
      </c>
      <c r="G80" t="s">
        <v>100</v>
      </c>
      <c r="H80">
        <v>24</v>
      </c>
      <c r="I80" t="b">
        <f>AND(COUNTIF('NO2'!A:A,A80)&gt;0,COUNTIF('O3'!A:A,A80)&gt;0,COUNTIF('PM10'!A:A,A80)&gt;0,COUNTIF('PM2.5'!A:A,A80)&gt;0,COUNTIF('SO2'!A:A,A80)&gt;0)</f>
        <v>1</v>
      </c>
    </row>
    <row r="81" spans="1:9" x14ac:dyDescent="0.45">
      <c r="A81" s="4">
        <v>45464</v>
      </c>
      <c r="B81" t="s">
        <v>195</v>
      </c>
      <c r="C81" t="s">
        <v>196</v>
      </c>
      <c r="D81" t="s">
        <v>197</v>
      </c>
      <c r="E81" t="s">
        <v>195</v>
      </c>
      <c r="F81" t="s">
        <v>196</v>
      </c>
      <c r="G81" t="s">
        <v>17</v>
      </c>
      <c r="H81">
        <v>24</v>
      </c>
      <c r="I81" t="b">
        <f>AND(COUNTIF('NO2'!A:A,A81)&gt;0,COUNTIF('O3'!A:A,A81)&gt;0,COUNTIF('PM10'!A:A,A81)&gt;0,COUNTIF('PM2.5'!A:A,A81)&gt;0,COUNTIF('SO2'!A:A,A81)&gt;0)</f>
        <v>1</v>
      </c>
    </row>
    <row r="82" spans="1:9" x14ac:dyDescent="0.45">
      <c r="A82" s="4">
        <v>45465</v>
      </c>
      <c r="B82" t="s">
        <v>197</v>
      </c>
      <c r="C82" t="s">
        <v>79</v>
      </c>
      <c r="D82" t="s">
        <v>79</v>
      </c>
      <c r="E82" t="s">
        <v>196</v>
      </c>
      <c r="F82" t="s">
        <v>79</v>
      </c>
      <c r="G82" t="s">
        <v>36</v>
      </c>
      <c r="H82">
        <v>24</v>
      </c>
      <c r="I82" t="b">
        <f>AND(COUNTIF('NO2'!A:A,A82)&gt;0,COUNTIF('O3'!A:A,A82)&gt;0,COUNTIF('PM10'!A:A,A82)&gt;0,COUNTIF('PM2.5'!A:A,A82)&gt;0,COUNTIF('SO2'!A:A,A82)&gt;0)</f>
        <v>1</v>
      </c>
    </row>
    <row r="83" spans="1:9" x14ac:dyDescent="0.45">
      <c r="A83" s="4">
        <v>45466</v>
      </c>
      <c r="B83" t="s">
        <v>80</v>
      </c>
      <c r="C83" t="s">
        <v>197</v>
      </c>
      <c r="D83" t="s">
        <v>195</v>
      </c>
      <c r="E83" t="s">
        <v>80</v>
      </c>
      <c r="F83" t="s">
        <v>195</v>
      </c>
      <c r="G83" t="s">
        <v>24</v>
      </c>
      <c r="H83">
        <v>24</v>
      </c>
      <c r="I83" t="b">
        <f>AND(COUNTIF('NO2'!A:A,A83)&gt;0,COUNTIF('O3'!A:A,A83)&gt;0,COUNTIF('PM10'!A:A,A83)&gt;0,COUNTIF('PM2.5'!A:A,A83)&gt;0,COUNTIF('SO2'!A:A,A83)&gt;0)</f>
        <v>1</v>
      </c>
    </row>
    <row r="84" spans="1:9" x14ac:dyDescent="0.45">
      <c r="A84" s="4">
        <v>45467</v>
      </c>
      <c r="B84" t="s">
        <v>80</v>
      </c>
      <c r="C84" t="s">
        <v>196</v>
      </c>
      <c r="D84" t="s">
        <v>195</v>
      </c>
      <c r="E84" t="s">
        <v>80</v>
      </c>
      <c r="F84" t="s">
        <v>197</v>
      </c>
      <c r="G84" t="s">
        <v>16</v>
      </c>
      <c r="H84">
        <v>24</v>
      </c>
      <c r="I84" t="b">
        <f>AND(COUNTIF('NO2'!A:A,A84)&gt;0,COUNTIF('O3'!A:A,A84)&gt;0,COUNTIF('PM10'!A:A,A84)&gt;0,COUNTIF('PM2.5'!A:A,A84)&gt;0,COUNTIF('SO2'!A:A,A84)&gt;0)</f>
        <v>1</v>
      </c>
    </row>
    <row r="85" spans="1:9" x14ac:dyDescent="0.45">
      <c r="A85" s="4">
        <v>45468</v>
      </c>
      <c r="B85" t="s">
        <v>196</v>
      </c>
      <c r="C85" t="s">
        <v>79</v>
      </c>
      <c r="D85" t="s">
        <v>196</v>
      </c>
      <c r="E85" t="s">
        <v>196</v>
      </c>
      <c r="F85" t="s">
        <v>79</v>
      </c>
      <c r="G85" t="s">
        <v>33</v>
      </c>
      <c r="H85">
        <v>24</v>
      </c>
      <c r="I85" t="b">
        <f>AND(COUNTIF('NO2'!A:A,A85)&gt;0,COUNTIF('O3'!A:A,A85)&gt;0,COUNTIF('PM10'!A:A,A85)&gt;0,COUNTIF('PM2.5'!A:A,A85)&gt;0,COUNTIF('SO2'!A:A,A85)&gt;0)</f>
        <v>1</v>
      </c>
    </row>
    <row r="86" spans="1:9" x14ac:dyDescent="0.45">
      <c r="A86" s="4">
        <v>45469</v>
      </c>
      <c r="B86" t="s">
        <v>197</v>
      </c>
      <c r="C86" t="s">
        <v>79</v>
      </c>
      <c r="D86" t="s">
        <v>196</v>
      </c>
      <c r="E86" t="s">
        <v>196</v>
      </c>
      <c r="F86" t="s">
        <v>196</v>
      </c>
      <c r="G86" t="s">
        <v>12</v>
      </c>
      <c r="H86">
        <v>24</v>
      </c>
      <c r="I86" t="b">
        <f>AND(COUNTIF('NO2'!A:A,A86)&gt;0,COUNTIF('O3'!A:A,A86)&gt;0,COUNTIF('PM10'!A:A,A86)&gt;0,COUNTIF('PM2.5'!A:A,A86)&gt;0,COUNTIF('SO2'!A:A,A86)&gt;0)</f>
        <v>1</v>
      </c>
    </row>
    <row r="87" spans="1:9" x14ac:dyDescent="0.45">
      <c r="A87" s="4">
        <v>45470</v>
      </c>
      <c r="B87" t="s">
        <v>80</v>
      </c>
      <c r="C87" t="s">
        <v>126</v>
      </c>
      <c r="D87" t="s">
        <v>82</v>
      </c>
      <c r="E87" t="s">
        <v>195</v>
      </c>
      <c r="F87" t="s">
        <v>14</v>
      </c>
      <c r="G87" t="s">
        <v>198</v>
      </c>
      <c r="H87">
        <v>23</v>
      </c>
      <c r="I87" t="b">
        <f>AND(COUNTIF('NO2'!A:A,A87)&gt;0,COUNTIF('O3'!A:A,A87)&gt;0,COUNTIF('PM10'!A:A,A87)&gt;0,COUNTIF('PM2.5'!A:A,A87)&gt;0,COUNTIF('SO2'!A:A,A87)&gt;0)</f>
        <v>1</v>
      </c>
    </row>
    <row r="88" spans="1:9" x14ac:dyDescent="0.45">
      <c r="A88" s="4">
        <v>45471</v>
      </c>
      <c r="B88" t="s">
        <v>96</v>
      </c>
      <c r="C88" t="s">
        <v>174</v>
      </c>
      <c r="D88" t="s">
        <v>157</v>
      </c>
      <c r="E88" t="s">
        <v>137</v>
      </c>
      <c r="F88" t="s">
        <v>174</v>
      </c>
      <c r="G88" t="s">
        <v>199</v>
      </c>
      <c r="H88">
        <v>23</v>
      </c>
      <c r="I88" t="b">
        <f>AND(COUNTIF('NO2'!A:A,A88)&gt;0,COUNTIF('O3'!A:A,A88)&gt;0,COUNTIF('PM10'!A:A,A88)&gt;0,COUNTIF('PM2.5'!A:A,A88)&gt;0,COUNTIF('SO2'!A:A,A88)&gt;0)</f>
        <v>1</v>
      </c>
    </row>
    <row r="89" spans="1:9" x14ac:dyDescent="0.45">
      <c r="A89" s="4">
        <v>45472</v>
      </c>
      <c r="B89" t="s">
        <v>147</v>
      </c>
      <c r="C89" t="s">
        <v>174</v>
      </c>
      <c r="D89" t="s">
        <v>157</v>
      </c>
      <c r="E89" t="s">
        <v>152</v>
      </c>
      <c r="F89" t="s">
        <v>115</v>
      </c>
      <c r="G89" t="s">
        <v>92</v>
      </c>
      <c r="H89">
        <v>24</v>
      </c>
      <c r="I89" t="b">
        <f>AND(COUNTIF('NO2'!A:A,A89)&gt;0,COUNTIF('O3'!A:A,A89)&gt;0,COUNTIF('PM10'!A:A,A89)&gt;0,COUNTIF('PM2.5'!A:A,A89)&gt;0,COUNTIF('SO2'!A:A,A89)&gt;0)</f>
        <v>1</v>
      </c>
    </row>
    <row r="90" spans="1:9" x14ac:dyDescent="0.45">
      <c r="A90" s="4">
        <v>45473</v>
      </c>
      <c r="B90" t="s">
        <v>110</v>
      </c>
      <c r="C90" t="s">
        <v>148</v>
      </c>
      <c r="D90" t="s">
        <v>140</v>
      </c>
      <c r="E90" t="s">
        <v>110</v>
      </c>
      <c r="F90" t="s">
        <v>137</v>
      </c>
      <c r="G90" t="s">
        <v>178</v>
      </c>
      <c r="H90">
        <v>24</v>
      </c>
      <c r="I90" t="b">
        <f>AND(COUNTIF('NO2'!A:A,A90)&gt;0,COUNTIF('O3'!A:A,A90)&gt;0,COUNTIF('PM10'!A:A,A90)&gt;0,COUNTIF('PM2.5'!A:A,A90)&gt;0,COUNTIF('SO2'!A:A,A90)&gt;0)</f>
        <v>1</v>
      </c>
    </row>
    <row r="91" spans="1:9" x14ac:dyDescent="0.45">
      <c r="A91" s="4">
        <v>45474</v>
      </c>
      <c r="B91" t="s">
        <v>140</v>
      </c>
      <c r="C91" t="s">
        <v>130</v>
      </c>
      <c r="D91" t="s">
        <v>149</v>
      </c>
      <c r="E91" t="s">
        <v>137</v>
      </c>
      <c r="F91" t="s">
        <v>152</v>
      </c>
      <c r="G91" t="s">
        <v>180</v>
      </c>
      <c r="H91">
        <v>24</v>
      </c>
      <c r="I91" t="b">
        <f>AND(COUNTIF('NO2'!A:A,A91)&gt;0,COUNTIF('O3'!A:A,A91)&gt;0,COUNTIF('PM10'!A:A,A91)&gt;0,COUNTIF('PM2.5'!A:A,A91)&gt;0,COUNTIF('SO2'!A:A,A91)&gt;0)</f>
        <v>1</v>
      </c>
    </row>
    <row r="92" spans="1:9" x14ac:dyDescent="0.45">
      <c r="A92" s="4">
        <v>45475</v>
      </c>
      <c r="B92" t="s">
        <v>130</v>
      </c>
      <c r="C92" t="s">
        <v>115</v>
      </c>
      <c r="D92" t="s">
        <v>156</v>
      </c>
      <c r="E92" t="s">
        <v>170</v>
      </c>
      <c r="F92" t="s">
        <v>115</v>
      </c>
      <c r="G92" t="s">
        <v>84</v>
      </c>
      <c r="H92">
        <v>24</v>
      </c>
      <c r="I92" t="b">
        <f>AND(COUNTIF('NO2'!A:A,A92)&gt;0,COUNTIF('O3'!A:A,A92)&gt;0,COUNTIF('PM10'!A:A,A92)&gt;0,COUNTIF('PM2.5'!A:A,A92)&gt;0,COUNTIF('SO2'!A:A,A92)&gt;0)</f>
        <v>1</v>
      </c>
    </row>
    <row r="93" spans="1:9" x14ac:dyDescent="0.45">
      <c r="A93" s="4">
        <v>45476</v>
      </c>
      <c r="B93" t="s">
        <v>149</v>
      </c>
      <c r="C93" t="s">
        <v>132</v>
      </c>
      <c r="D93" t="s">
        <v>146</v>
      </c>
      <c r="E93" t="s">
        <v>148</v>
      </c>
      <c r="F93" t="s">
        <v>170</v>
      </c>
      <c r="G93" t="s">
        <v>175</v>
      </c>
      <c r="H93">
        <v>23</v>
      </c>
      <c r="I93" t="b">
        <f>AND(COUNTIF('NO2'!A:A,A93)&gt;0,COUNTIF('O3'!A:A,A93)&gt;0,COUNTIF('PM10'!A:A,A93)&gt;0,COUNTIF('PM2.5'!A:A,A93)&gt;0,COUNTIF('SO2'!A:A,A93)&gt;0)</f>
        <v>1</v>
      </c>
    </row>
    <row r="94" spans="1:9" x14ac:dyDescent="0.45">
      <c r="A94" s="4">
        <v>45477</v>
      </c>
      <c r="B94" t="s">
        <v>148</v>
      </c>
      <c r="C94" t="s">
        <v>147</v>
      </c>
      <c r="D94" t="s">
        <v>148</v>
      </c>
      <c r="E94" t="s">
        <v>148</v>
      </c>
      <c r="F94" t="s">
        <v>147</v>
      </c>
      <c r="G94" t="s">
        <v>33</v>
      </c>
      <c r="H94">
        <v>24</v>
      </c>
      <c r="I94" t="b">
        <f>AND(COUNTIF('NO2'!A:A,A94)&gt;0,COUNTIF('O3'!A:A,A94)&gt;0,COUNTIF('PM10'!A:A,A94)&gt;0,COUNTIF('PM2.5'!A:A,A94)&gt;0,COUNTIF('SO2'!A:A,A94)&gt;0)</f>
        <v>1</v>
      </c>
    </row>
    <row r="95" spans="1:9" x14ac:dyDescent="0.45">
      <c r="A95" s="4">
        <v>45478</v>
      </c>
      <c r="B95" t="s">
        <v>146</v>
      </c>
      <c r="C95" t="s">
        <v>156</v>
      </c>
      <c r="D95" t="s">
        <v>152</v>
      </c>
      <c r="E95" t="s">
        <v>146</v>
      </c>
      <c r="F95" t="s">
        <v>130</v>
      </c>
      <c r="G95" t="s">
        <v>23</v>
      </c>
      <c r="H95">
        <v>24</v>
      </c>
      <c r="I95" t="b">
        <f>AND(COUNTIF('NO2'!A:A,A95)&gt;0,COUNTIF('O3'!A:A,A95)&gt;0,COUNTIF('PM10'!A:A,A95)&gt;0,COUNTIF('PM2.5'!A:A,A95)&gt;0,COUNTIF('SO2'!A:A,A95)&gt;0)</f>
        <v>1</v>
      </c>
    </row>
    <row r="96" spans="1:9" x14ac:dyDescent="0.45">
      <c r="A96" s="4">
        <v>45479</v>
      </c>
      <c r="B96" t="s">
        <v>146</v>
      </c>
      <c r="C96" t="s">
        <v>157</v>
      </c>
      <c r="D96" t="s">
        <v>132</v>
      </c>
      <c r="E96" t="s">
        <v>152</v>
      </c>
      <c r="F96" t="s">
        <v>157</v>
      </c>
      <c r="G96" t="s">
        <v>87</v>
      </c>
      <c r="H96">
        <v>24</v>
      </c>
      <c r="I96" t="b">
        <f>AND(COUNTIF('NO2'!A:A,A96)&gt;0,COUNTIF('O3'!A:A,A96)&gt;0,COUNTIF('PM10'!A:A,A96)&gt;0,COUNTIF('PM2.5'!A:A,A96)&gt;0,COUNTIF('SO2'!A:A,A96)&gt;0)</f>
        <v>1</v>
      </c>
    </row>
    <row r="97" spans="1:9" x14ac:dyDescent="0.45">
      <c r="A97" s="4">
        <v>45480</v>
      </c>
      <c r="B97" t="s">
        <v>149</v>
      </c>
      <c r="C97" t="s">
        <v>146</v>
      </c>
      <c r="D97" t="s">
        <v>147</v>
      </c>
      <c r="E97" t="s">
        <v>148</v>
      </c>
      <c r="F97" t="s">
        <v>146</v>
      </c>
      <c r="G97" t="s">
        <v>38</v>
      </c>
      <c r="H97">
        <v>24</v>
      </c>
      <c r="I97" t="b">
        <f>AND(COUNTIF('NO2'!A:A,A97)&gt;0,COUNTIF('O3'!A:A,A97)&gt;0,COUNTIF('PM10'!A:A,A97)&gt;0,COUNTIF('PM2.5'!A:A,A97)&gt;0,COUNTIF('SO2'!A:A,A97)&gt;0)</f>
        <v>1</v>
      </c>
    </row>
    <row r="98" spans="1:9" x14ac:dyDescent="0.45">
      <c r="A98" s="4">
        <v>45481</v>
      </c>
      <c r="B98" t="s">
        <v>152</v>
      </c>
      <c r="C98" t="s">
        <v>156</v>
      </c>
      <c r="D98" t="s">
        <v>170</v>
      </c>
      <c r="E98" t="s">
        <v>130</v>
      </c>
      <c r="F98" t="s">
        <v>170</v>
      </c>
      <c r="G98" t="s">
        <v>24</v>
      </c>
      <c r="H98">
        <v>24</v>
      </c>
      <c r="I98" t="b">
        <f>AND(COUNTIF('NO2'!A:A,A98)&gt;0,COUNTIF('O3'!A:A,A98)&gt;0,COUNTIF('PM10'!A:A,A98)&gt;0,COUNTIF('PM2.5'!A:A,A98)&gt;0,COUNTIF('SO2'!A:A,A98)&gt;0)</f>
        <v>1</v>
      </c>
    </row>
    <row r="99" spans="1:9" x14ac:dyDescent="0.45">
      <c r="A99" s="4">
        <v>45482</v>
      </c>
      <c r="B99" t="s">
        <v>146</v>
      </c>
      <c r="C99" t="s">
        <v>115</v>
      </c>
      <c r="D99" t="s">
        <v>152</v>
      </c>
      <c r="E99" t="s">
        <v>146</v>
      </c>
      <c r="F99" t="s">
        <v>132</v>
      </c>
      <c r="G99" t="s">
        <v>87</v>
      </c>
      <c r="H99">
        <v>24</v>
      </c>
      <c r="I99" t="b">
        <f>AND(COUNTIF('NO2'!A:A,A99)&gt;0,COUNTIF('O3'!A:A,A99)&gt;0,COUNTIF('PM10'!A:A,A99)&gt;0,COUNTIF('PM2.5'!A:A,A99)&gt;0,COUNTIF('SO2'!A:A,A99)&gt;0)</f>
        <v>1</v>
      </c>
    </row>
    <row r="100" spans="1:9" x14ac:dyDescent="0.45">
      <c r="A100" s="4">
        <v>45483</v>
      </c>
      <c r="B100" t="s">
        <v>115</v>
      </c>
      <c r="C100" t="s">
        <v>174</v>
      </c>
      <c r="D100" t="s">
        <v>161</v>
      </c>
      <c r="E100" t="s">
        <v>159</v>
      </c>
      <c r="F100" t="s">
        <v>161</v>
      </c>
      <c r="G100" t="s">
        <v>17</v>
      </c>
      <c r="H100">
        <v>15</v>
      </c>
      <c r="I100" t="b">
        <f>AND(COUNTIF('NO2'!A:A,A100)&gt;0,COUNTIF('O3'!A:A,A100)&gt;0,COUNTIF('PM10'!A:A,A100)&gt;0,COUNTIF('PM2.5'!A:A,A100)&gt;0,COUNTIF('SO2'!A:A,A100)&gt;0)</f>
        <v>1</v>
      </c>
    </row>
    <row r="101" spans="1:9" x14ac:dyDescent="0.45">
      <c r="A101" s="4">
        <v>45484</v>
      </c>
      <c r="B101" t="s">
        <v>90</v>
      </c>
      <c r="C101" t="s">
        <v>90</v>
      </c>
      <c r="D101" t="s">
        <v>90</v>
      </c>
      <c r="E101" t="s">
        <v>90</v>
      </c>
      <c r="F101" t="s">
        <v>90</v>
      </c>
      <c r="G101">
        <v>0</v>
      </c>
      <c r="H101">
        <v>1</v>
      </c>
      <c r="I101" t="b">
        <f>AND(COUNTIF('NO2'!A:A,A101)&gt;0,COUNTIF('O3'!A:A,A101)&gt;0,COUNTIF('PM10'!A:A,A101)&gt;0,COUNTIF('PM2.5'!A:A,A101)&gt;0,COUNTIF('SO2'!A:A,A101)&gt;0)</f>
        <v>1</v>
      </c>
    </row>
    <row r="102" spans="1:9" x14ac:dyDescent="0.45">
      <c r="A102" s="4">
        <v>45485</v>
      </c>
      <c r="B102" t="s">
        <v>41</v>
      </c>
      <c r="C102" t="s">
        <v>90</v>
      </c>
      <c r="D102" t="s">
        <v>43</v>
      </c>
      <c r="E102" t="s">
        <v>41</v>
      </c>
      <c r="F102" t="s">
        <v>43</v>
      </c>
      <c r="G102" t="s">
        <v>33</v>
      </c>
      <c r="H102">
        <v>24</v>
      </c>
      <c r="I102" t="b">
        <f>AND(COUNTIF('NO2'!A:A,A102)&gt;0,COUNTIF('O3'!A:A,A102)&gt;0,COUNTIF('PM10'!A:A,A102)&gt;0,COUNTIF('PM2.5'!A:A,A102)&gt;0,COUNTIF('SO2'!A:A,A102)&gt;0)</f>
        <v>1</v>
      </c>
    </row>
    <row r="103" spans="1:9" x14ac:dyDescent="0.45">
      <c r="A103" s="4">
        <v>45486</v>
      </c>
      <c r="B103" t="s">
        <v>45</v>
      </c>
      <c r="C103" t="s">
        <v>43</v>
      </c>
      <c r="D103" t="s">
        <v>41</v>
      </c>
      <c r="E103" t="s">
        <v>41</v>
      </c>
      <c r="F103" t="s">
        <v>43</v>
      </c>
      <c r="G103" t="s">
        <v>36</v>
      </c>
      <c r="H103">
        <v>24</v>
      </c>
      <c r="I103" t="b">
        <f>AND(COUNTIF('NO2'!A:A,A103)&gt;0,COUNTIF('O3'!A:A,A103)&gt;0,COUNTIF('PM10'!A:A,A103)&gt;0,COUNTIF('PM2.5'!A:A,A103)&gt;0,COUNTIF('SO2'!A:A,A103)&gt;0)</f>
        <v>1</v>
      </c>
    </row>
    <row r="104" spans="1:9" x14ac:dyDescent="0.45">
      <c r="A104" s="4">
        <v>45487</v>
      </c>
      <c r="B104" t="s">
        <v>93</v>
      </c>
      <c r="C104" t="s">
        <v>45</v>
      </c>
      <c r="D104" t="s">
        <v>89</v>
      </c>
      <c r="E104" t="s">
        <v>93</v>
      </c>
      <c r="F104" t="s">
        <v>45</v>
      </c>
      <c r="G104" t="s">
        <v>36</v>
      </c>
      <c r="H104">
        <v>24</v>
      </c>
      <c r="I104" t="b">
        <f>AND(COUNTIF('NO2'!A:A,A104)&gt;0,COUNTIF('O3'!A:A,A104)&gt;0,COUNTIF('PM10'!A:A,A104)&gt;0,COUNTIF('PM2.5'!A:A,A104)&gt;0,COUNTIF('SO2'!A:A,A104)&gt;0)</f>
        <v>1</v>
      </c>
    </row>
    <row r="105" spans="1:9" x14ac:dyDescent="0.45">
      <c r="A105" s="4">
        <v>45488</v>
      </c>
      <c r="B105" t="s">
        <v>45</v>
      </c>
      <c r="C105" t="s">
        <v>43</v>
      </c>
      <c r="D105" t="s">
        <v>44</v>
      </c>
      <c r="E105" t="s">
        <v>44</v>
      </c>
      <c r="F105" t="s">
        <v>41</v>
      </c>
      <c r="G105" t="s">
        <v>17</v>
      </c>
      <c r="H105">
        <v>24</v>
      </c>
      <c r="I105" t="b">
        <f>AND(COUNTIF('NO2'!A:A,A105)&gt;0,COUNTIF('O3'!A:A,A105)&gt;0,COUNTIF('PM10'!A:A,A105)&gt;0,COUNTIF('PM2.5'!A:A,A105)&gt;0,COUNTIF('SO2'!A:A,A105)&gt;0)</f>
        <v>1</v>
      </c>
    </row>
    <row r="106" spans="1:9" x14ac:dyDescent="0.45">
      <c r="A106" s="4">
        <v>45489</v>
      </c>
      <c r="B106" t="s">
        <v>45</v>
      </c>
      <c r="C106" t="s">
        <v>43</v>
      </c>
      <c r="D106" t="s">
        <v>45</v>
      </c>
      <c r="E106" t="s">
        <v>45</v>
      </c>
      <c r="F106" t="s">
        <v>44</v>
      </c>
      <c r="G106" t="s">
        <v>23</v>
      </c>
      <c r="H106">
        <v>24</v>
      </c>
      <c r="I106" t="b">
        <f>AND(COUNTIF('NO2'!A:A,A106)&gt;0,COUNTIF('O3'!A:A,A106)&gt;0,COUNTIF('PM10'!A:A,A106)&gt;0,COUNTIF('PM2.5'!A:A,A106)&gt;0,COUNTIF('SO2'!A:A,A106)&gt;0)</f>
        <v>1</v>
      </c>
    </row>
    <row r="107" spans="1:9" x14ac:dyDescent="0.45">
      <c r="A107" s="4">
        <v>45490</v>
      </c>
      <c r="B107" t="s">
        <v>43</v>
      </c>
      <c r="C107" t="s">
        <v>126</v>
      </c>
      <c r="D107" t="s">
        <v>90</v>
      </c>
      <c r="E107" t="s">
        <v>90</v>
      </c>
      <c r="F107" t="s">
        <v>90</v>
      </c>
      <c r="G107" t="s">
        <v>38</v>
      </c>
      <c r="H107">
        <v>24</v>
      </c>
      <c r="I107" t="b">
        <f>AND(COUNTIF('NO2'!A:A,A107)&gt;0,COUNTIF('O3'!A:A,A107)&gt;0,COUNTIF('PM10'!A:A,A107)&gt;0,COUNTIF('PM2.5'!A:A,A107)&gt;0,COUNTIF('SO2'!A:A,A107)&gt;0)</f>
        <v>1</v>
      </c>
    </row>
    <row r="108" spans="1:9" x14ac:dyDescent="0.45">
      <c r="A108" s="4">
        <v>45491</v>
      </c>
      <c r="B108" t="s">
        <v>126</v>
      </c>
      <c r="C108" t="s">
        <v>200</v>
      </c>
      <c r="D108" t="s">
        <v>200</v>
      </c>
      <c r="E108" t="s">
        <v>126</v>
      </c>
      <c r="F108" t="s">
        <v>200</v>
      </c>
      <c r="G108" t="s">
        <v>36</v>
      </c>
      <c r="H108">
        <v>24</v>
      </c>
      <c r="I108" t="b">
        <f>AND(COUNTIF('NO2'!A:A,A108)&gt;0,COUNTIF('O3'!A:A,A108)&gt;0,COUNTIF('PM10'!A:A,A108)&gt;0,COUNTIF('PM2.5'!A:A,A108)&gt;0,COUNTIF('SO2'!A:A,A108)&gt;0)</f>
        <v>1</v>
      </c>
    </row>
    <row r="109" spans="1:9" x14ac:dyDescent="0.45">
      <c r="A109" s="4">
        <v>45492</v>
      </c>
      <c r="B109" t="s">
        <v>90</v>
      </c>
      <c r="C109" t="s">
        <v>108</v>
      </c>
      <c r="D109" t="s">
        <v>39</v>
      </c>
      <c r="E109" t="s">
        <v>90</v>
      </c>
      <c r="F109" t="s">
        <v>108</v>
      </c>
      <c r="G109" t="s">
        <v>36</v>
      </c>
      <c r="H109">
        <v>24</v>
      </c>
      <c r="I109" t="b">
        <f>AND(COUNTIF('NO2'!A:A,A109)&gt;0,COUNTIF('O3'!A:A,A109)&gt;0,COUNTIF('PM10'!A:A,A109)&gt;0,COUNTIF('PM2.5'!A:A,A109)&gt;0,COUNTIF('SO2'!A:A,A109)&gt;0)</f>
        <v>1</v>
      </c>
    </row>
    <row r="110" spans="1:9" x14ac:dyDescent="0.45">
      <c r="A110" s="4">
        <v>45493</v>
      </c>
      <c r="B110" t="s">
        <v>41</v>
      </c>
      <c r="C110" t="s">
        <v>39</v>
      </c>
      <c r="D110" t="s">
        <v>90</v>
      </c>
      <c r="E110" t="s">
        <v>90</v>
      </c>
      <c r="F110" t="s">
        <v>39</v>
      </c>
      <c r="G110" t="s">
        <v>16</v>
      </c>
      <c r="H110">
        <v>24</v>
      </c>
      <c r="I110" t="b">
        <f>AND(COUNTIF('NO2'!A:A,A110)&gt;0,COUNTIF('O3'!A:A,A110)&gt;0,COUNTIF('PM10'!A:A,A110)&gt;0,COUNTIF('PM2.5'!A:A,A110)&gt;0,COUNTIF('SO2'!A:A,A110)&gt;0)</f>
        <v>1</v>
      </c>
    </row>
    <row r="111" spans="1:9" x14ac:dyDescent="0.45">
      <c r="A111" s="4">
        <v>45494</v>
      </c>
      <c r="B111" t="s">
        <v>89</v>
      </c>
      <c r="C111" t="s">
        <v>41</v>
      </c>
      <c r="D111" t="s">
        <v>44</v>
      </c>
      <c r="E111" t="s">
        <v>44</v>
      </c>
      <c r="F111" t="s">
        <v>41</v>
      </c>
      <c r="G111" t="s">
        <v>36</v>
      </c>
      <c r="H111">
        <v>23</v>
      </c>
      <c r="I111" t="b">
        <f>AND(COUNTIF('NO2'!A:A,A111)&gt;0,COUNTIF('O3'!A:A,A111)&gt;0,COUNTIF('PM10'!A:A,A111)&gt;0,COUNTIF('PM2.5'!A:A,A111)&gt;0,COUNTIF('SO2'!A:A,A111)&gt;0)</f>
        <v>1</v>
      </c>
    </row>
    <row r="112" spans="1:9" x14ac:dyDescent="0.45">
      <c r="A112" s="4">
        <v>45495</v>
      </c>
      <c r="B112" t="s">
        <v>89</v>
      </c>
      <c r="C112" t="s">
        <v>41</v>
      </c>
      <c r="D112" t="s">
        <v>44</v>
      </c>
      <c r="E112" t="s">
        <v>89</v>
      </c>
      <c r="F112" t="s">
        <v>44</v>
      </c>
      <c r="G112" t="s">
        <v>38</v>
      </c>
      <c r="H112">
        <v>24</v>
      </c>
      <c r="I112" t="b">
        <f>AND(COUNTIF('NO2'!A:A,A112)&gt;0,COUNTIF('O3'!A:A,A112)&gt;0,COUNTIF('PM10'!A:A,A112)&gt;0,COUNTIF('PM2.5'!A:A,A112)&gt;0,COUNTIF('SO2'!A:A,A112)&gt;0)</f>
        <v>1</v>
      </c>
    </row>
    <row r="113" spans="1:9" x14ac:dyDescent="0.45">
      <c r="A113" s="4">
        <v>45496</v>
      </c>
      <c r="B113" t="s">
        <v>44</v>
      </c>
      <c r="C113" t="s">
        <v>41</v>
      </c>
      <c r="D113" t="s">
        <v>44</v>
      </c>
      <c r="E113" t="s">
        <v>44</v>
      </c>
      <c r="F113" t="s">
        <v>41</v>
      </c>
      <c r="G113" t="s">
        <v>141</v>
      </c>
      <c r="H113">
        <v>24</v>
      </c>
      <c r="I113" t="b">
        <f>AND(COUNTIF('NO2'!A:A,A113)&gt;0,COUNTIF('O3'!A:A,A113)&gt;0,COUNTIF('PM10'!A:A,A113)&gt;0,COUNTIF('PM2.5'!A:A,A113)&gt;0,COUNTIF('SO2'!A:A,A113)&gt;0)</f>
        <v>1</v>
      </c>
    </row>
    <row r="114" spans="1:9" x14ac:dyDescent="0.45">
      <c r="A114" s="4">
        <v>45497</v>
      </c>
      <c r="B114" t="s">
        <v>45</v>
      </c>
      <c r="C114" t="s">
        <v>41</v>
      </c>
      <c r="D114" t="s">
        <v>45</v>
      </c>
      <c r="E114" t="s">
        <v>45</v>
      </c>
      <c r="F114" t="s">
        <v>44</v>
      </c>
      <c r="G114" t="s">
        <v>36</v>
      </c>
      <c r="H114">
        <v>24</v>
      </c>
      <c r="I114" t="b">
        <f>AND(COUNTIF('NO2'!A:A,A114)&gt;0,COUNTIF('O3'!A:A,A114)&gt;0,COUNTIF('PM10'!A:A,A114)&gt;0,COUNTIF('PM2.5'!A:A,A114)&gt;0,COUNTIF('SO2'!A:A,A114)&gt;0)</f>
        <v>1</v>
      </c>
    </row>
    <row r="115" spans="1:9" x14ac:dyDescent="0.45">
      <c r="A115" s="4">
        <v>45498</v>
      </c>
      <c r="B115" t="s">
        <v>43</v>
      </c>
      <c r="C115" t="s">
        <v>39</v>
      </c>
      <c r="D115" t="s">
        <v>90</v>
      </c>
      <c r="E115" t="s">
        <v>90</v>
      </c>
      <c r="F115" t="s">
        <v>39</v>
      </c>
      <c r="G115" t="s">
        <v>36</v>
      </c>
      <c r="H115">
        <v>24</v>
      </c>
      <c r="I115" t="b">
        <f>AND(COUNTIF('NO2'!A:A,A115)&gt;0,COUNTIF('O3'!A:A,A115)&gt;0,COUNTIF('PM10'!A:A,A115)&gt;0,COUNTIF('PM2.5'!A:A,A115)&gt;0,COUNTIF('SO2'!A:A,A115)&gt;0)</f>
        <v>1</v>
      </c>
    </row>
    <row r="116" spans="1:9" x14ac:dyDescent="0.45">
      <c r="A116" s="4">
        <v>45499</v>
      </c>
      <c r="B116" t="s">
        <v>90</v>
      </c>
      <c r="C116" t="s">
        <v>109</v>
      </c>
      <c r="D116" t="s">
        <v>185</v>
      </c>
      <c r="E116" t="s">
        <v>200</v>
      </c>
      <c r="F116" t="s">
        <v>201</v>
      </c>
      <c r="G116" t="s">
        <v>176</v>
      </c>
      <c r="H116">
        <v>24</v>
      </c>
      <c r="I116" t="b">
        <f>AND(COUNTIF('NO2'!A:A,A116)&gt;0,COUNTIF('O3'!A:A,A116)&gt;0,COUNTIF('PM10'!A:A,A116)&gt;0,COUNTIF('PM2.5'!A:A,A116)&gt;0,COUNTIF('SO2'!A:A,A116)&gt;0)</f>
        <v>1</v>
      </c>
    </row>
    <row r="117" spans="1:9" x14ac:dyDescent="0.45">
      <c r="A117" s="4">
        <v>45500</v>
      </c>
      <c r="B117" t="s">
        <v>201</v>
      </c>
      <c r="C117" t="s">
        <v>109</v>
      </c>
      <c r="D117" t="s">
        <v>107</v>
      </c>
      <c r="E117" t="s">
        <v>201</v>
      </c>
      <c r="F117" t="s">
        <v>107</v>
      </c>
      <c r="G117" t="s">
        <v>17</v>
      </c>
      <c r="H117">
        <v>24</v>
      </c>
      <c r="I117" t="b">
        <f>AND(COUNTIF('NO2'!A:A,A117)&gt;0,COUNTIF('O3'!A:A,A117)&gt;0,COUNTIF('PM10'!A:A,A117)&gt;0,COUNTIF('PM2.5'!A:A,A117)&gt;0,COUNTIF('SO2'!A:A,A117)&gt;0)</f>
        <v>1</v>
      </c>
    </row>
    <row r="118" spans="1:9" x14ac:dyDescent="0.45">
      <c r="A118" s="4">
        <v>45501</v>
      </c>
      <c r="B118" t="s">
        <v>185</v>
      </c>
      <c r="C118" t="s">
        <v>201</v>
      </c>
      <c r="D118" t="s">
        <v>202</v>
      </c>
      <c r="E118" t="s">
        <v>96</v>
      </c>
      <c r="F118" t="s">
        <v>139</v>
      </c>
      <c r="G118" t="s">
        <v>178</v>
      </c>
      <c r="H118">
        <v>24</v>
      </c>
      <c r="I118" t="b">
        <f>AND(COUNTIF('NO2'!A:A,A118)&gt;0,COUNTIF('O3'!A:A,A118)&gt;0,COUNTIF('PM10'!A:A,A118)&gt;0,COUNTIF('PM2.5'!A:A,A118)&gt;0,COUNTIF('SO2'!A:A,A118)&gt;0)</f>
        <v>1</v>
      </c>
    </row>
    <row r="119" spans="1:9" x14ac:dyDescent="0.45">
      <c r="A119" s="4">
        <v>45502</v>
      </c>
      <c r="B119" t="s">
        <v>88</v>
      </c>
      <c r="C119" t="s">
        <v>185</v>
      </c>
      <c r="D119" t="s">
        <v>185</v>
      </c>
      <c r="E119" t="s">
        <v>88</v>
      </c>
      <c r="F119" t="s">
        <v>185</v>
      </c>
      <c r="G119" t="s">
        <v>12</v>
      </c>
      <c r="H119">
        <v>24</v>
      </c>
      <c r="I119" t="b">
        <f>AND(COUNTIF('NO2'!A:A,A119)&gt;0,COUNTIF('O3'!A:A,A119)&gt;0,COUNTIF('PM10'!A:A,A119)&gt;0,COUNTIF('PM2.5'!A:A,A119)&gt;0,COUNTIF('SO2'!A:A,A119)&gt;0)</f>
        <v>1</v>
      </c>
    </row>
    <row r="120" spans="1:9" x14ac:dyDescent="0.45">
      <c r="A120" s="4">
        <v>45503</v>
      </c>
      <c r="B120" t="s">
        <v>185</v>
      </c>
      <c r="C120" t="s">
        <v>96</v>
      </c>
      <c r="D120" t="s">
        <v>185</v>
      </c>
      <c r="E120" t="s">
        <v>185</v>
      </c>
      <c r="F120" t="s">
        <v>102</v>
      </c>
      <c r="G120" t="s">
        <v>17</v>
      </c>
      <c r="H120">
        <v>24</v>
      </c>
      <c r="I120" t="b">
        <f>AND(COUNTIF('NO2'!A:A,A120)&gt;0,COUNTIF('O3'!A:A,A120)&gt;0,COUNTIF('PM10'!A:A,A120)&gt;0,COUNTIF('PM2.5'!A:A,A120)&gt;0,COUNTIF('SO2'!A:A,A120)&gt;0)</f>
        <v>1</v>
      </c>
    </row>
    <row r="121" spans="1:9" x14ac:dyDescent="0.45">
      <c r="A121" s="4">
        <v>45504</v>
      </c>
      <c r="B121" t="s">
        <v>96</v>
      </c>
      <c r="C121" t="s">
        <v>202</v>
      </c>
      <c r="D121" t="s">
        <v>202</v>
      </c>
      <c r="E121" t="s">
        <v>202</v>
      </c>
      <c r="F121" t="s">
        <v>202</v>
      </c>
      <c r="G121" t="s">
        <v>22</v>
      </c>
      <c r="H121">
        <v>24</v>
      </c>
      <c r="I121" t="b">
        <f>AND(COUNTIF('NO2'!A:A,A121)&gt;0,COUNTIF('O3'!A:A,A121)&gt;0,COUNTIF('PM10'!A:A,A121)&gt;0,COUNTIF('PM2.5'!A:A,A121)&gt;0,COUNTIF('SO2'!A:A,A121)&gt;0)</f>
        <v>1</v>
      </c>
    </row>
    <row r="122" spans="1:9" x14ac:dyDescent="0.45">
      <c r="A122" s="4">
        <v>45505</v>
      </c>
      <c r="B122" t="s">
        <v>102</v>
      </c>
      <c r="C122" t="s">
        <v>96</v>
      </c>
      <c r="D122" t="s">
        <v>96</v>
      </c>
      <c r="E122" t="s">
        <v>102</v>
      </c>
      <c r="F122" t="s">
        <v>96</v>
      </c>
      <c r="G122" t="s">
        <v>12</v>
      </c>
      <c r="H122">
        <v>24</v>
      </c>
      <c r="I122" t="b">
        <f>AND(COUNTIF('NO2'!A:A,A122)&gt;0,COUNTIF('O3'!A:A,A122)&gt;0,COUNTIF('PM10'!A:A,A122)&gt;0,COUNTIF('PM2.5'!A:A,A122)&gt;0,COUNTIF('SO2'!A:A,A122)&gt;0)</f>
        <v>1</v>
      </c>
    </row>
    <row r="123" spans="1:9" x14ac:dyDescent="0.45">
      <c r="A123" s="4">
        <v>45506</v>
      </c>
      <c r="B123" t="s">
        <v>102</v>
      </c>
      <c r="C123" t="s">
        <v>139</v>
      </c>
      <c r="D123" t="s">
        <v>102</v>
      </c>
      <c r="E123" t="s">
        <v>102</v>
      </c>
      <c r="F123" t="s">
        <v>96</v>
      </c>
      <c r="G123" t="s">
        <v>38</v>
      </c>
      <c r="H123">
        <v>24</v>
      </c>
      <c r="I123" t="b">
        <f>AND(COUNTIF('NO2'!A:A,A123)&gt;0,COUNTIF('O3'!A:A,A123)&gt;0,COUNTIF('PM10'!A:A,A123)&gt;0,COUNTIF('PM2.5'!A:A,A123)&gt;0,COUNTIF('SO2'!A:A,A123)&gt;0)</f>
        <v>1</v>
      </c>
    </row>
    <row r="124" spans="1:9" x14ac:dyDescent="0.45">
      <c r="A124" s="4">
        <v>45507</v>
      </c>
      <c r="B124" t="s">
        <v>202</v>
      </c>
      <c r="C124" t="s">
        <v>201</v>
      </c>
      <c r="D124" t="s">
        <v>139</v>
      </c>
      <c r="E124" t="s">
        <v>139</v>
      </c>
      <c r="F124" t="s">
        <v>139</v>
      </c>
      <c r="G124" t="s">
        <v>22</v>
      </c>
      <c r="H124">
        <v>24</v>
      </c>
      <c r="I124" t="b">
        <f>AND(COUNTIF('NO2'!A:A,A124)&gt;0,COUNTIF('O3'!A:A,A124)&gt;0,COUNTIF('PM10'!A:A,A124)&gt;0,COUNTIF('PM2.5'!A:A,A124)&gt;0,COUNTIF('SO2'!A:A,A124)&gt;0)</f>
        <v>1</v>
      </c>
    </row>
    <row r="125" spans="1:9" x14ac:dyDescent="0.45">
      <c r="A125" s="4">
        <v>45508</v>
      </c>
      <c r="B125" t="s">
        <v>185</v>
      </c>
      <c r="C125" t="s">
        <v>202</v>
      </c>
      <c r="D125" t="s">
        <v>96</v>
      </c>
      <c r="E125" t="s">
        <v>185</v>
      </c>
      <c r="F125" t="s">
        <v>96</v>
      </c>
      <c r="G125" t="s">
        <v>23</v>
      </c>
      <c r="H125">
        <v>24</v>
      </c>
      <c r="I125" t="b">
        <f>AND(COUNTIF('NO2'!A:A,A125)&gt;0,COUNTIF('O3'!A:A,A125)&gt;0,COUNTIF('PM10'!A:A,A125)&gt;0,COUNTIF('PM2.5'!A:A,A125)&gt;0,COUNTIF('SO2'!A:A,A125)&gt;0)</f>
        <v>1</v>
      </c>
    </row>
    <row r="126" spans="1:9" x14ac:dyDescent="0.45">
      <c r="A126" s="4">
        <v>45509</v>
      </c>
      <c r="B126" t="s">
        <v>185</v>
      </c>
      <c r="C126" t="s">
        <v>202</v>
      </c>
      <c r="D126" t="s">
        <v>102</v>
      </c>
      <c r="E126" t="s">
        <v>185</v>
      </c>
      <c r="F126" t="s">
        <v>102</v>
      </c>
      <c r="G126" t="s">
        <v>17</v>
      </c>
      <c r="H126">
        <v>24</v>
      </c>
      <c r="I126" t="b">
        <f>AND(COUNTIF('NO2'!A:A,A126)&gt;0,COUNTIF('O3'!A:A,A126)&gt;0,COUNTIF('PM10'!A:A,A126)&gt;0,COUNTIF('PM2.5'!A:A,A126)&gt;0,COUNTIF('SO2'!A:A,A126)&gt;0)</f>
        <v>1</v>
      </c>
    </row>
    <row r="127" spans="1:9" x14ac:dyDescent="0.45">
      <c r="A127" s="4">
        <v>45510</v>
      </c>
      <c r="B127" t="s">
        <v>202</v>
      </c>
      <c r="C127" t="s">
        <v>201</v>
      </c>
      <c r="D127" t="s">
        <v>139</v>
      </c>
      <c r="E127" t="s">
        <v>139</v>
      </c>
      <c r="F127" t="s">
        <v>201</v>
      </c>
      <c r="G127" t="s">
        <v>17</v>
      </c>
      <c r="H127">
        <v>24</v>
      </c>
      <c r="I127" t="b">
        <f>AND(COUNTIF('NO2'!A:A,A127)&gt;0,COUNTIF('O3'!A:A,A127)&gt;0,COUNTIF('PM10'!A:A,A127)&gt;0,COUNTIF('PM2.5'!A:A,A127)&gt;0,COUNTIF('SO2'!A:A,A127)&gt;0)</f>
        <v>1</v>
      </c>
    </row>
    <row r="128" spans="1:9" x14ac:dyDescent="0.45">
      <c r="A128" s="4">
        <v>45511</v>
      </c>
      <c r="B128" t="s">
        <v>139</v>
      </c>
      <c r="C128" t="s">
        <v>201</v>
      </c>
      <c r="D128" t="s">
        <v>139</v>
      </c>
      <c r="E128" t="s">
        <v>139</v>
      </c>
      <c r="F128" t="s">
        <v>139</v>
      </c>
      <c r="G128" t="s">
        <v>24</v>
      </c>
      <c r="H128">
        <v>24</v>
      </c>
      <c r="I128" t="b">
        <f>AND(COUNTIF('NO2'!A:A,A128)&gt;0,COUNTIF('O3'!A:A,A128)&gt;0,COUNTIF('PM10'!A:A,A128)&gt;0,COUNTIF('PM2.5'!A:A,A128)&gt;0,COUNTIF('SO2'!A:A,A128)&gt;0)</f>
        <v>1</v>
      </c>
    </row>
    <row r="129" spans="1:9" x14ac:dyDescent="0.45">
      <c r="A129" s="4">
        <v>45512</v>
      </c>
      <c r="B129" t="s">
        <v>202</v>
      </c>
      <c r="C129" t="s">
        <v>107</v>
      </c>
      <c r="D129" t="s">
        <v>201</v>
      </c>
      <c r="E129" t="s">
        <v>201</v>
      </c>
      <c r="F129" t="s">
        <v>107</v>
      </c>
      <c r="G129" t="s">
        <v>16</v>
      </c>
      <c r="H129">
        <v>24</v>
      </c>
      <c r="I129" t="b">
        <f>AND(COUNTIF('NO2'!A:A,A129)&gt;0,COUNTIF('O3'!A:A,A129)&gt;0,COUNTIF('PM10'!A:A,A129)&gt;0,COUNTIF('PM2.5'!A:A,A129)&gt;0,COUNTIF('SO2'!A:A,A129)&gt;0)</f>
        <v>1</v>
      </c>
    </row>
    <row r="130" spans="1:9" x14ac:dyDescent="0.45">
      <c r="A130" s="4">
        <v>45513</v>
      </c>
      <c r="B130" t="s">
        <v>57</v>
      </c>
      <c r="C130" t="s">
        <v>202</v>
      </c>
      <c r="D130" t="s">
        <v>8</v>
      </c>
      <c r="E130" t="s">
        <v>62</v>
      </c>
      <c r="F130" t="s">
        <v>44</v>
      </c>
      <c r="G130" t="s">
        <v>203</v>
      </c>
      <c r="H130">
        <v>24</v>
      </c>
      <c r="I130" t="b">
        <f>AND(COUNTIF('NO2'!A:A,A130)&gt;0,COUNTIF('O3'!A:A,A130)&gt;0,COUNTIF('PM10'!A:A,A130)&gt;0,COUNTIF('PM2.5'!A:A,A130)&gt;0,COUNTIF('SO2'!A:A,A130)&gt;0)</f>
        <v>1</v>
      </c>
    </row>
    <row r="131" spans="1:9" x14ac:dyDescent="0.45">
      <c r="A131" s="4">
        <v>45514</v>
      </c>
      <c r="B131" t="s">
        <v>204</v>
      </c>
      <c r="C131" t="s">
        <v>205</v>
      </c>
      <c r="D131" t="s">
        <v>204</v>
      </c>
      <c r="E131" t="s">
        <v>204</v>
      </c>
      <c r="F131" t="s">
        <v>204</v>
      </c>
      <c r="G131" t="s">
        <v>38</v>
      </c>
      <c r="H131">
        <v>24</v>
      </c>
      <c r="I131" t="b">
        <f>AND(COUNTIF('NO2'!A:A,A131)&gt;0,COUNTIF('O3'!A:A,A131)&gt;0,COUNTIF('PM10'!A:A,A131)&gt;0,COUNTIF('PM2.5'!A:A,A131)&gt;0,COUNTIF('SO2'!A:A,A131)&gt;0)</f>
        <v>1</v>
      </c>
    </row>
    <row r="132" spans="1:9" x14ac:dyDescent="0.45">
      <c r="A132" s="4">
        <v>45516</v>
      </c>
      <c r="B132" t="s">
        <v>204</v>
      </c>
      <c r="C132" t="s">
        <v>11</v>
      </c>
      <c r="D132" t="s">
        <v>206</v>
      </c>
      <c r="E132" t="s">
        <v>204</v>
      </c>
      <c r="F132" t="s">
        <v>81</v>
      </c>
      <c r="G132" t="s">
        <v>207</v>
      </c>
      <c r="H132">
        <v>17</v>
      </c>
      <c r="I132" t="b">
        <f>AND(COUNTIF('NO2'!A:A,A132)&gt;0,COUNTIF('O3'!A:A,A132)&gt;0,COUNTIF('PM10'!A:A,A132)&gt;0,COUNTIF('PM2.5'!A:A,A132)&gt;0,COUNTIF('SO2'!A:A,A132)&gt;0)</f>
        <v>1</v>
      </c>
    </row>
    <row r="133" spans="1:9" x14ac:dyDescent="0.45">
      <c r="A133" s="4">
        <v>45517</v>
      </c>
      <c r="B133" t="s">
        <v>105</v>
      </c>
      <c r="C133" t="s">
        <v>104</v>
      </c>
      <c r="D133" t="s">
        <v>104</v>
      </c>
      <c r="E133">
        <v>1</v>
      </c>
      <c r="F133" t="s">
        <v>104</v>
      </c>
      <c r="G133" t="s">
        <v>17</v>
      </c>
      <c r="H133">
        <v>5</v>
      </c>
      <c r="I133" t="b">
        <f>AND(COUNTIF('NO2'!A:A,A133)&gt;0,COUNTIF('O3'!A:A,A133)&gt;0,COUNTIF('PM10'!A:A,A133)&gt;0,COUNTIF('PM2.5'!A:A,A133)&gt;0,COUNTIF('SO2'!A:A,A133)&gt;0)</f>
        <v>1</v>
      </c>
    </row>
    <row r="134" spans="1:9" x14ac:dyDescent="0.45">
      <c r="A134" s="4">
        <v>45518</v>
      </c>
      <c r="B134" t="s">
        <v>201</v>
      </c>
      <c r="C134" t="s">
        <v>105</v>
      </c>
      <c r="D134" t="s">
        <v>101</v>
      </c>
      <c r="E134" t="s">
        <v>107</v>
      </c>
      <c r="F134" t="s">
        <v>101</v>
      </c>
      <c r="G134" t="s">
        <v>100</v>
      </c>
      <c r="H134">
        <v>24</v>
      </c>
      <c r="I134" t="b">
        <f>AND(COUNTIF('NO2'!A:A,A134)&gt;0,COUNTIF('O3'!A:A,A134)&gt;0,COUNTIF('PM10'!A:A,A134)&gt;0,COUNTIF('PM2.5'!A:A,A134)&gt;0,COUNTIF('SO2'!A:A,A134)&gt;0)</f>
        <v>1</v>
      </c>
    </row>
    <row r="135" spans="1:9" x14ac:dyDescent="0.45">
      <c r="A135" s="4">
        <v>45519</v>
      </c>
      <c r="B135" t="s">
        <v>202</v>
      </c>
      <c r="C135" t="s">
        <v>201</v>
      </c>
      <c r="D135" t="s">
        <v>139</v>
      </c>
      <c r="E135" t="s">
        <v>202</v>
      </c>
      <c r="F135" t="s">
        <v>201</v>
      </c>
      <c r="G135" t="s">
        <v>36</v>
      </c>
      <c r="H135">
        <v>15</v>
      </c>
      <c r="I135" t="b">
        <f>AND(COUNTIF('NO2'!A:A,A135)&gt;0,COUNTIF('O3'!A:A,A135)&gt;0,COUNTIF('PM10'!A:A,A135)&gt;0,COUNTIF('PM2.5'!A:A,A135)&gt;0,COUNTIF('SO2'!A:A,A135)&gt;0)</f>
        <v>1</v>
      </c>
    </row>
    <row r="136" spans="1:9" x14ac:dyDescent="0.45">
      <c r="A136" s="4">
        <v>45521</v>
      </c>
      <c r="B136" t="s">
        <v>130</v>
      </c>
      <c r="C136" t="s">
        <v>130</v>
      </c>
      <c r="D136" t="s">
        <v>130</v>
      </c>
      <c r="E136" t="s">
        <v>130</v>
      </c>
      <c r="F136" t="s">
        <v>130</v>
      </c>
      <c r="G136" t="s">
        <v>56</v>
      </c>
      <c r="H136">
        <v>24</v>
      </c>
      <c r="I136" t="b">
        <f>AND(COUNTIF('NO2'!A:A,A136)&gt;0,COUNTIF('O3'!A:A,A136)&gt;0,COUNTIF('PM10'!A:A,A136)&gt;0,COUNTIF('PM2.5'!A:A,A136)&gt;0,COUNTIF('SO2'!A:A,A136)&gt;0)</f>
        <v>1</v>
      </c>
    </row>
    <row r="137" spans="1:9" x14ac:dyDescent="0.45">
      <c r="A137" s="4">
        <v>45522</v>
      </c>
      <c r="B137" t="s">
        <v>130</v>
      </c>
      <c r="C137" t="s">
        <v>130</v>
      </c>
      <c r="D137" t="s">
        <v>130</v>
      </c>
      <c r="E137" t="s">
        <v>130</v>
      </c>
      <c r="F137" t="s">
        <v>130</v>
      </c>
      <c r="G137">
        <v>0</v>
      </c>
      <c r="H137">
        <v>24</v>
      </c>
      <c r="I137" t="b">
        <f>AND(COUNTIF('NO2'!A:A,A137)&gt;0,COUNTIF('O3'!A:A,A137)&gt;0,COUNTIF('PM10'!A:A,A137)&gt;0,COUNTIF('PM2.5'!A:A,A137)&gt;0,COUNTIF('SO2'!A:A,A137)&gt;0)</f>
        <v>1</v>
      </c>
    </row>
    <row r="138" spans="1:9" x14ac:dyDescent="0.45">
      <c r="A138" s="4">
        <v>45523</v>
      </c>
      <c r="B138" t="s">
        <v>130</v>
      </c>
      <c r="C138" t="s">
        <v>130</v>
      </c>
      <c r="D138" t="s">
        <v>130</v>
      </c>
      <c r="E138" t="s">
        <v>130</v>
      </c>
      <c r="F138" t="s">
        <v>130</v>
      </c>
      <c r="G138">
        <v>0</v>
      </c>
      <c r="H138">
        <v>24</v>
      </c>
      <c r="I138" t="b">
        <f>AND(COUNTIF('NO2'!A:A,A138)&gt;0,COUNTIF('O3'!A:A,A138)&gt;0,COUNTIF('PM10'!A:A,A138)&gt;0,COUNTIF('PM2.5'!A:A,A138)&gt;0,COUNTIF('SO2'!A:A,A138)&gt;0)</f>
        <v>1</v>
      </c>
    </row>
    <row r="139" spans="1:9" x14ac:dyDescent="0.45">
      <c r="A139" s="4">
        <v>45524</v>
      </c>
      <c r="B139" t="s">
        <v>130</v>
      </c>
      <c r="C139" t="s">
        <v>130</v>
      </c>
      <c r="D139" t="s">
        <v>130</v>
      </c>
      <c r="E139" t="s">
        <v>130</v>
      </c>
      <c r="F139" t="s">
        <v>130</v>
      </c>
      <c r="G139">
        <v>0</v>
      </c>
      <c r="H139">
        <v>22</v>
      </c>
      <c r="I139" t="b">
        <f>AND(COUNTIF('NO2'!A:A,A139)&gt;0,COUNTIF('O3'!A:A,A139)&gt;0,COUNTIF('PM10'!A:A,A139)&gt;0,COUNTIF('PM2.5'!A:A,A139)&gt;0,COUNTIF('SO2'!A:A,A139)&gt;0)</f>
        <v>1</v>
      </c>
    </row>
    <row r="140" spans="1:9" x14ac:dyDescent="0.45">
      <c r="A140" s="4">
        <v>45525</v>
      </c>
      <c r="B140" t="s">
        <v>130</v>
      </c>
      <c r="C140" t="s">
        <v>130</v>
      </c>
      <c r="D140" t="s">
        <v>130</v>
      </c>
      <c r="E140" t="s">
        <v>130</v>
      </c>
      <c r="F140" t="s">
        <v>130</v>
      </c>
      <c r="G140">
        <v>0</v>
      </c>
      <c r="H140">
        <v>24</v>
      </c>
      <c r="I140" t="b">
        <f>AND(COUNTIF('NO2'!A:A,A140)&gt;0,COUNTIF('O3'!A:A,A140)&gt;0,COUNTIF('PM10'!A:A,A140)&gt;0,COUNTIF('PM2.5'!A:A,A140)&gt;0,COUNTIF('SO2'!A:A,A140)&gt;0)</f>
        <v>1</v>
      </c>
    </row>
    <row r="141" spans="1:9" x14ac:dyDescent="0.45">
      <c r="A141" s="4">
        <v>45526</v>
      </c>
      <c r="B141" t="s">
        <v>130</v>
      </c>
      <c r="C141" t="s">
        <v>130</v>
      </c>
      <c r="D141" t="s">
        <v>130</v>
      </c>
      <c r="E141" t="s">
        <v>130</v>
      </c>
      <c r="F141" t="s">
        <v>130</v>
      </c>
      <c r="G141">
        <v>0</v>
      </c>
      <c r="H141">
        <v>24</v>
      </c>
      <c r="I141" t="b">
        <f>AND(COUNTIF('NO2'!A:A,A141)&gt;0,COUNTIF('O3'!A:A,A141)&gt;0,COUNTIF('PM10'!A:A,A141)&gt;0,COUNTIF('PM2.5'!A:A,A141)&gt;0,COUNTIF('SO2'!A:A,A141)&gt;0)</f>
        <v>1</v>
      </c>
    </row>
    <row r="142" spans="1:9" x14ac:dyDescent="0.45">
      <c r="A142" s="4">
        <v>45527</v>
      </c>
      <c r="B142" t="s">
        <v>142</v>
      </c>
      <c r="C142" t="s">
        <v>130</v>
      </c>
      <c r="D142" t="s">
        <v>148</v>
      </c>
      <c r="E142" t="s">
        <v>140</v>
      </c>
      <c r="F142" t="s">
        <v>146</v>
      </c>
      <c r="G142" t="s">
        <v>72</v>
      </c>
      <c r="H142">
        <v>24</v>
      </c>
      <c r="I142" t="b">
        <f>AND(COUNTIF('NO2'!A:A,A142)&gt;0,COUNTIF('O3'!A:A,A142)&gt;0,COUNTIF('PM10'!A:A,A142)&gt;0,COUNTIF('PM2.5'!A:A,A142)&gt;0,COUNTIF('SO2'!A:A,A142)&gt;0)</f>
        <v>1</v>
      </c>
    </row>
    <row r="143" spans="1:9" x14ac:dyDescent="0.45">
      <c r="A143" s="4">
        <v>45528</v>
      </c>
      <c r="B143" t="s">
        <v>101</v>
      </c>
      <c r="C143" t="s">
        <v>168</v>
      </c>
      <c r="D143" t="s">
        <v>105</v>
      </c>
      <c r="E143" t="s">
        <v>101</v>
      </c>
      <c r="F143" t="s">
        <v>104</v>
      </c>
      <c r="G143" t="s">
        <v>179</v>
      </c>
      <c r="H143">
        <v>24</v>
      </c>
      <c r="I143" t="b">
        <f>AND(COUNTIF('NO2'!A:A,A143)&gt;0,COUNTIF('O3'!A:A,A143)&gt;0,COUNTIF('PM10'!A:A,A143)&gt;0,COUNTIF('PM2.5'!A:A,A143)&gt;0,COUNTIF('SO2'!A:A,A143)&gt;0)</f>
        <v>1</v>
      </c>
    </row>
    <row r="144" spans="1:9" x14ac:dyDescent="0.45">
      <c r="A144" s="4">
        <v>45529</v>
      </c>
      <c r="B144" t="s">
        <v>96</v>
      </c>
      <c r="C144" t="s">
        <v>101</v>
      </c>
      <c r="D144" t="s">
        <v>201</v>
      </c>
      <c r="E144" t="s">
        <v>139</v>
      </c>
      <c r="F144" t="s">
        <v>208</v>
      </c>
      <c r="G144" t="s">
        <v>179</v>
      </c>
      <c r="H144">
        <v>24</v>
      </c>
      <c r="I144" t="b">
        <f>AND(COUNTIF('NO2'!A:A,A144)&gt;0,COUNTIF('O3'!A:A,A144)&gt;0,COUNTIF('PM10'!A:A,A144)&gt;0,COUNTIF('PM2.5'!A:A,A144)&gt;0,COUNTIF('SO2'!A:A,A144)&gt;0)</f>
        <v>1</v>
      </c>
    </row>
    <row r="145" spans="1:9" x14ac:dyDescent="0.45">
      <c r="A145" s="4">
        <v>45530</v>
      </c>
      <c r="B145" t="s">
        <v>96</v>
      </c>
      <c r="C145" t="s">
        <v>146</v>
      </c>
      <c r="D145" t="s">
        <v>104</v>
      </c>
      <c r="E145" t="s">
        <v>139</v>
      </c>
      <c r="F145" t="s">
        <v>140</v>
      </c>
      <c r="G145" t="s">
        <v>66</v>
      </c>
      <c r="H145">
        <v>24</v>
      </c>
      <c r="I145" t="b">
        <f>AND(COUNTIF('NO2'!A:A,A145)&gt;0,COUNTIF('O3'!A:A,A145)&gt;0,COUNTIF('PM10'!A:A,A145)&gt;0,COUNTIF('PM2.5'!A:A,A145)&gt;0,COUNTIF('SO2'!A:A,A145)&gt;0)</f>
        <v>1</v>
      </c>
    </row>
    <row r="146" spans="1:9" x14ac:dyDescent="0.45">
      <c r="A146" s="4">
        <v>45531</v>
      </c>
      <c r="B146" t="s">
        <v>152</v>
      </c>
      <c r="C146" t="s">
        <v>159</v>
      </c>
      <c r="D146" t="s">
        <v>115</v>
      </c>
      <c r="E146" t="s">
        <v>115</v>
      </c>
      <c r="F146" t="s">
        <v>159</v>
      </c>
      <c r="G146" t="s">
        <v>97</v>
      </c>
      <c r="H146">
        <v>24</v>
      </c>
      <c r="I146" t="b">
        <f>AND(COUNTIF('NO2'!A:A,A146)&gt;0,COUNTIF('O3'!A:A,A146)&gt;0,COUNTIF('PM10'!A:A,A146)&gt;0,COUNTIF('PM2.5'!A:A,A146)&gt;0,COUNTIF('SO2'!A:A,A146)&gt;0)</f>
        <v>1</v>
      </c>
    </row>
    <row r="147" spans="1:9" x14ac:dyDescent="0.45">
      <c r="A147" s="4">
        <v>45532</v>
      </c>
      <c r="B147" t="s">
        <v>157</v>
      </c>
      <c r="C147" t="s">
        <v>174</v>
      </c>
      <c r="D147" t="s">
        <v>115</v>
      </c>
      <c r="E147" t="s">
        <v>115</v>
      </c>
      <c r="F147" t="s">
        <v>161</v>
      </c>
      <c r="G147" t="s">
        <v>23</v>
      </c>
      <c r="H147">
        <v>24</v>
      </c>
      <c r="I147" t="b">
        <f>AND(COUNTIF('NO2'!A:A,A147)&gt;0,COUNTIF('O3'!A:A,A147)&gt;0,COUNTIF('PM10'!A:A,A147)&gt;0,COUNTIF('PM2.5'!A:A,A147)&gt;0,COUNTIF('SO2'!A:A,A147)&gt;0)</f>
        <v>1</v>
      </c>
    </row>
    <row r="148" spans="1:9" x14ac:dyDescent="0.45">
      <c r="A148" s="4">
        <v>45533</v>
      </c>
      <c r="B148" t="s">
        <v>159</v>
      </c>
      <c r="C148" t="s">
        <v>174</v>
      </c>
      <c r="D148" t="s">
        <v>161</v>
      </c>
      <c r="E148" t="s">
        <v>161</v>
      </c>
      <c r="F148" t="s">
        <v>174</v>
      </c>
      <c r="G148" t="s">
        <v>24</v>
      </c>
      <c r="H148">
        <v>24</v>
      </c>
      <c r="I148" t="b">
        <f>AND(COUNTIF('NO2'!A:A,A148)&gt;0,COUNTIF('O3'!A:A,A148)&gt;0,COUNTIF('PM10'!A:A,A148)&gt;0,COUNTIF('PM2.5'!A:A,A148)&gt;0,COUNTIF('SO2'!A:A,A148)&gt;0)</f>
        <v>1</v>
      </c>
    </row>
    <row r="149" spans="1:9" x14ac:dyDescent="0.45">
      <c r="A149" s="4">
        <v>45534</v>
      </c>
      <c r="B149" t="s">
        <v>159</v>
      </c>
      <c r="C149" t="s">
        <v>162</v>
      </c>
      <c r="D149" t="s">
        <v>159</v>
      </c>
      <c r="E149" t="s">
        <v>159</v>
      </c>
      <c r="F149" t="s">
        <v>161</v>
      </c>
      <c r="G149" t="s">
        <v>37</v>
      </c>
      <c r="H149">
        <v>24</v>
      </c>
      <c r="I149" t="b">
        <f>AND(COUNTIF('NO2'!A:A,A149)&gt;0,COUNTIF('O3'!A:A,A149)&gt;0,COUNTIF('PM10'!A:A,A149)&gt;0,COUNTIF('PM2.5'!A:A,A149)&gt;0,COUNTIF('SO2'!A:A,A149)&gt;0)</f>
        <v>1</v>
      </c>
    </row>
    <row r="150" spans="1:9" x14ac:dyDescent="0.45">
      <c r="A150" s="4">
        <v>45535</v>
      </c>
      <c r="B150" t="s">
        <v>162</v>
      </c>
      <c r="C150" t="s">
        <v>154</v>
      </c>
      <c r="D150" t="s">
        <v>154</v>
      </c>
      <c r="E150" t="s">
        <v>127</v>
      </c>
      <c r="F150" t="s">
        <v>154</v>
      </c>
      <c r="G150" t="s">
        <v>100</v>
      </c>
      <c r="H150">
        <v>24</v>
      </c>
      <c r="I150" t="b">
        <f>AND(COUNTIF('NO2'!A:A,A150)&gt;0,COUNTIF('O3'!A:A,A150)&gt;0,COUNTIF('PM10'!A:A,A150)&gt;0,COUNTIF('PM2.5'!A:A,A150)&gt;0,COUNTIF('SO2'!A:A,A150)&gt;0)</f>
        <v>1</v>
      </c>
    </row>
    <row r="151" spans="1:9" x14ac:dyDescent="0.45">
      <c r="A151" s="4">
        <v>45536</v>
      </c>
      <c r="B151" t="s">
        <v>154</v>
      </c>
      <c r="C151" t="s">
        <v>154</v>
      </c>
      <c r="D151" t="s">
        <v>154</v>
      </c>
      <c r="E151" t="s">
        <v>154</v>
      </c>
      <c r="F151" t="s">
        <v>154</v>
      </c>
      <c r="G151">
        <v>0</v>
      </c>
      <c r="H151">
        <v>24</v>
      </c>
      <c r="I151" t="b">
        <f>AND(COUNTIF('NO2'!A:A,A151)&gt;0,COUNTIF('O3'!A:A,A151)&gt;0,COUNTIF('PM10'!A:A,A151)&gt;0,COUNTIF('PM2.5'!A:A,A151)&gt;0,COUNTIF('SO2'!A:A,A151)&gt;0)</f>
        <v>1</v>
      </c>
    </row>
    <row r="152" spans="1:9" x14ac:dyDescent="0.45">
      <c r="A152" s="4">
        <v>45537</v>
      </c>
      <c r="B152" t="s">
        <v>145</v>
      </c>
      <c r="C152" t="s">
        <v>154</v>
      </c>
      <c r="D152" t="s">
        <v>163</v>
      </c>
      <c r="E152" t="s">
        <v>170</v>
      </c>
      <c r="F152" t="s">
        <v>154</v>
      </c>
      <c r="G152" t="s">
        <v>73</v>
      </c>
      <c r="H152">
        <v>24</v>
      </c>
      <c r="I152" t="b">
        <f>AND(COUNTIF('NO2'!A:A,A152)&gt;0,COUNTIF('O3'!A:A,A152)&gt;0,COUNTIF('PM10'!A:A,A152)&gt;0,COUNTIF('PM2.5'!A:A,A152)&gt;0,COUNTIF('SO2'!A:A,A152)&gt;0)</f>
        <v>1</v>
      </c>
    </row>
    <row r="153" spans="1:9" x14ac:dyDescent="0.45">
      <c r="A153" s="4">
        <v>45538</v>
      </c>
      <c r="B153" t="s">
        <v>168</v>
      </c>
      <c r="C153" t="s">
        <v>137</v>
      </c>
      <c r="D153" t="s">
        <v>142</v>
      </c>
      <c r="E153" t="s">
        <v>142</v>
      </c>
      <c r="F153" t="s">
        <v>151</v>
      </c>
      <c r="G153" t="s">
        <v>27</v>
      </c>
      <c r="H153">
        <v>24</v>
      </c>
      <c r="I153" t="b">
        <f>AND(COUNTIF('NO2'!A:A,A153)&gt;0,COUNTIF('O3'!A:A,A153)&gt;0,COUNTIF('PM10'!A:A,A153)&gt;0,COUNTIF('PM2.5'!A:A,A153)&gt;0,COUNTIF('SO2'!A:A,A153)&gt;0)</f>
        <v>1</v>
      </c>
    </row>
    <row r="154" spans="1:9" x14ac:dyDescent="0.45">
      <c r="A154" s="4">
        <v>45539</v>
      </c>
      <c r="B154" t="s">
        <v>150</v>
      </c>
      <c r="C154" t="s">
        <v>110</v>
      </c>
      <c r="D154" t="s">
        <v>111</v>
      </c>
      <c r="E154" t="s">
        <v>150</v>
      </c>
      <c r="F154" t="s">
        <v>111</v>
      </c>
      <c r="G154" t="s">
        <v>24</v>
      </c>
      <c r="H154">
        <v>24</v>
      </c>
      <c r="I154" t="b">
        <f>AND(COUNTIF('NO2'!A:A,A154)&gt;0,COUNTIF('O3'!A:A,A154)&gt;0,COUNTIF('PM10'!A:A,A154)&gt;0,COUNTIF('PM2.5'!A:A,A154)&gt;0,COUNTIF('SO2'!A:A,A154)&gt;0)</f>
        <v>1</v>
      </c>
    </row>
    <row r="155" spans="1:9" x14ac:dyDescent="0.45">
      <c r="A155" s="4">
        <v>45540</v>
      </c>
      <c r="B155" t="s">
        <v>151</v>
      </c>
      <c r="C155" t="s">
        <v>150</v>
      </c>
      <c r="D155" t="s">
        <v>151</v>
      </c>
      <c r="E155" t="s">
        <v>151</v>
      </c>
      <c r="F155" t="s">
        <v>151</v>
      </c>
      <c r="G155" t="s">
        <v>22</v>
      </c>
      <c r="H155">
        <v>24</v>
      </c>
      <c r="I155" t="b">
        <f>AND(COUNTIF('NO2'!A:A,A155)&gt;0,COUNTIF('O3'!A:A,A155)&gt;0,COUNTIF('PM10'!A:A,A155)&gt;0,COUNTIF('PM2.5'!A:A,A155)&gt;0,COUNTIF('SO2'!A:A,A155)&gt;0)</f>
        <v>1</v>
      </c>
    </row>
    <row r="156" spans="1:9" x14ac:dyDescent="0.45">
      <c r="A156" s="4">
        <v>45541</v>
      </c>
      <c r="B156" t="s">
        <v>150</v>
      </c>
      <c r="C156" t="s">
        <v>111</v>
      </c>
      <c r="D156" t="s">
        <v>150</v>
      </c>
      <c r="E156" t="s">
        <v>150</v>
      </c>
      <c r="F156" t="s">
        <v>150</v>
      </c>
      <c r="G156" t="s">
        <v>12</v>
      </c>
      <c r="H156">
        <v>24</v>
      </c>
      <c r="I156" t="b">
        <f>AND(COUNTIF('NO2'!A:A,A156)&gt;0,COUNTIF('O3'!A:A,A156)&gt;0,COUNTIF('PM10'!A:A,A156)&gt;0,COUNTIF('PM2.5'!A:A,A156)&gt;0,COUNTIF('SO2'!A:A,A156)&gt;0)</f>
        <v>1</v>
      </c>
    </row>
    <row r="157" spans="1:9" x14ac:dyDescent="0.45">
      <c r="A157" s="4">
        <v>45542</v>
      </c>
      <c r="B157" t="s">
        <v>111</v>
      </c>
      <c r="C157" t="s">
        <v>111</v>
      </c>
      <c r="D157" t="s">
        <v>111</v>
      </c>
      <c r="E157" t="s">
        <v>111</v>
      </c>
      <c r="F157" t="s">
        <v>111</v>
      </c>
      <c r="G157" t="s">
        <v>56</v>
      </c>
      <c r="H157">
        <v>22</v>
      </c>
      <c r="I157" t="b">
        <f>AND(COUNTIF('NO2'!A:A,A157)&gt;0,COUNTIF('O3'!A:A,A157)&gt;0,COUNTIF('PM10'!A:A,A157)&gt;0,COUNTIF('PM2.5'!A:A,A157)&gt;0,COUNTIF('SO2'!A:A,A157)&gt;0)</f>
        <v>1</v>
      </c>
    </row>
    <row r="158" spans="1:9" x14ac:dyDescent="0.45">
      <c r="A158" s="4">
        <v>45543</v>
      </c>
      <c r="B158" t="s">
        <v>168</v>
      </c>
      <c r="C158" t="s">
        <v>111</v>
      </c>
      <c r="D158" t="s">
        <v>151</v>
      </c>
      <c r="E158" t="s">
        <v>142</v>
      </c>
      <c r="F158" t="s">
        <v>150</v>
      </c>
      <c r="G158" t="s">
        <v>23</v>
      </c>
      <c r="H158">
        <v>24</v>
      </c>
      <c r="I158" t="b">
        <f>AND(COUNTIF('NO2'!A:A,A158)&gt;0,COUNTIF('O3'!A:A,A158)&gt;0,COUNTIF('PM10'!A:A,A158)&gt;0,COUNTIF('PM2.5'!A:A,A158)&gt;0,COUNTIF('SO2'!A:A,A158)&gt;0)</f>
        <v>1</v>
      </c>
    </row>
    <row r="159" spans="1:9" x14ac:dyDescent="0.45">
      <c r="A159" s="4">
        <v>45544</v>
      </c>
      <c r="B159" t="s">
        <v>151</v>
      </c>
      <c r="C159" t="s">
        <v>148</v>
      </c>
      <c r="D159" t="s">
        <v>140</v>
      </c>
      <c r="E159" t="s">
        <v>111</v>
      </c>
      <c r="F159" t="s">
        <v>149</v>
      </c>
      <c r="G159" t="s">
        <v>63</v>
      </c>
      <c r="H159">
        <v>24</v>
      </c>
      <c r="I159" t="b">
        <f>AND(COUNTIF('NO2'!A:A,A159)&gt;0,COUNTIF('O3'!A:A,A159)&gt;0,COUNTIF('PM10'!A:A,A159)&gt;0,COUNTIF('PM2.5'!A:A,A159)&gt;0,COUNTIF('SO2'!A:A,A159)&gt;0)</f>
        <v>1</v>
      </c>
    </row>
    <row r="160" spans="1:9" x14ac:dyDescent="0.45">
      <c r="A160" s="4">
        <v>45545</v>
      </c>
      <c r="B160" t="s">
        <v>137</v>
      </c>
      <c r="C160" t="s">
        <v>149</v>
      </c>
      <c r="D160" t="s">
        <v>145</v>
      </c>
      <c r="E160" t="s">
        <v>137</v>
      </c>
      <c r="F160" t="s">
        <v>145</v>
      </c>
      <c r="G160" t="s">
        <v>24</v>
      </c>
      <c r="H160">
        <v>24</v>
      </c>
      <c r="I160" t="b">
        <f>AND(COUNTIF('NO2'!A:A,A160)&gt;0,COUNTIF('O3'!A:A,A160)&gt;0,COUNTIF('PM10'!A:A,A160)&gt;0,COUNTIF('PM2.5'!A:A,A160)&gt;0,COUNTIF('SO2'!A:A,A160)&gt;0)</f>
        <v>1</v>
      </c>
    </row>
    <row r="161" spans="1:9" x14ac:dyDescent="0.45">
      <c r="A161" s="4">
        <v>45546</v>
      </c>
      <c r="B161" t="s">
        <v>140</v>
      </c>
      <c r="C161" t="s">
        <v>145</v>
      </c>
      <c r="D161" t="s">
        <v>137</v>
      </c>
      <c r="E161" t="s">
        <v>140</v>
      </c>
      <c r="F161" t="s">
        <v>145</v>
      </c>
      <c r="G161" t="s">
        <v>85</v>
      </c>
      <c r="H161">
        <v>24</v>
      </c>
      <c r="I161" t="b">
        <f>AND(COUNTIF('NO2'!A:A,A161)&gt;0,COUNTIF('O3'!A:A,A161)&gt;0,COUNTIF('PM10'!A:A,A161)&gt;0,COUNTIF('PM2.5'!A:A,A161)&gt;0,COUNTIF('SO2'!A:A,A161)&gt;0)</f>
        <v>1</v>
      </c>
    </row>
    <row r="162" spans="1:9" x14ac:dyDescent="0.45">
      <c r="A162" s="4">
        <v>45547</v>
      </c>
      <c r="B162" t="s">
        <v>151</v>
      </c>
      <c r="C162" t="s">
        <v>110</v>
      </c>
      <c r="D162" t="s">
        <v>111</v>
      </c>
      <c r="E162" t="s">
        <v>150</v>
      </c>
      <c r="F162" t="s">
        <v>110</v>
      </c>
      <c r="G162" t="s">
        <v>17</v>
      </c>
      <c r="H162">
        <v>24</v>
      </c>
      <c r="I162" t="b">
        <f>AND(COUNTIF('NO2'!A:A,A162)&gt;0,COUNTIF('O3'!A:A,A162)&gt;0,COUNTIF('PM10'!A:A,A162)&gt;0,COUNTIF('PM2.5'!A:A,A162)&gt;0,COUNTIF('SO2'!A:A,A162)&gt;0)</f>
        <v>1</v>
      </c>
    </row>
    <row r="163" spans="1:9" x14ac:dyDescent="0.45">
      <c r="A163" s="4">
        <v>45548</v>
      </c>
      <c r="B163" t="s">
        <v>142</v>
      </c>
      <c r="C163" t="s">
        <v>151</v>
      </c>
      <c r="D163" t="s">
        <v>151</v>
      </c>
      <c r="E163" t="s">
        <v>151</v>
      </c>
      <c r="F163" t="s">
        <v>151</v>
      </c>
      <c r="G163" t="s">
        <v>22</v>
      </c>
      <c r="H163">
        <v>24</v>
      </c>
      <c r="I163" t="b">
        <f>AND(COUNTIF('NO2'!A:A,A163)&gt;0,COUNTIF('O3'!A:A,A163)&gt;0,COUNTIF('PM10'!A:A,A163)&gt;0,COUNTIF('PM2.5'!A:A,A163)&gt;0,COUNTIF('SO2'!A:A,A163)&gt;0)</f>
        <v>1</v>
      </c>
    </row>
    <row r="164" spans="1:9" x14ac:dyDescent="0.45">
      <c r="A164" s="4">
        <v>45549</v>
      </c>
      <c r="B164" t="s">
        <v>167</v>
      </c>
      <c r="C164" t="s">
        <v>142</v>
      </c>
      <c r="D164" t="s">
        <v>168</v>
      </c>
      <c r="E164" t="s">
        <v>168</v>
      </c>
      <c r="F164" t="s">
        <v>168</v>
      </c>
      <c r="G164" t="s">
        <v>12</v>
      </c>
      <c r="H164">
        <v>24</v>
      </c>
      <c r="I164" t="b">
        <f>AND(COUNTIF('NO2'!A:A,A164)&gt;0,COUNTIF('O3'!A:A,A164)&gt;0,COUNTIF('PM10'!A:A,A164)&gt;0,COUNTIF('PM2.5'!A:A,A164)&gt;0,COUNTIF('SO2'!A:A,A164)&gt;0)</f>
        <v>1</v>
      </c>
    </row>
    <row r="165" spans="1:9" x14ac:dyDescent="0.45">
      <c r="A165" s="4">
        <v>45550</v>
      </c>
      <c r="B165" t="s">
        <v>167</v>
      </c>
      <c r="C165" t="s">
        <v>168</v>
      </c>
      <c r="D165" t="s">
        <v>168</v>
      </c>
      <c r="E165" t="s">
        <v>167</v>
      </c>
      <c r="F165" t="s">
        <v>168</v>
      </c>
      <c r="G165" t="s">
        <v>22</v>
      </c>
      <c r="H165">
        <v>24</v>
      </c>
      <c r="I165" t="b">
        <f>AND(COUNTIF('NO2'!A:A,A165)&gt;0,COUNTIF('O3'!A:A,A165)&gt;0,COUNTIF('PM10'!A:A,A165)&gt;0,COUNTIF('PM2.5'!A:A,A165)&gt;0,COUNTIF('SO2'!A:A,A165)&gt;0)</f>
        <v>1</v>
      </c>
    </row>
    <row r="166" spans="1:9" x14ac:dyDescent="0.45">
      <c r="A166" s="4">
        <v>45551</v>
      </c>
      <c r="B166" t="s">
        <v>167</v>
      </c>
      <c r="C166" t="s">
        <v>168</v>
      </c>
      <c r="D166" t="s">
        <v>167</v>
      </c>
      <c r="E166" t="s">
        <v>167</v>
      </c>
      <c r="F166" t="s">
        <v>167</v>
      </c>
      <c r="G166" t="s">
        <v>56</v>
      </c>
      <c r="H166">
        <v>24</v>
      </c>
      <c r="I166" t="b">
        <f>AND(COUNTIF('NO2'!A:A,A166)&gt;0,COUNTIF('O3'!A:A,A166)&gt;0,COUNTIF('PM10'!A:A,A166)&gt;0,COUNTIF('PM2.5'!A:A,A166)&gt;0,COUNTIF('SO2'!A:A,A166)&gt;0)</f>
        <v>1</v>
      </c>
    </row>
    <row r="167" spans="1:9" x14ac:dyDescent="0.45">
      <c r="A167" s="4">
        <v>45552</v>
      </c>
      <c r="B167" t="s">
        <v>168</v>
      </c>
      <c r="C167" t="s">
        <v>147</v>
      </c>
      <c r="D167" t="s">
        <v>140</v>
      </c>
      <c r="E167" t="s">
        <v>150</v>
      </c>
      <c r="F167" t="s">
        <v>145</v>
      </c>
      <c r="G167" t="s">
        <v>92</v>
      </c>
      <c r="H167">
        <v>24</v>
      </c>
      <c r="I167" t="b">
        <f>AND(COUNTIF('NO2'!A:A,A167)&gt;0,COUNTIF('O3'!A:A,A167)&gt;0,COUNTIF('PM10'!A:A,A167)&gt;0,COUNTIF('PM2.5'!A:A,A167)&gt;0,COUNTIF('SO2'!A:A,A167)&gt;0)</f>
        <v>1</v>
      </c>
    </row>
    <row r="168" spans="1:9" x14ac:dyDescent="0.45">
      <c r="A168" s="4">
        <v>45553</v>
      </c>
      <c r="B168" t="s">
        <v>148</v>
      </c>
      <c r="C168" t="s">
        <v>148</v>
      </c>
      <c r="D168" t="s">
        <v>148</v>
      </c>
      <c r="E168" t="s">
        <v>148</v>
      </c>
      <c r="F168" t="s">
        <v>148</v>
      </c>
      <c r="G168">
        <v>0</v>
      </c>
      <c r="H168">
        <v>24</v>
      </c>
      <c r="I168" t="b">
        <f>AND(COUNTIF('NO2'!A:A,A168)&gt;0,COUNTIF('O3'!A:A,A168)&gt;0,COUNTIF('PM10'!A:A,A168)&gt;0,COUNTIF('PM2.5'!A:A,A168)&gt;0,COUNTIF('SO2'!A:A,A168)&gt;0)</f>
        <v>1</v>
      </c>
    </row>
    <row r="169" spans="1:9" x14ac:dyDescent="0.45">
      <c r="A169" s="4">
        <v>45554</v>
      </c>
      <c r="B169" t="s">
        <v>148</v>
      </c>
      <c r="C169" t="s">
        <v>148</v>
      </c>
      <c r="D169" t="s">
        <v>148</v>
      </c>
      <c r="E169" t="s">
        <v>148</v>
      </c>
      <c r="F169" t="s">
        <v>148</v>
      </c>
      <c r="G169">
        <v>0</v>
      </c>
      <c r="H169">
        <v>24</v>
      </c>
      <c r="I169" t="b">
        <f>AND(COUNTIF('NO2'!A:A,A169)&gt;0,COUNTIF('O3'!A:A,A169)&gt;0,COUNTIF('PM10'!A:A,A169)&gt;0,COUNTIF('PM2.5'!A:A,A169)&gt;0,COUNTIF('SO2'!A:A,A169)&gt;0)</f>
        <v>1</v>
      </c>
    </row>
    <row r="170" spans="1:9" x14ac:dyDescent="0.45">
      <c r="A170" s="4">
        <v>45555</v>
      </c>
      <c r="B170" t="s">
        <v>148</v>
      </c>
      <c r="C170" t="s">
        <v>148</v>
      </c>
      <c r="D170" t="s">
        <v>148</v>
      </c>
      <c r="E170" t="s">
        <v>148</v>
      </c>
      <c r="F170" t="s">
        <v>148</v>
      </c>
      <c r="G170">
        <v>0</v>
      </c>
      <c r="H170">
        <v>24</v>
      </c>
      <c r="I170" t="b">
        <f>AND(COUNTIF('NO2'!A:A,A170)&gt;0,COUNTIF('O3'!A:A,A170)&gt;0,COUNTIF('PM10'!A:A,A170)&gt;0,COUNTIF('PM2.5'!A:A,A170)&gt;0,COUNTIF('SO2'!A:A,A170)&gt;0)</f>
        <v>1</v>
      </c>
    </row>
    <row r="171" spans="1:9" x14ac:dyDescent="0.45">
      <c r="A171" s="4">
        <v>45556</v>
      </c>
      <c r="B171" t="s">
        <v>148</v>
      </c>
      <c r="C171" t="s">
        <v>148</v>
      </c>
      <c r="D171" t="s">
        <v>148</v>
      </c>
      <c r="E171" t="s">
        <v>148</v>
      </c>
      <c r="F171" t="s">
        <v>148</v>
      </c>
      <c r="G171">
        <v>0</v>
      </c>
      <c r="H171">
        <v>24</v>
      </c>
      <c r="I171" t="b">
        <f>AND(COUNTIF('NO2'!A:A,A171)&gt;0,COUNTIF('O3'!A:A,A171)&gt;0,COUNTIF('PM10'!A:A,A171)&gt;0,COUNTIF('PM2.5'!A:A,A171)&gt;0,COUNTIF('SO2'!A:A,A171)&gt;0)</f>
        <v>1</v>
      </c>
    </row>
    <row r="172" spans="1:9" x14ac:dyDescent="0.45">
      <c r="A172" s="4">
        <v>45557</v>
      </c>
      <c r="B172" t="s">
        <v>148</v>
      </c>
      <c r="C172" t="s">
        <v>148</v>
      </c>
      <c r="D172" t="s">
        <v>148</v>
      </c>
      <c r="E172" t="s">
        <v>148</v>
      </c>
      <c r="F172" t="s">
        <v>148</v>
      </c>
      <c r="G172">
        <v>0</v>
      </c>
      <c r="H172">
        <v>24</v>
      </c>
      <c r="I172" t="b">
        <f>AND(COUNTIF('NO2'!A:A,A172)&gt;0,COUNTIF('O3'!A:A,A172)&gt;0,COUNTIF('PM10'!A:A,A172)&gt;0,COUNTIF('PM2.5'!A:A,A172)&gt;0,COUNTIF('SO2'!A:A,A172)&gt;0)</f>
        <v>1</v>
      </c>
    </row>
    <row r="173" spans="1:9" x14ac:dyDescent="0.45">
      <c r="A173" s="4">
        <v>45558</v>
      </c>
      <c r="B173" t="s">
        <v>148</v>
      </c>
      <c r="C173" t="s">
        <v>148</v>
      </c>
      <c r="D173" t="s">
        <v>148</v>
      </c>
      <c r="E173" t="s">
        <v>148</v>
      </c>
      <c r="F173" t="s">
        <v>148</v>
      </c>
      <c r="G173">
        <v>0</v>
      </c>
      <c r="H173">
        <v>24</v>
      </c>
      <c r="I173" t="b">
        <f>AND(COUNTIF('NO2'!A:A,A173)&gt;0,COUNTIF('O3'!A:A,A173)&gt;0,COUNTIF('PM10'!A:A,A173)&gt;0,COUNTIF('PM2.5'!A:A,A173)&gt;0,COUNTIF('SO2'!A:A,A173)&gt;0)</f>
        <v>1</v>
      </c>
    </row>
    <row r="174" spans="1:9" x14ac:dyDescent="0.45">
      <c r="A174" s="4">
        <v>45559</v>
      </c>
      <c r="B174" t="s">
        <v>148</v>
      </c>
      <c r="C174" t="s">
        <v>148</v>
      </c>
      <c r="D174" t="s">
        <v>148</v>
      </c>
      <c r="E174" t="s">
        <v>148</v>
      </c>
      <c r="F174" t="s">
        <v>148</v>
      </c>
      <c r="G174">
        <v>0</v>
      </c>
      <c r="H174">
        <v>24</v>
      </c>
      <c r="I174" t="b">
        <f>AND(COUNTIF('NO2'!A:A,A174)&gt;0,COUNTIF('O3'!A:A,A174)&gt;0,COUNTIF('PM10'!A:A,A174)&gt;0,COUNTIF('PM2.5'!A:A,A174)&gt;0,COUNTIF('SO2'!A:A,A174)&gt;0)</f>
        <v>1</v>
      </c>
    </row>
    <row r="175" spans="1:9" x14ac:dyDescent="0.45">
      <c r="A175" s="4">
        <v>45560</v>
      </c>
      <c r="B175" t="s">
        <v>148</v>
      </c>
      <c r="C175" t="s">
        <v>148</v>
      </c>
      <c r="D175" t="s">
        <v>148</v>
      </c>
      <c r="E175" t="s">
        <v>148</v>
      </c>
      <c r="F175" t="s">
        <v>148</v>
      </c>
      <c r="G175">
        <v>0</v>
      </c>
      <c r="H175">
        <v>24</v>
      </c>
      <c r="I175" t="b">
        <f>AND(COUNTIF('NO2'!A:A,A175)&gt;0,COUNTIF('O3'!A:A,A175)&gt;0,COUNTIF('PM10'!A:A,A175)&gt;0,COUNTIF('PM2.5'!A:A,A175)&gt;0,COUNTIF('SO2'!A:A,A175)&gt;0)</f>
        <v>1</v>
      </c>
    </row>
    <row r="176" spans="1:9" x14ac:dyDescent="0.45">
      <c r="A176" s="4">
        <v>45561</v>
      </c>
      <c r="B176" t="s">
        <v>148</v>
      </c>
      <c r="C176" t="s">
        <v>148</v>
      </c>
      <c r="D176" t="s">
        <v>148</v>
      </c>
      <c r="E176" t="s">
        <v>148</v>
      </c>
      <c r="F176" t="s">
        <v>148</v>
      </c>
      <c r="G176">
        <v>0</v>
      </c>
      <c r="H176">
        <v>24</v>
      </c>
      <c r="I176" t="b">
        <f>AND(COUNTIF('NO2'!A:A,A176)&gt;0,COUNTIF('O3'!A:A,A176)&gt;0,COUNTIF('PM10'!A:A,A176)&gt;0,COUNTIF('PM2.5'!A:A,A176)&gt;0,COUNTIF('SO2'!A:A,A176)&gt;0)</f>
        <v>1</v>
      </c>
    </row>
    <row r="177" spans="1:9" x14ac:dyDescent="0.45">
      <c r="A177" s="4">
        <v>45562</v>
      </c>
      <c r="B177" t="s">
        <v>148</v>
      </c>
      <c r="C177" t="s">
        <v>148</v>
      </c>
      <c r="D177" t="s">
        <v>148</v>
      </c>
      <c r="E177" t="s">
        <v>148</v>
      </c>
      <c r="F177" t="s">
        <v>148</v>
      </c>
      <c r="G177">
        <v>0</v>
      </c>
      <c r="H177">
        <v>24</v>
      </c>
      <c r="I177" t="b">
        <f>AND(COUNTIF('NO2'!A:A,A177)&gt;0,COUNTIF('O3'!A:A,A177)&gt;0,COUNTIF('PM10'!A:A,A177)&gt;0,COUNTIF('PM2.5'!A:A,A177)&gt;0,COUNTIF('SO2'!A:A,A177)&gt;0)</f>
        <v>1</v>
      </c>
    </row>
    <row r="178" spans="1:9" x14ac:dyDescent="0.45">
      <c r="A178" s="4">
        <v>45563</v>
      </c>
      <c r="B178" t="s">
        <v>148</v>
      </c>
      <c r="C178" t="s">
        <v>148</v>
      </c>
      <c r="D178" t="s">
        <v>148</v>
      </c>
      <c r="E178" t="s">
        <v>148</v>
      </c>
      <c r="F178" t="s">
        <v>148</v>
      </c>
      <c r="G178">
        <v>0</v>
      </c>
      <c r="H178">
        <v>24</v>
      </c>
      <c r="I178" t="b">
        <f>AND(COUNTIF('NO2'!A:A,A178)&gt;0,COUNTIF('O3'!A:A,A178)&gt;0,COUNTIF('PM10'!A:A,A178)&gt;0,COUNTIF('PM2.5'!A:A,A178)&gt;0,COUNTIF('SO2'!A:A,A178)&gt;0)</f>
        <v>1</v>
      </c>
    </row>
    <row r="179" spans="1:9" x14ac:dyDescent="0.45">
      <c r="A179" s="4">
        <v>45564</v>
      </c>
      <c r="B179" t="s">
        <v>148</v>
      </c>
      <c r="C179" t="s">
        <v>148</v>
      </c>
      <c r="D179" t="s">
        <v>148</v>
      </c>
      <c r="E179" t="s">
        <v>148</v>
      </c>
      <c r="F179" t="s">
        <v>148</v>
      </c>
      <c r="G179">
        <v>0</v>
      </c>
      <c r="H179">
        <v>24</v>
      </c>
      <c r="I179" t="b">
        <f>AND(COUNTIF('NO2'!A:A,A179)&gt;0,COUNTIF('O3'!A:A,A179)&gt;0,COUNTIF('PM10'!A:A,A179)&gt;0,COUNTIF('PM2.5'!A:A,A179)&gt;0,COUNTIF('SO2'!A:A,A179)&gt;0)</f>
        <v>1</v>
      </c>
    </row>
    <row r="180" spans="1:9" x14ac:dyDescent="0.45">
      <c r="A180" s="4">
        <v>45565</v>
      </c>
      <c r="B180" t="s">
        <v>148</v>
      </c>
      <c r="C180" t="s">
        <v>148</v>
      </c>
      <c r="D180" t="s">
        <v>148</v>
      </c>
      <c r="E180" t="s">
        <v>148</v>
      </c>
      <c r="F180" t="s">
        <v>148</v>
      </c>
      <c r="G180">
        <v>0</v>
      </c>
      <c r="H180">
        <v>24</v>
      </c>
      <c r="I180" t="b">
        <f>AND(COUNTIF('NO2'!A:A,A180)&gt;0,COUNTIF('O3'!A:A,A180)&gt;0,COUNTIF('PM10'!A:A,A180)&gt;0,COUNTIF('PM2.5'!A:A,A180)&gt;0,COUNTIF('SO2'!A:A,A180)&gt;0)</f>
        <v>1</v>
      </c>
    </row>
    <row r="181" spans="1:9" x14ac:dyDescent="0.45">
      <c r="A181" s="4">
        <v>45566</v>
      </c>
      <c r="B181" t="s">
        <v>148</v>
      </c>
      <c r="C181" t="s">
        <v>148</v>
      </c>
      <c r="D181" t="s">
        <v>148</v>
      </c>
      <c r="E181" t="s">
        <v>148</v>
      </c>
      <c r="F181" t="s">
        <v>148</v>
      </c>
      <c r="G181">
        <v>0</v>
      </c>
      <c r="H181">
        <v>24</v>
      </c>
      <c r="I181" t="b">
        <f>AND(COUNTIF('NO2'!A:A,A181)&gt;0,COUNTIF('O3'!A:A,A181)&gt;0,COUNTIF('PM10'!A:A,A181)&gt;0,COUNTIF('PM2.5'!A:A,A181)&gt;0,COUNTIF('SO2'!A:A,A181)&gt;0)</f>
        <v>1</v>
      </c>
    </row>
    <row r="182" spans="1:9" x14ac:dyDescent="0.45">
      <c r="A182" s="4">
        <v>45567</v>
      </c>
      <c r="B182" t="s">
        <v>148</v>
      </c>
      <c r="C182" t="s">
        <v>148</v>
      </c>
      <c r="D182" t="s">
        <v>148</v>
      </c>
      <c r="E182" t="s">
        <v>148</v>
      </c>
      <c r="F182" t="s">
        <v>148</v>
      </c>
      <c r="G182">
        <v>0</v>
      </c>
      <c r="H182">
        <v>24</v>
      </c>
      <c r="I182" t="b">
        <f>AND(COUNTIF('NO2'!A:A,A182)&gt;0,COUNTIF('O3'!A:A,A182)&gt;0,COUNTIF('PM10'!A:A,A182)&gt;0,COUNTIF('PM2.5'!A:A,A182)&gt;0,COUNTIF('SO2'!A:A,A182)&gt;0)</f>
        <v>1</v>
      </c>
    </row>
    <row r="183" spans="1:9" x14ac:dyDescent="0.45">
      <c r="A183" s="4">
        <v>45568</v>
      </c>
      <c r="B183" t="s">
        <v>148</v>
      </c>
      <c r="C183" t="s">
        <v>148</v>
      </c>
      <c r="D183" t="s">
        <v>148</v>
      </c>
      <c r="E183" t="s">
        <v>148</v>
      </c>
      <c r="F183" t="s">
        <v>148</v>
      </c>
      <c r="G183">
        <v>0</v>
      </c>
      <c r="H183">
        <v>24</v>
      </c>
      <c r="I183" t="b">
        <f>AND(COUNTIF('NO2'!A:A,A183)&gt;0,COUNTIF('O3'!A:A,A183)&gt;0,COUNTIF('PM10'!A:A,A183)&gt;0,COUNTIF('PM2.5'!A:A,A183)&gt;0,COUNTIF('SO2'!A:A,A183)&gt;0)</f>
        <v>1</v>
      </c>
    </row>
    <row r="184" spans="1:9" x14ac:dyDescent="0.45">
      <c r="A184" s="4">
        <v>45569</v>
      </c>
      <c r="B184" t="s">
        <v>148</v>
      </c>
      <c r="C184" t="s">
        <v>148</v>
      </c>
      <c r="D184" t="s">
        <v>148</v>
      </c>
      <c r="E184" t="s">
        <v>148</v>
      </c>
      <c r="F184" t="s">
        <v>148</v>
      </c>
      <c r="G184">
        <v>0</v>
      </c>
      <c r="H184">
        <v>24</v>
      </c>
      <c r="I184" t="b">
        <f>AND(COUNTIF('NO2'!A:A,A184)&gt;0,COUNTIF('O3'!A:A,A184)&gt;0,COUNTIF('PM10'!A:A,A184)&gt;0,COUNTIF('PM2.5'!A:A,A184)&gt;0,COUNTIF('SO2'!A:A,A184)&gt;0)</f>
        <v>1</v>
      </c>
    </row>
    <row r="185" spans="1:9" x14ac:dyDescent="0.45">
      <c r="A185" s="4">
        <v>45570</v>
      </c>
      <c r="B185" t="s">
        <v>148</v>
      </c>
      <c r="C185" t="s">
        <v>148</v>
      </c>
      <c r="D185" t="s">
        <v>148</v>
      </c>
      <c r="E185" t="s">
        <v>148</v>
      </c>
      <c r="F185" t="s">
        <v>148</v>
      </c>
      <c r="G185">
        <v>0</v>
      </c>
      <c r="H185">
        <v>24</v>
      </c>
      <c r="I185" t="b">
        <f>AND(COUNTIF('NO2'!A:A,A185)&gt;0,COUNTIF('O3'!A:A,A185)&gt;0,COUNTIF('PM10'!A:A,A185)&gt;0,COUNTIF('PM2.5'!A:A,A185)&gt;0,COUNTIF('SO2'!A:A,A185)&gt;0)</f>
        <v>1</v>
      </c>
    </row>
    <row r="186" spans="1:9" x14ac:dyDescent="0.45">
      <c r="A186" s="4">
        <v>45571</v>
      </c>
      <c r="B186" t="s">
        <v>148</v>
      </c>
      <c r="C186" t="s">
        <v>148</v>
      </c>
      <c r="D186" t="s">
        <v>148</v>
      </c>
      <c r="E186" t="s">
        <v>148</v>
      </c>
      <c r="F186" t="s">
        <v>148</v>
      </c>
      <c r="G186">
        <v>0</v>
      </c>
      <c r="H186">
        <v>14</v>
      </c>
      <c r="I186" t="b">
        <f>AND(COUNTIF('NO2'!A:A,A186)&gt;0,COUNTIF('O3'!A:A,A186)&gt;0,COUNTIF('PM10'!A:A,A186)&gt;0,COUNTIF('PM2.5'!A:A,A186)&gt;0,COUNTIF('SO2'!A:A,A186)&gt;0)</f>
        <v>1</v>
      </c>
    </row>
    <row r="187" spans="1:9" x14ac:dyDescent="0.45">
      <c r="A187" s="4">
        <v>45572</v>
      </c>
      <c r="B187" t="s">
        <v>151</v>
      </c>
      <c r="C187" t="s">
        <v>151</v>
      </c>
      <c r="D187" t="s">
        <v>151</v>
      </c>
      <c r="E187" t="s">
        <v>151</v>
      </c>
      <c r="F187" t="s">
        <v>151</v>
      </c>
      <c r="G187" t="s">
        <v>56</v>
      </c>
      <c r="H187">
        <v>5</v>
      </c>
      <c r="I187" t="b">
        <f>AND(COUNTIF('NO2'!A:A,A187)&gt;0,COUNTIF('O3'!A:A,A187)&gt;0,COUNTIF('PM10'!A:A,A187)&gt;0,COUNTIF('PM2.5'!A:A,A187)&gt;0,COUNTIF('SO2'!A:A,A187)&gt;0)</f>
        <v>1</v>
      </c>
    </row>
    <row r="188" spans="1:9" x14ac:dyDescent="0.45">
      <c r="A188" s="4">
        <v>45573</v>
      </c>
      <c r="B188" t="s">
        <v>142</v>
      </c>
      <c r="C188" t="s">
        <v>140</v>
      </c>
      <c r="D188" t="s">
        <v>150</v>
      </c>
      <c r="E188" t="s">
        <v>151</v>
      </c>
      <c r="F188" t="s">
        <v>110</v>
      </c>
      <c r="G188" t="s">
        <v>97</v>
      </c>
      <c r="H188">
        <v>24</v>
      </c>
      <c r="I188" t="b">
        <f>AND(COUNTIF('NO2'!A:A,A188)&gt;0,COUNTIF('O3'!A:A,A188)&gt;0,COUNTIF('PM10'!A:A,A188)&gt;0,COUNTIF('PM2.5'!A:A,A188)&gt;0,COUNTIF('SO2'!A:A,A188)&gt;0)</f>
        <v>1</v>
      </c>
    </row>
    <row r="189" spans="1:9" x14ac:dyDescent="0.45">
      <c r="A189" s="4">
        <v>45574</v>
      </c>
      <c r="B189" t="s">
        <v>140</v>
      </c>
      <c r="C189" t="s">
        <v>137</v>
      </c>
      <c r="D189" t="s">
        <v>137</v>
      </c>
      <c r="E189" t="s">
        <v>137</v>
      </c>
      <c r="F189" t="s">
        <v>137</v>
      </c>
      <c r="G189" t="s">
        <v>141</v>
      </c>
      <c r="H189">
        <v>24</v>
      </c>
      <c r="I189" t="b">
        <f>AND(COUNTIF('NO2'!A:A,A189)&gt;0,COUNTIF('O3'!A:A,A189)&gt;0,COUNTIF('PM10'!A:A,A189)&gt;0,COUNTIF('PM2.5'!A:A,A189)&gt;0,COUNTIF('SO2'!A:A,A189)&gt;0)</f>
        <v>1</v>
      </c>
    </row>
    <row r="190" spans="1:9" x14ac:dyDescent="0.45">
      <c r="A190" s="4">
        <v>45575</v>
      </c>
      <c r="B190" t="s">
        <v>137</v>
      </c>
      <c r="C190" t="s">
        <v>137</v>
      </c>
      <c r="D190" t="s">
        <v>137</v>
      </c>
      <c r="E190" t="s">
        <v>137</v>
      </c>
      <c r="F190" t="s">
        <v>137</v>
      </c>
      <c r="G190">
        <v>0</v>
      </c>
      <c r="H190">
        <v>24</v>
      </c>
      <c r="I190" t="b">
        <f>AND(COUNTIF('NO2'!A:A,A190)&gt;0,COUNTIF('O3'!A:A,A190)&gt;0,COUNTIF('PM10'!A:A,A190)&gt;0,COUNTIF('PM2.5'!A:A,A190)&gt;0,COUNTIF('SO2'!A:A,A190)&gt;0)</f>
        <v>1</v>
      </c>
    </row>
    <row r="191" spans="1:9" x14ac:dyDescent="0.45">
      <c r="A191" s="4">
        <v>45576</v>
      </c>
      <c r="B191" t="s">
        <v>137</v>
      </c>
      <c r="C191" t="s">
        <v>137</v>
      </c>
      <c r="D191" t="s">
        <v>137</v>
      </c>
      <c r="E191" t="s">
        <v>137</v>
      </c>
      <c r="F191" t="s">
        <v>137</v>
      </c>
      <c r="G191">
        <v>0</v>
      </c>
      <c r="H191">
        <v>24</v>
      </c>
      <c r="I191" t="b">
        <f>AND(COUNTIF('NO2'!A:A,A191)&gt;0,COUNTIF('O3'!A:A,A191)&gt;0,COUNTIF('PM10'!A:A,A191)&gt;0,COUNTIF('PM2.5'!A:A,A191)&gt;0,COUNTIF('SO2'!A:A,A191)&gt;0)</f>
        <v>1</v>
      </c>
    </row>
    <row r="192" spans="1:9" x14ac:dyDescent="0.45">
      <c r="A192" s="4">
        <v>45577</v>
      </c>
      <c r="B192" t="s">
        <v>137</v>
      </c>
      <c r="C192" t="s">
        <v>137</v>
      </c>
      <c r="D192" t="s">
        <v>137</v>
      </c>
      <c r="E192" t="s">
        <v>137</v>
      </c>
      <c r="F192" t="s">
        <v>137</v>
      </c>
      <c r="G192">
        <v>0</v>
      </c>
      <c r="H192">
        <v>24</v>
      </c>
      <c r="I192" t="b">
        <f>AND(COUNTIF('NO2'!A:A,A192)&gt;0,COUNTIF('O3'!A:A,A192)&gt;0,COUNTIF('PM10'!A:A,A192)&gt;0,COUNTIF('PM2.5'!A:A,A192)&gt;0,COUNTIF('SO2'!A:A,A192)&gt;0)</f>
        <v>1</v>
      </c>
    </row>
    <row r="193" spans="1:9" x14ac:dyDescent="0.45">
      <c r="A193" s="4">
        <v>45578</v>
      </c>
      <c r="B193" t="s">
        <v>137</v>
      </c>
      <c r="C193" t="s">
        <v>137</v>
      </c>
      <c r="D193" t="s">
        <v>137</v>
      </c>
      <c r="E193" t="s">
        <v>137</v>
      </c>
      <c r="F193" t="s">
        <v>137</v>
      </c>
      <c r="G193">
        <v>0</v>
      </c>
      <c r="H193">
        <v>24</v>
      </c>
      <c r="I193" t="b">
        <f>AND(COUNTIF('NO2'!A:A,A193)&gt;0,COUNTIF('O3'!A:A,A193)&gt;0,COUNTIF('PM10'!A:A,A193)&gt;0,COUNTIF('PM2.5'!A:A,A193)&gt;0,COUNTIF('SO2'!A:A,A193)&gt;0)</f>
        <v>1</v>
      </c>
    </row>
    <row r="194" spans="1:9" x14ac:dyDescent="0.45">
      <c r="A194" s="4">
        <v>45579</v>
      </c>
      <c r="B194" t="s">
        <v>137</v>
      </c>
      <c r="C194" t="s">
        <v>137</v>
      </c>
      <c r="D194" t="s">
        <v>137</v>
      </c>
      <c r="E194" t="s">
        <v>137</v>
      </c>
      <c r="F194" t="s">
        <v>137</v>
      </c>
      <c r="G194">
        <v>0</v>
      </c>
      <c r="H194">
        <v>24</v>
      </c>
      <c r="I194" t="b">
        <f>AND(COUNTIF('NO2'!A:A,A194)&gt;0,COUNTIF('O3'!A:A,A194)&gt;0,COUNTIF('PM10'!A:A,A194)&gt;0,COUNTIF('PM2.5'!A:A,A194)&gt;0,COUNTIF('SO2'!A:A,A194)&gt;0)</f>
        <v>1</v>
      </c>
    </row>
    <row r="195" spans="1:9" x14ac:dyDescent="0.45">
      <c r="A195" s="4">
        <v>45580</v>
      </c>
      <c r="B195" t="s">
        <v>137</v>
      </c>
      <c r="C195" t="s">
        <v>146</v>
      </c>
      <c r="D195" t="s">
        <v>148</v>
      </c>
      <c r="E195" t="s">
        <v>137</v>
      </c>
      <c r="F195" t="s">
        <v>147</v>
      </c>
      <c r="G195" t="s">
        <v>179</v>
      </c>
      <c r="H195">
        <v>24</v>
      </c>
      <c r="I195" t="b">
        <f>AND(COUNTIF('NO2'!A:A,A195)&gt;0,COUNTIF('O3'!A:A,A195)&gt;0,COUNTIF('PM10'!A:A,A195)&gt;0,COUNTIF('PM2.5'!A:A,A195)&gt;0,COUNTIF('SO2'!A:A,A195)&gt;0)</f>
        <v>1</v>
      </c>
    </row>
    <row r="196" spans="1:9" x14ac:dyDescent="0.45">
      <c r="A196" s="4">
        <v>45581</v>
      </c>
      <c r="B196" t="s">
        <v>137</v>
      </c>
      <c r="C196" t="s">
        <v>146</v>
      </c>
      <c r="D196" t="s">
        <v>149</v>
      </c>
      <c r="E196" t="s">
        <v>145</v>
      </c>
      <c r="F196" t="s">
        <v>148</v>
      </c>
      <c r="G196" t="s">
        <v>178</v>
      </c>
      <c r="H196">
        <v>24</v>
      </c>
      <c r="I196" t="b">
        <f>AND(COUNTIF('NO2'!A:A,A196)&gt;0,COUNTIF('O3'!A:A,A196)&gt;0,COUNTIF('PM10'!A:A,A196)&gt;0,COUNTIF('PM2.5'!A:A,A196)&gt;0,COUNTIF('SO2'!A:A,A196)&gt;0)</f>
        <v>1</v>
      </c>
    </row>
    <row r="197" spans="1:9" x14ac:dyDescent="0.45">
      <c r="A197" s="4">
        <v>45582</v>
      </c>
      <c r="B197" t="s">
        <v>137</v>
      </c>
      <c r="C197" t="s">
        <v>149</v>
      </c>
      <c r="D197" t="s">
        <v>145</v>
      </c>
      <c r="E197" t="s">
        <v>137</v>
      </c>
      <c r="F197" t="s">
        <v>145</v>
      </c>
      <c r="G197" t="s">
        <v>24</v>
      </c>
      <c r="H197">
        <v>24</v>
      </c>
      <c r="I197" t="b">
        <f>AND(COUNTIF('NO2'!A:A,A197)&gt;0,COUNTIF('O3'!A:A,A197)&gt;0,COUNTIF('PM10'!A:A,A197)&gt;0,COUNTIF('PM2.5'!A:A,A197)&gt;0,COUNTIF('SO2'!A:A,A197)&gt;0)</f>
        <v>1</v>
      </c>
    </row>
    <row r="198" spans="1:9" x14ac:dyDescent="0.45">
      <c r="A198" s="4">
        <v>45583</v>
      </c>
      <c r="B198" t="s">
        <v>149</v>
      </c>
      <c r="C198" t="s">
        <v>146</v>
      </c>
      <c r="D198" t="s">
        <v>147</v>
      </c>
      <c r="E198" t="s">
        <v>148</v>
      </c>
      <c r="F198" t="s">
        <v>147</v>
      </c>
      <c r="G198" t="s">
        <v>36</v>
      </c>
      <c r="H198">
        <v>24</v>
      </c>
      <c r="I198" t="b">
        <f>AND(COUNTIF('NO2'!A:A,A198)&gt;0,COUNTIF('O3'!A:A,A198)&gt;0,COUNTIF('PM10'!A:A,A198)&gt;0,COUNTIF('PM2.5'!A:A,A198)&gt;0,COUNTIF('SO2'!A:A,A198)&gt;0)</f>
        <v>1</v>
      </c>
    </row>
    <row r="199" spans="1:9" x14ac:dyDescent="0.45">
      <c r="A199" s="4">
        <v>45584</v>
      </c>
      <c r="B199" t="s">
        <v>152</v>
      </c>
      <c r="C199" t="s">
        <v>159</v>
      </c>
      <c r="D199" t="s">
        <v>170</v>
      </c>
      <c r="E199" t="s">
        <v>130</v>
      </c>
      <c r="F199" t="s">
        <v>156</v>
      </c>
      <c r="G199" t="s">
        <v>179</v>
      </c>
      <c r="H199">
        <v>21</v>
      </c>
      <c r="I199" t="b">
        <f>AND(COUNTIF('NO2'!A:A,A199)&gt;0,COUNTIF('O3'!A:A,A199)&gt;0,COUNTIF('PM10'!A:A,A199)&gt;0,COUNTIF('PM2.5'!A:A,A199)&gt;0,COUNTIF('SO2'!A:A,A199)&gt;0)</f>
        <v>1</v>
      </c>
    </row>
    <row r="200" spans="1:9" x14ac:dyDescent="0.45">
      <c r="A200" s="4">
        <v>45585</v>
      </c>
      <c r="B200" t="s">
        <v>157</v>
      </c>
      <c r="C200" t="s">
        <v>159</v>
      </c>
      <c r="D200" t="s">
        <v>115</v>
      </c>
      <c r="E200" t="s">
        <v>115</v>
      </c>
      <c r="F200" t="s">
        <v>159</v>
      </c>
      <c r="G200" t="s">
        <v>33</v>
      </c>
      <c r="H200">
        <v>24</v>
      </c>
      <c r="I200" t="b">
        <f>AND(COUNTIF('NO2'!A:A,A200)&gt;0,COUNTIF('O3'!A:A,A200)&gt;0,COUNTIF('PM10'!A:A,A200)&gt;0,COUNTIF('PM2.5'!A:A,A200)&gt;0,COUNTIF('SO2'!A:A,A200)&gt;0)</f>
        <v>1</v>
      </c>
    </row>
    <row r="201" spans="1:9" x14ac:dyDescent="0.45">
      <c r="A201" s="4">
        <v>45586</v>
      </c>
      <c r="B201" t="s">
        <v>157</v>
      </c>
      <c r="C201" t="s">
        <v>159</v>
      </c>
      <c r="D201" t="s">
        <v>115</v>
      </c>
      <c r="E201" t="s">
        <v>115</v>
      </c>
      <c r="F201" t="s">
        <v>159</v>
      </c>
      <c r="G201" t="s">
        <v>33</v>
      </c>
      <c r="H201">
        <v>24</v>
      </c>
      <c r="I201" t="b">
        <f>AND(COUNTIF('NO2'!A:A,A201)&gt;0,COUNTIF('O3'!A:A,A201)&gt;0,COUNTIF('PM10'!A:A,A201)&gt;0,COUNTIF('PM2.5'!A:A,A201)&gt;0,COUNTIF('SO2'!A:A,A201)&gt;0)</f>
        <v>1</v>
      </c>
    </row>
    <row r="202" spans="1:9" x14ac:dyDescent="0.45">
      <c r="A202" s="4">
        <v>45587</v>
      </c>
      <c r="B202" t="s">
        <v>148</v>
      </c>
      <c r="C202" t="s">
        <v>132</v>
      </c>
      <c r="D202" t="s">
        <v>170</v>
      </c>
      <c r="E202" t="s">
        <v>152</v>
      </c>
      <c r="F202" t="s">
        <v>132</v>
      </c>
      <c r="G202" t="s">
        <v>179</v>
      </c>
      <c r="H202">
        <v>24</v>
      </c>
      <c r="I202" t="b">
        <f>AND(COUNTIF('NO2'!A:A,A202)&gt;0,COUNTIF('O3'!A:A,A202)&gt;0,COUNTIF('PM10'!A:A,A202)&gt;0,COUNTIF('PM2.5'!A:A,A202)&gt;0,COUNTIF('SO2'!A:A,A202)&gt;0)</f>
        <v>1</v>
      </c>
    </row>
    <row r="203" spans="1:9" x14ac:dyDescent="0.45">
      <c r="A203" s="4">
        <v>45588</v>
      </c>
      <c r="B203" t="s">
        <v>9</v>
      </c>
      <c r="C203" t="s">
        <v>148</v>
      </c>
      <c r="D203" t="s">
        <v>104</v>
      </c>
      <c r="E203" t="s">
        <v>43</v>
      </c>
      <c r="F203" t="s">
        <v>148</v>
      </c>
      <c r="G203" t="s">
        <v>209</v>
      </c>
      <c r="H203">
        <v>24</v>
      </c>
      <c r="I203" t="b">
        <f>AND(COUNTIF('NO2'!A:A,A203)&gt;0,COUNTIF('O3'!A:A,A203)&gt;0,COUNTIF('PM10'!A:A,A203)&gt;0,COUNTIF('PM2.5'!A:A,A203)&gt;0,COUNTIF('SO2'!A:A,A203)&gt;0)</f>
        <v>1</v>
      </c>
    </row>
    <row r="204" spans="1:9" x14ac:dyDescent="0.45">
      <c r="A204" s="4">
        <v>45589</v>
      </c>
      <c r="B204" t="s">
        <v>76</v>
      </c>
      <c r="C204" t="s">
        <v>102</v>
      </c>
      <c r="D204" t="s">
        <v>21</v>
      </c>
      <c r="E204" t="s">
        <v>82</v>
      </c>
      <c r="F204" t="s">
        <v>28</v>
      </c>
      <c r="G204" t="s">
        <v>210</v>
      </c>
      <c r="H204">
        <v>24</v>
      </c>
      <c r="I204" t="b">
        <f>AND(COUNTIF('NO2'!A:A,A204)&gt;0,COUNTIF('O3'!A:A,A204)&gt;0,COUNTIF('PM10'!A:A,A204)&gt;0,COUNTIF('PM2.5'!A:A,A204)&gt;0,COUNTIF('SO2'!A:A,A204)&gt;0)</f>
        <v>1</v>
      </c>
    </row>
    <row r="205" spans="1:9" x14ac:dyDescent="0.45">
      <c r="A205" s="4">
        <v>45590</v>
      </c>
      <c r="B205" t="s">
        <v>202</v>
      </c>
      <c r="C205" t="s">
        <v>167</v>
      </c>
      <c r="D205">
        <v>1</v>
      </c>
      <c r="E205">
        <v>1</v>
      </c>
      <c r="F205" t="s">
        <v>112</v>
      </c>
      <c r="G205" t="s">
        <v>87</v>
      </c>
      <c r="H205">
        <v>24</v>
      </c>
      <c r="I205" t="b">
        <f>AND(COUNTIF('NO2'!A:A,A205)&gt;0,COUNTIF('O3'!A:A,A205)&gt;0,COUNTIF('PM10'!A:A,A205)&gt;0,COUNTIF('PM2.5'!A:A,A205)&gt;0,COUNTIF('SO2'!A:A,A205)&gt;0)</f>
        <v>1</v>
      </c>
    </row>
    <row r="206" spans="1:9" x14ac:dyDescent="0.45">
      <c r="A206" s="4">
        <v>45591</v>
      </c>
      <c r="B206">
        <v>1</v>
      </c>
      <c r="C206" t="s">
        <v>167</v>
      </c>
      <c r="D206">
        <v>1</v>
      </c>
      <c r="E206">
        <v>1</v>
      </c>
      <c r="F206" t="s">
        <v>104</v>
      </c>
      <c r="G206" t="s">
        <v>37</v>
      </c>
      <c r="H206">
        <v>24</v>
      </c>
      <c r="I206" t="b">
        <f>AND(COUNTIF('NO2'!A:A,A206)&gt;0,COUNTIF('O3'!A:A,A206)&gt;0,COUNTIF('PM10'!A:A,A206)&gt;0,COUNTIF('PM2.5'!A:A,A206)&gt;0,COUNTIF('SO2'!A:A,A206)&gt;0)</f>
        <v>1</v>
      </c>
    </row>
    <row r="207" spans="1:9" x14ac:dyDescent="0.45">
      <c r="A207" s="4">
        <v>45592</v>
      </c>
      <c r="B207">
        <v>1</v>
      </c>
      <c r="C207" t="s">
        <v>167</v>
      </c>
      <c r="D207" t="s">
        <v>167</v>
      </c>
      <c r="E207" t="s">
        <v>143</v>
      </c>
      <c r="F207" t="s">
        <v>167</v>
      </c>
      <c r="G207" t="s">
        <v>85</v>
      </c>
      <c r="H207">
        <v>24</v>
      </c>
      <c r="I207" t="b">
        <f>AND(COUNTIF('NO2'!A:A,A207)&gt;0,COUNTIF('O3'!A:A,A207)&gt;0,COUNTIF('PM10'!A:A,A207)&gt;0,COUNTIF('PM2.5'!A:A,A207)&gt;0,COUNTIF('SO2'!A:A,A207)&gt;0)</f>
        <v>1</v>
      </c>
    </row>
    <row r="208" spans="1:9" x14ac:dyDescent="0.45">
      <c r="A208" s="4">
        <v>45593</v>
      </c>
      <c r="B208">
        <v>1</v>
      </c>
      <c r="C208" t="s">
        <v>112</v>
      </c>
      <c r="D208" t="s">
        <v>104</v>
      </c>
      <c r="E208" t="s">
        <v>104</v>
      </c>
      <c r="F208" t="s">
        <v>112</v>
      </c>
      <c r="G208" t="s">
        <v>24</v>
      </c>
      <c r="H208">
        <v>24</v>
      </c>
      <c r="I208" t="b">
        <f>AND(COUNTIF('NO2'!A:A,A208)&gt;0,COUNTIF('O3'!A:A,A208)&gt;0,COUNTIF('PM10'!A:A,A208)&gt;0,COUNTIF('PM2.5'!A:A,A208)&gt;0,COUNTIF('SO2'!A:A,A208)&gt;0)</f>
        <v>1</v>
      </c>
    </row>
    <row r="209" spans="1:9" x14ac:dyDescent="0.45">
      <c r="A209" s="4">
        <v>45594</v>
      </c>
      <c r="B209" t="s">
        <v>105</v>
      </c>
      <c r="C209">
        <v>1</v>
      </c>
      <c r="D209">
        <v>1</v>
      </c>
      <c r="E209" t="s">
        <v>105</v>
      </c>
      <c r="F209">
        <v>1</v>
      </c>
      <c r="G209" t="s">
        <v>141</v>
      </c>
      <c r="H209">
        <v>24</v>
      </c>
      <c r="I209" t="b">
        <f>AND(COUNTIF('NO2'!A:A,A209)&gt;0,COUNTIF('O3'!A:A,A209)&gt;0,COUNTIF('PM10'!A:A,A209)&gt;0,COUNTIF('PM2.5'!A:A,A209)&gt;0,COUNTIF('SO2'!A:A,A209)&gt;0)</f>
        <v>1</v>
      </c>
    </row>
    <row r="210" spans="1:9" x14ac:dyDescent="0.45">
      <c r="A210" s="4">
        <v>45595</v>
      </c>
      <c r="B210">
        <v>1</v>
      </c>
      <c r="C210" t="s">
        <v>142</v>
      </c>
      <c r="D210">
        <v>1</v>
      </c>
      <c r="E210">
        <v>1</v>
      </c>
      <c r="F210" t="s">
        <v>167</v>
      </c>
      <c r="G210" t="s">
        <v>27</v>
      </c>
      <c r="H210">
        <v>24</v>
      </c>
      <c r="I210" t="b">
        <f>AND(COUNTIF('NO2'!A:A,A210)&gt;0,COUNTIF('O3'!A:A,A210)&gt;0,COUNTIF('PM10'!A:A,A210)&gt;0,COUNTIF('PM2.5'!A:A,A210)&gt;0,COUNTIF('SO2'!A:A,A210)&gt;0)</f>
        <v>1</v>
      </c>
    </row>
    <row r="211" spans="1:9" x14ac:dyDescent="0.45">
      <c r="A211" s="4">
        <v>45596</v>
      </c>
      <c r="B211" t="s">
        <v>151</v>
      </c>
      <c r="C211" t="s">
        <v>137</v>
      </c>
      <c r="D211" t="s">
        <v>111</v>
      </c>
      <c r="E211" t="s">
        <v>150</v>
      </c>
      <c r="F211" t="s">
        <v>110</v>
      </c>
      <c r="G211" t="s">
        <v>37</v>
      </c>
      <c r="H211">
        <v>24</v>
      </c>
      <c r="I211" t="b">
        <f>AND(COUNTIF('NO2'!A:A,A211)&gt;0,COUNTIF('O3'!A:A,A211)&gt;0,COUNTIF('PM10'!A:A,A211)&gt;0,COUNTIF('PM2.5'!A:A,A211)&gt;0,COUNTIF('SO2'!A:A,A211)&gt;0)</f>
        <v>1</v>
      </c>
    </row>
    <row r="212" spans="1:9" x14ac:dyDescent="0.45">
      <c r="A212" s="4">
        <v>45597</v>
      </c>
      <c r="B212" t="s">
        <v>137</v>
      </c>
      <c r="C212" t="s">
        <v>127</v>
      </c>
      <c r="D212" t="s">
        <v>147</v>
      </c>
      <c r="E212" t="s">
        <v>137</v>
      </c>
      <c r="F212" t="s">
        <v>163</v>
      </c>
      <c r="G212" t="s">
        <v>54</v>
      </c>
      <c r="H212">
        <v>24</v>
      </c>
      <c r="I212" t="b">
        <f>AND(COUNTIF('NO2'!A:A,A212)&gt;0,COUNTIF('O3'!A:A,A212)&gt;0,COUNTIF('PM10'!A:A,A212)&gt;0,COUNTIF('PM2.5'!A:A,A212)&gt;0,COUNTIF('SO2'!A:A,A212)&gt;0)</f>
        <v>1</v>
      </c>
    </row>
    <row r="213" spans="1:9" x14ac:dyDescent="0.45">
      <c r="A213" s="4">
        <v>45598</v>
      </c>
      <c r="B213" t="s">
        <v>137</v>
      </c>
      <c r="C213" t="s">
        <v>127</v>
      </c>
      <c r="D213" t="s">
        <v>161</v>
      </c>
      <c r="E213" t="s">
        <v>137</v>
      </c>
      <c r="F213" t="s">
        <v>127</v>
      </c>
      <c r="G213" t="s">
        <v>186</v>
      </c>
      <c r="H213">
        <v>24</v>
      </c>
      <c r="I213" t="b">
        <f>AND(COUNTIF('NO2'!A:A,A213)&gt;0,COUNTIF('O3'!A:A,A213)&gt;0,COUNTIF('PM10'!A:A,A213)&gt;0,COUNTIF('PM2.5'!A:A,A213)&gt;0,COUNTIF('SO2'!A:A,A213)&gt;0)</f>
        <v>1</v>
      </c>
    </row>
    <row r="214" spans="1:9" x14ac:dyDescent="0.45">
      <c r="A214" s="4">
        <v>45599</v>
      </c>
      <c r="B214" t="s">
        <v>137</v>
      </c>
      <c r="C214" t="s">
        <v>159</v>
      </c>
      <c r="D214" t="s">
        <v>149</v>
      </c>
      <c r="E214" t="s">
        <v>137</v>
      </c>
      <c r="F214" t="s">
        <v>115</v>
      </c>
      <c r="G214" t="s">
        <v>177</v>
      </c>
      <c r="H214">
        <v>24</v>
      </c>
      <c r="I214" t="b">
        <f>AND(COUNTIF('NO2'!A:A,A214)&gt;0,COUNTIF('O3'!A:A,A214)&gt;0,COUNTIF('PM10'!A:A,A214)&gt;0,COUNTIF('PM2.5'!A:A,A214)&gt;0,COUNTIF('SO2'!A:A,A214)&gt;0)</f>
        <v>1</v>
      </c>
    </row>
    <row r="215" spans="1:9" x14ac:dyDescent="0.45">
      <c r="A215" s="4">
        <v>45600</v>
      </c>
      <c r="B215" t="s">
        <v>156</v>
      </c>
      <c r="C215" t="s">
        <v>127</v>
      </c>
      <c r="D215" t="s">
        <v>161</v>
      </c>
      <c r="E215" t="s">
        <v>157</v>
      </c>
      <c r="F215" t="s">
        <v>174</v>
      </c>
      <c r="G215" t="s">
        <v>175</v>
      </c>
      <c r="H215">
        <v>24</v>
      </c>
      <c r="I215" t="b">
        <f>AND(COUNTIF('NO2'!A:A,A215)&gt;0,COUNTIF('O3'!A:A,A215)&gt;0,COUNTIF('PM10'!A:A,A215)&gt;0,COUNTIF('PM2.5'!A:A,A215)&gt;0,COUNTIF('SO2'!A:A,A215)&gt;0)</f>
        <v>1</v>
      </c>
    </row>
    <row r="216" spans="1:9" x14ac:dyDescent="0.45">
      <c r="A216" s="4">
        <v>45601</v>
      </c>
      <c r="B216" t="s">
        <v>110</v>
      </c>
      <c r="C216" t="s">
        <v>156</v>
      </c>
      <c r="D216" t="s">
        <v>137</v>
      </c>
      <c r="E216" t="s">
        <v>137</v>
      </c>
      <c r="F216" t="s">
        <v>170</v>
      </c>
      <c r="G216" t="s">
        <v>72</v>
      </c>
      <c r="H216">
        <v>24</v>
      </c>
      <c r="I216" t="b">
        <f>AND(COUNTIF('NO2'!A:A,A216)&gt;0,COUNTIF('O3'!A:A,A216)&gt;0,COUNTIF('PM10'!A:A,A216)&gt;0,COUNTIF('PM2.5'!A:A,A216)&gt;0,COUNTIF('SO2'!A:A,A216)&gt;0)</f>
        <v>1</v>
      </c>
    </row>
    <row r="217" spans="1:9" x14ac:dyDescent="0.45">
      <c r="A217" s="4">
        <v>45602</v>
      </c>
      <c r="B217" t="s">
        <v>111</v>
      </c>
      <c r="C217" t="s">
        <v>137</v>
      </c>
      <c r="D217" t="s">
        <v>140</v>
      </c>
      <c r="E217" t="s">
        <v>110</v>
      </c>
      <c r="F217" t="s">
        <v>140</v>
      </c>
      <c r="G217" t="s">
        <v>36</v>
      </c>
      <c r="H217">
        <v>24</v>
      </c>
      <c r="I217" t="b">
        <f>AND(COUNTIF('NO2'!A:A,A217)&gt;0,COUNTIF('O3'!A:A,A217)&gt;0,COUNTIF('PM10'!A:A,A217)&gt;0,COUNTIF('PM2.5'!A:A,A217)&gt;0,COUNTIF('SO2'!A:A,A217)&gt;0)</f>
        <v>1</v>
      </c>
    </row>
    <row r="218" spans="1:9" x14ac:dyDescent="0.45">
      <c r="A218" s="4">
        <v>45603</v>
      </c>
      <c r="B218" t="s">
        <v>109</v>
      </c>
      <c r="C218" t="s">
        <v>111</v>
      </c>
      <c r="D218" t="s">
        <v>142</v>
      </c>
      <c r="E218" t="s">
        <v>112</v>
      </c>
      <c r="F218" t="s">
        <v>150</v>
      </c>
      <c r="G218" t="s">
        <v>176</v>
      </c>
      <c r="H218">
        <v>24</v>
      </c>
      <c r="I218" t="b">
        <f>AND(COUNTIF('NO2'!A:A,A218)&gt;0,COUNTIF('O3'!A:A,A218)&gt;0,COUNTIF('PM10'!A:A,A218)&gt;0,COUNTIF('PM2.5'!A:A,A218)&gt;0,COUNTIF('SO2'!A:A,A218)&gt;0)</f>
        <v>1</v>
      </c>
    </row>
    <row r="219" spans="1:9" x14ac:dyDescent="0.45">
      <c r="A219" s="4">
        <v>45604</v>
      </c>
      <c r="B219" t="s">
        <v>107</v>
      </c>
      <c r="C219" t="s">
        <v>109</v>
      </c>
      <c r="D219" t="s">
        <v>107</v>
      </c>
      <c r="E219" t="s">
        <v>107</v>
      </c>
      <c r="F219" t="s">
        <v>107</v>
      </c>
      <c r="G219" t="s">
        <v>22</v>
      </c>
      <c r="H219">
        <v>24</v>
      </c>
      <c r="I219" t="b">
        <f>AND(COUNTIF('NO2'!A:A,A219)&gt;0,COUNTIF('O3'!A:A,A219)&gt;0,COUNTIF('PM10'!A:A,A219)&gt;0,COUNTIF('PM2.5'!A:A,A219)&gt;0,COUNTIF('SO2'!A:A,A219)&gt;0)</f>
        <v>1</v>
      </c>
    </row>
    <row r="220" spans="1:9" x14ac:dyDescent="0.45">
      <c r="A220" s="4">
        <v>45605</v>
      </c>
      <c r="B220" t="s">
        <v>139</v>
      </c>
      <c r="C220" t="s">
        <v>101</v>
      </c>
      <c r="D220" t="s">
        <v>201</v>
      </c>
      <c r="E220" t="s">
        <v>139</v>
      </c>
      <c r="F220" t="s">
        <v>101</v>
      </c>
      <c r="G220" t="s">
        <v>27</v>
      </c>
      <c r="H220">
        <v>24</v>
      </c>
      <c r="I220" t="b">
        <f>AND(COUNTIF('NO2'!A:A,A220)&gt;0,COUNTIF('O3'!A:A,A220)&gt;0,COUNTIF('PM10'!A:A,A220)&gt;0,COUNTIF('PM2.5'!A:A,A220)&gt;0,COUNTIF('SO2'!A:A,A220)&gt;0)</f>
        <v>1</v>
      </c>
    </row>
    <row r="221" spans="1:9" x14ac:dyDescent="0.45">
      <c r="A221" s="4">
        <v>45606</v>
      </c>
      <c r="B221" t="s">
        <v>107</v>
      </c>
      <c r="C221" t="s">
        <v>101</v>
      </c>
      <c r="D221" t="s">
        <v>101</v>
      </c>
      <c r="E221" t="s">
        <v>109</v>
      </c>
      <c r="F221" t="s">
        <v>101</v>
      </c>
      <c r="G221" t="s">
        <v>23</v>
      </c>
      <c r="H221">
        <v>24</v>
      </c>
      <c r="I221" t="b">
        <f>AND(COUNTIF('NO2'!A:A,A221)&gt;0,COUNTIF('O3'!A:A,A221)&gt;0,COUNTIF('PM10'!A:A,A221)&gt;0,COUNTIF('PM2.5'!A:A,A221)&gt;0,COUNTIF('SO2'!A:A,A221)&gt;0)</f>
        <v>1</v>
      </c>
    </row>
    <row r="222" spans="1:9" x14ac:dyDescent="0.45">
      <c r="A222" s="4">
        <v>45607</v>
      </c>
      <c r="B222" t="s">
        <v>45</v>
      </c>
      <c r="C222">
        <v>1</v>
      </c>
      <c r="D222" t="s">
        <v>96</v>
      </c>
      <c r="E222" t="s">
        <v>108</v>
      </c>
      <c r="F222" t="s">
        <v>208</v>
      </c>
      <c r="G222" t="s">
        <v>211</v>
      </c>
      <c r="H222">
        <v>24</v>
      </c>
      <c r="I222" t="b">
        <f>AND(COUNTIF('NO2'!A:A,A222)&gt;0,COUNTIF('O3'!A:A,A222)&gt;0,COUNTIF('PM10'!A:A,A222)&gt;0,COUNTIF('PM2.5'!A:A,A222)&gt;0,COUNTIF('SO2'!A:A,A222)&gt;0)</f>
        <v>1</v>
      </c>
    </row>
    <row r="223" spans="1:9" x14ac:dyDescent="0.45">
      <c r="A223" s="4">
        <v>45608</v>
      </c>
      <c r="B223" t="s">
        <v>28</v>
      </c>
      <c r="C223" t="s">
        <v>101</v>
      </c>
      <c r="D223" t="s">
        <v>44</v>
      </c>
      <c r="E223" t="s">
        <v>40</v>
      </c>
      <c r="F223" t="s">
        <v>126</v>
      </c>
      <c r="G223" t="s">
        <v>193</v>
      </c>
      <c r="H223">
        <v>24</v>
      </c>
      <c r="I223" t="b">
        <f>AND(COUNTIF('NO2'!A:A,A223)&gt;0,COUNTIF('O3'!A:A,A223)&gt;0,COUNTIF('PM10'!A:A,A223)&gt;0,COUNTIF('PM2.5'!A:A,A223)&gt;0,COUNTIF('SO2'!A:A,A223)&gt;0)</f>
        <v>1</v>
      </c>
    </row>
    <row r="224" spans="1:9" x14ac:dyDescent="0.45">
      <c r="A224" s="4">
        <v>45609</v>
      </c>
      <c r="B224" t="s">
        <v>101</v>
      </c>
      <c r="C224" t="s">
        <v>140</v>
      </c>
      <c r="D224" t="s">
        <v>143</v>
      </c>
      <c r="E224" t="s">
        <v>101</v>
      </c>
      <c r="F224" t="s">
        <v>167</v>
      </c>
      <c r="G224" t="s">
        <v>212</v>
      </c>
      <c r="H224">
        <v>24</v>
      </c>
      <c r="I224" t="b">
        <f>AND(COUNTIF('NO2'!A:A,A224)&gt;0,COUNTIF('O3'!A:A,A224)&gt;0,COUNTIF('PM10'!A:A,A224)&gt;0,COUNTIF('PM2.5'!A:A,A224)&gt;0,COUNTIF('SO2'!A:A,A224)&gt;0)</f>
        <v>1</v>
      </c>
    </row>
    <row r="225" spans="1:9" x14ac:dyDescent="0.45">
      <c r="A225" s="4">
        <v>45610</v>
      </c>
      <c r="B225" t="s">
        <v>137</v>
      </c>
      <c r="C225" t="s">
        <v>136</v>
      </c>
      <c r="D225" t="s">
        <v>162</v>
      </c>
      <c r="E225" t="s">
        <v>132</v>
      </c>
      <c r="F225" t="s">
        <v>162</v>
      </c>
      <c r="G225" t="s">
        <v>177</v>
      </c>
      <c r="H225">
        <v>24</v>
      </c>
      <c r="I225" t="b">
        <f>AND(COUNTIF('NO2'!A:A,A225)&gt;0,COUNTIF('O3'!A:A,A225)&gt;0,COUNTIF('PM10'!A:A,A225)&gt;0,COUNTIF('PM2.5'!A:A,A225)&gt;0,COUNTIF('SO2'!A:A,A225)&gt;0)</f>
        <v>1</v>
      </c>
    </row>
    <row r="226" spans="1:9" x14ac:dyDescent="0.45">
      <c r="A226" s="4">
        <v>45611</v>
      </c>
      <c r="B226" t="s">
        <v>163</v>
      </c>
      <c r="C226" t="s">
        <v>164</v>
      </c>
      <c r="D226" t="s">
        <v>136</v>
      </c>
      <c r="E226" t="s">
        <v>162</v>
      </c>
      <c r="F226" t="s">
        <v>127</v>
      </c>
      <c r="G226" t="s">
        <v>85</v>
      </c>
      <c r="H226">
        <v>24</v>
      </c>
      <c r="I226" t="b">
        <f>AND(COUNTIF('NO2'!A:A,A226)&gt;0,COUNTIF('O3'!A:A,A226)&gt;0,COUNTIF('PM10'!A:A,A226)&gt;0,COUNTIF('PM2.5'!A:A,A226)&gt;0,COUNTIF('SO2'!A:A,A226)&gt;0)</f>
        <v>1</v>
      </c>
    </row>
    <row r="227" spans="1:9" x14ac:dyDescent="0.45">
      <c r="A227" s="4">
        <v>45612</v>
      </c>
      <c r="B227" t="s">
        <v>174</v>
      </c>
      <c r="C227" t="s">
        <v>213</v>
      </c>
      <c r="D227" t="s">
        <v>154</v>
      </c>
      <c r="E227" t="s">
        <v>163</v>
      </c>
      <c r="F227" t="s">
        <v>214</v>
      </c>
      <c r="G227" t="s">
        <v>71</v>
      </c>
      <c r="H227">
        <v>24</v>
      </c>
      <c r="I227" t="b">
        <f>AND(COUNTIF('NO2'!A:A,A227)&gt;0,COUNTIF('O3'!A:A,A227)&gt;0,COUNTIF('PM10'!A:A,A227)&gt;0,COUNTIF('PM2.5'!A:A,A227)&gt;0,COUNTIF('SO2'!A:A,A227)&gt;0)</f>
        <v>1</v>
      </c>
    </row>
    <row r="228" spans="1:9" x14ac:dyDescent="0.45">
      <c r="A228" s="4">
        <v>45613</v>
      </c>
      <c r="B228" t="s">
        <v>132</v>
      </c>
      <c r="C228" t="s">
        <v>215</v>
      </c>
      <c r="D228" t="s">
        <v>114</v>
      </c>
      <c r="E228" t="s">
        <v>117</v>
      </c>
      <c r="F228" t="s">
        <v>216</v>
      </c>
      <c r="G228" t="s">
        <v>113</v>
      </c>
      <c r="H228">
        <v>24</v>
      </c>
      <c r="I228" t="b">
        <f>AND(COUNTIF('NO2'!A:A,A228)&gt;0,COUNTIF('O3'!A:A,A228)&gt;0,COUNTIF('PM10'!A:A,A228)&gt;0,COUNTIF('PM2.5'!A:A,A228)&gt;0,COUNTIF('SO2'!A:A,A228)&gt;0)</f>
        <v>1</v>
      </c>
    </row>
    <row r="229" spans="1:9" x14ac:dyDescent="0.45">
      <c r="A229" s="4">
        <v>45614</v>
      </c>
      <c r="B229" t="s">
        <v>146</v>
      </c>
      <c r="C229" t="s">
        <v>156</v>
      </c>
      <c r="D229" t="s">
        <v>170</v>
      </c>
      <c r="E229" t="s">
        <v>152</v>
      </c>
      <c r="F229" t="s">
        <v>170</v>
      </c>
      <c r="G229" t="s">
        <v>178</v>
      </c>
      <c r="H229">
        <v>24</v>
      </c>
      <c r="I229" t="b">
        <f>AND(COUNTIF('NO2'!A:A,A229)&gt;0,COUNTIF('O3'!A:A,A229)&gt;0,COUNTIF('PM10'!A:A,A229)&gt;0,COUNTIF('PM2.5'!A:A,A229)&gt;0,COUNTIF('SO2'!A:A,A229)&gt;0)</f>
        <v>1</v>
      </c>
    </row>
    <row r="230" spans="1:9" x14ac:dyDescent="0.45">
      <c r="A230" s="4">
        <v>45615</v>
      </c>
      <c r="B230" t="s">
        <v>152</v>
      </c>
      <c r="C230" t="s">
        <v>157</v>
      </c>
      <c r="D230" t="s">
        <v>132</v>
      </c>
      <c r="E230" t="s">
        <v>130</v>
      </c>
      <c r="F230" t="s">
        <v>157</v>
      </c>
      <c r="G230" t="s">
        <v>31</v>
      </c>
      <c r="H230">
        <v>24</v>
      </c>
      <c r="I230" t="b">
        <f>AND(COUNTIF('NO2'!A:A,A230)&gt;0,COUNTIF('O3'!A:A,A230)&gt;0,COUNTIF('PM10'!A:A,A230)&gt;0,COUNTIF('PM2.5'!A:A,A230)&gt;0,COUNTIF('SO2'!A:A,A230)&gt;0)</f>
        <v>1</v>
      </c>
    </row>
    <row r="231" spans="1:9" x14ac:dyDescent="0.45">
      <c r="A231" s="4">
        <v>45616</v>
      </c>
      <c r="B231" t="s">
        <v>148</v>
      </c>
      <c r="C231" t="s">
        <v>132</v>
      </c>
      <c r="D231" t="s">
        <v>130</v>
      </c>
      <c r="E231" t="s">
        <v>147</v>
      </c>
      <c r="F231" t="s">
        <v>132</v>
      </c>
      <c r="G231" t="s">
        <v>175</v>
      </c>
      <c r="H231">
        <v>24</v>
      </c>
      <c r="I231" t="b">
        <f>AND(COUNTIF('NO2'!A:A,A231)&gt;0,COUNTIF('O3'!A:A,A231)&gt;0,COUNTIF('PM10'!A:A,A231)&gt;0,COUNTIF('PM2.5'!A:A,A231)&gt;0,COUNTIF('SO2'!A:A,A231)&gt;0)</f>
        <v>1</v>
      </c>
    </row>
    <row r="232" spans="1:9" x14ac:dyDescent="0.45">
      <c r="A232" s="4">
        <v>45617</v>
      </c>
      <c r="B232" t="s">
        <v>149</v>
      </c>
      <c r="C232" t="s">
        <v>115</v>
      </c>
      <c r="D232" t="s">
        <v>147</v>
      </c>
      <c r="E232" t="s">
        <v>149</v>
      </c>
      <c r="F232" t="s">
        <v>156</v>
      </c>
      <c r="G232" t="s">
        <v>217</v>
      </c>
      <c r="H232">
        <v>24</v>
      </c>
      <c r="I232" t="b">
        <f>AND(COUNTIF('NO2'!A:A,A232)&gt;0,COUNTIF('O3'!A:A,A232)&gt;0,COUNTIF('PM10'!A:A,A232)&gt;0,COUNTIF('PM2.5'!A:A,A232)&gt;0,COUNTIF('SO2'!A:A,A232)&gt;0)</f>
        <v>1</v>
      </c>
    </row>
    <row r="233" spans="1:9" x14ac:dyDescent="0.45">
      <c r="A233" s="4">
        <v>45618</v>
      </c>
      <c r="B233" t="s">
        <v>159</v>
      </c>
      <c r="C233" t="s">
        <v>136</v>
      </c>
      <c r="D233" t="s">
        <v>163</v>
      </c>
      <c r="E233" t="s">
        <v>161</v>
      </c>
      <c r="F233" t="s">
        <v>136</v>
      </c>
      <c r="G233" t="s">
        <v>84</v>
      </c>
      <c r="H233">
        <v>24</v>
      </c>
      <c r="I233" t="b">
        <f>AND(COUNTIF('NO2'!A:A,A233)&gt;0,COUNTIF('O3'!A:A,A233)&gt;0,COUNTIF('PM10'!A:A,A233)&gt;0,COUNTIF('PM2.5'!A:A,A233)&gt;0,COUNTIF('SO2'!A:A,A233)&gt;0)</f>
        <v>1</v>
      </c>
    </row>
    <row r="234" spans="1:9" x14ac:dyDescent="0.45">
      <c r="A234" s="4">
        <v>45619</v>
      </c>
      <c r="B234" t="s">
        <v>132</v>
      </c>
      <c r="C234" t="s">
        <v>136</v>
      </c>
      <c r="D234" t="s">
        <v>161</v>
      </c>
      <c r="E234" t="s">
        <v>157</v>
      </c>
      <c r="F234" t="s">
        <v>163</v>
      </c>
      <c r="G234" t="s">
        <v>165</v>
      </c>
      <c r="H234">
        <v>24</v>
      </c>
      <c r="I234" t="b">
        <f>AND(COUNTIF('NO2'!A:A,A234)&gt;0,COUNTIF('O3'!A:A,A234)&gt;0,COUNTIF('PM10'!A:A,A234)&gt;0,COUNTIF('PM2.5'!A:A,A234)&gt;0,COUNTIF('SO2'!A:A,A234)&gt;0)</f>
        <v>1</v>
      </c>
    </row>
    <row r="235" spans="1:9" x14ac:dyDescent="0.45">
      <c r="A235" s="4">
        <v>45620</v>
      </c>
      <c r="B235" t="s">
        <v>130</v>
      </c>
      <c r="C235" t="s">
        <v>161</v>
      </c>
      <c r="D235" t="s">
        <v>115</v>
      </c>
      <c r="E235" t="s">
        <v>115</v>
      </c>
      <c r="F235" t="s">
        <v>159</v>
      </c>
      <c r="G235" t="s">
        <v>86</v>
      </c>
      <c r="H235">
        <v>24</v>
      </c>
      <c r="I235" t="b">
        <f>AND(COUNTIF('NO2'!A:A,A235)&gt;0,COUNTIF('O3'!A:A,A235)&gt;0,COUNTIF('PM10'!A:A,A235)&gt;0,COUNTIF('PM2.5'!A:A,A235)&gt;0,COUNTIF('SO2'!A:A,A235)&gt;0)</f>
        <v>1</v>
      </c>
    </row>
    <row r="236" spans="1:9" x14ac:dyDescent="0.45">
      <c r="A236" s="4">
        <v>45621</v>
      </c>
      <c r="B236" t="s">
        <v>130</v>
      </c>
      <c r="C236" t="s">
        <v>115</v>
      </c>
      <c r="D236" t="s">
        <v>156</v>
      </c>
      <c r="E236" t="s">
        <v>170</v>
      </c>
      <c r="F236" t="s">
        <v>157</v>
      </c>
      <c r="G236" t="s">
        <v>178</v>
      </c>
      <c r="H236">
        <v>21</v>
      </c>
      <c r="I236" t="b">
        <f>AND(COUNTIF('NO2'!A:A,A236)&gt;0,COUNTIF('O3'!A:A,A236)&gt;0,COUNTIF('PM10'!A:A,A236)&gt;0,COUNTIF('PM2.5'!A:A,A236)&gt;0,COUNTIF('SO2'!A:A,A236)&gt;0)</f>
        <v>1</v>
      </c>
    </row>
    <row r="237" spans="1:9" x14ac:dyDescent="0.45">
      <c r="A237" s="4">
        <v>45622</v>
      </c>
      <c r="B237" t="s">
        <v>140</v>
      </c>
      <c r="C237" t="s">
        <v>157</v>
      </c>
      <c r="D237" t="s">
        <v>152</v>
      </c>
      <c r="E237" t="s">
        <v>149</v>
      </c>
      <c r="F237" t="s">
        <v>156</v>
      </c>
      <c r="G237" t="s">
        <v>173</v>
      </c>
      <c r="H237">
        <v>24</v>
      </c>
      <c r="I237" t="b">
        <f>AND(COUNTIF('NO2'!A:A,A237)&gt;0,COUNTIF('O3'!A:A,A237)&gt;0,COUNTIF('PM10'!A:A,A237)&gt;0,COUNTIF('PM2.5'!A:A,A237)&gt;0,COUNTIF('SO2'!A:A,A237)&gt;0)</f>
        <v>1</v>
      </c>
    </row>
    <row r="238" spans="1:9" x14ac:dyDescent="0.45">
      <c r="A238" s="4">
        <v>45623</v>
      </c>
      <c r="B238" t="s">
        <v>168</v>
      </c>
      <c r="C238" t="s">
        <v>140</v>
      </c>
      <c r="D238" t="s">
        <v>151</v>
      </c>
      <c r="E238" t="s">
        <v>142</v>
      </c>
      <c r="F238" t="s">
        <v>111</v>
      </c>
      <c r="G238" t="s">
        <v>178</v>
      </c>
      <c r="H238">
        <v>24</v>
      </c>
      <c r="I238" t="b">
        <f>AND(COUNTIF('NO2'!A:A,A238)&gt;0,COUNTIF('O3'!A:A,A238)&gt;0,COUNTIF('PM10'!A:A,A238)&gt;0,COUNTIF('PM2.5'!A:A,A238)&gt;0,COUNTIF('SO2'!A:A,A238)&gt;0)</f>
        <v>1</v>
      </c>
    </row>
    <row r="239" spans="1:9" x14ac:dyDescent="0.45">
      <c r="A239" s="4">
        <v>45624</v>
      </c>
      <c r="B239" t="s">
        <v>168</v>
      </c>
      <c r="C239" t="s">
        <v>111</v>
      </c>
      <c r="D239" t="s">
        <v>150</v>
      </c>
      <c r="E239" t="s">
        <v>151</v>
      </c>
      <c r="F239" t="s">
        <v>150</v>
      </c>
      <c r="G239" t="s">
        <v>23</v>
      </c>
      <c r="H239">
        <v>24</v>
      </c>
      <c r="I239" t="b">
        <f>AND(COUNTIF('NO2'!A:A,A239)&gt;0,COUNTIF('O3'!A:A,A239)&gt;0,COUNTIF('PM10'!A:A,A239)&gt;0,COUNTIF('PM2.5'!A:A,A239)&gt;0,COUNTIF('SO2'!A:A,A239)&gt;0)</f>
        <v>1</v>
      </c>
    </row>
    <row r="240" spans="1:9" x14ac:dyDescent="0.45">
      <c r="A240" s="4">
        <v>45625</v>
      </c>
      <c r="B240" t="s">
        <v>150</v>
      </c>
      <c r="C240" t="s">
        <v>137</v>
      </c>
      <c r="D240" t="s">
        <v>150</v>
      </c>
      <c r="E240" t="s">
        <v>150</v>
      </c>
      <c r="F240" t="s">
        <v>110</v>
      </c>
      <c r="G240" t="s">
        <v>85</v>
      </c>
      <c r="H240">
        <v>24</v>
      </c>
      <c r="I240" t="b">
        <f>AND(COUNTIF('NO2'!A:A,A240)&gt;0,COUNTIF('O3'!A:A,A240)&gt;0,COUNTIF('PM10'!A:A,A240)&gt;0,COUNTIF('PM2.5'!A:A,A240)&gt;0,COUNTIF('SO2'!A:A,A240)&gt;0)</f>
        <v>1</v>
      </c>
    </row>
    <row r="241" spans="1:9" x14ac:dyDescent="0.45">
      <c r="A241" s="4">
        <v>45626</v>
      </c>
      <c r="B241" t="s">
        <v>140</v>
      </c>
      <c r="C241" t="s">
        <v>137</v>
      </c>
      <c r="D241" t="s">
        <v>140</v>
      </c>
      <c r="E241" t="s">
        <v>140</v>
      </c>
      <c r="F241" t="s">
        <v>140</v>
      </c>
      <c r="G241" t="s">
        <v>22</v>
      </c>
      <c r="H241">
        <v>24</v>
      </c>
      <c r="I241" t="b">
        <f>AND(COUNTIF('NO2'!A:A,A241)&gt;0,COUNTIF('O3'!A:A,A241)&gt;0,COUNTIF('PM10'!A:A,A241)&gt;0,COUNTIF('PM2.5'!A:A,A241)&gt;0,COUNTIF('SO2'!A:A,A241)&gt;0)</f>
        <v>1</v>
      </c>
    </row>
    <row r="242" spans="1:9" x14ac:dyDescent="0.45">
      <c r="A242" s="4">
        <v>45627</v>
      </c>
      <c r="B242" t="s">
        <v>140</v>
      </c>
      <c r="C242" t="s">
        <v>149</v>
      </c>
      <c r="D242" t="s">
        <v>137</v>
      </c>
      <c r="E242" t="s">
        <v>137</v>
      </c>
      <c r="F242" t="s">
        <v>145</v>
      </c>
      <c r="G242" t="s">
        <v>23</v>
      </c>
      <c r="H242">
        <v>24</v>
      </c>
      <c r="I242" t="b">
        <f>AND(COUNTIF('NO2'!A:A,A242)&gt;0,COUNTIF('O3'!A:A,A242)&gt;0,COUNTIF('PM10'!A:A,A242)&gt;0,COUNTIF('PM2.5'!A:A,A242)&gt;0,COUNTIF('SO2'!A:A,A242)&gt;0)</f>
        <v>1</v>
      </c>
    </row>
    <row r="243" spans="1:9" x14ac:dyDescent="0.45">
      <c r="A243" s="4">
        <v>45628</v>
      </c>
      <c r="B243" t="s">
        <v>137</v>
      </c>
      <c r="C243" t="s">
        <v>148</v>
      </c>
      <c r="D243" t="s">
        <v>149</v>
      </c>
      <c r="E243" t="s">
        <v>145</v>
      </c>
      <c r="F243" t="s">
        <v>149</v>
      </c>
      <c r="G243" t="s">
        <v>36</v>
      </c>
      <c r="H243">
        <v>24</v>
      </c>
      <c r="I243" t="b">
        <f>AND(COUNTIF('NO2'!A:A,A243)&gt;0,COUNTIF('O3'!A:A,A243)&gt;0,COUNTIF('PM10'!A:A,A243)&gt;0,COUNTIF('PM2.5'!A:A,A243)&gt;0,COUNTIF('SO2'!A:A,A243)&gt;0)</f>
        <v>1</v>
      </c>
    </row>
    <row r="244" spans="1:9" x14ac:dyDescent="0.45">
      <c r="A244" s="4">
        <v>45629</v>
      </c>
      <c r="B244" t="s">
        <v>137</v>
      </c>
      <c r="C244" t="s">
        <v>149</v>
      </c>
      <c r="D244" t="s">
        <v>137</v>
      </c>
      <c r="E244" t="s">
        <v>137</v>
      </c>
      <c r="F244" t="s">
        <v>137</v>
      </c>
      <c r="G244" t="s">
        <v>36</v>
      </c>
      <c r="H244">
        <v>24</v>
      </c>
      <c r="I244" t="b">
        <f>AND(COUNTIF('NO2'!A:A,A244)&gt;0,COUNTIF('O3'!A:A,A244)&gt;0,COUNTIF('PM10'!A:A,A244)&gt;0,COUNTIF('PM2.5'!A:A,A244)&gt;0,COUNTIF('SO2'!A:A,A244)&gt;0)</f>
        <v>1</v>
      </c>
    </row>
    <row r="245" spans="1:9" x14ac:dyDescent="0.45">
      <c r="A245" s="4">
        <v>45630</v>
      </c>
      <c r="B245" t="s">
        <v>149</v>
      </c>
      <c r="C245" t="s">
        <v>170</v>
      </c>
      <c r="D245" t="s">
        <v>147</v>
      </c>
      <c r="E245" t="s">
        <v>149</v>
      </c>
      <c r="F245" t="s">
        <v>152</v>
      </c>
      <c r="G245" t="s">
        <v>179</v>
      </c>
      <c r="H245">
        <v>24</v>
      </c>
      <c r="I245" t="b">
        <f>AND(COUNTIF('NO2'!A:A,A245)&gt;0,COUNTIF('O3'!A:A,A245)&gt;0,COUNTIF('PM10'!A:A,A245)&gt;0,COUNTIF('PM2.5'!A:A,A245)&gt;0,COUNTIF('SO2'!A:A,A245)&gt;0)</f>
        <v>1</v>
      </c>
    </row>
    <row r="246" spans="1:9" x14ac:dyDescent="0.45">
      <c r="A246" s="4">
        <v>45631</v>
      </c>
      <c r="B246" t="s">
        <v>156</v>
      </c>
      <c r="C246" t="s">
        <v>218</v>
      </c>
      <c r="D246" t="s">
        <v>115</v>
      </c>
      <c r="E246" t="s">
        <v>132</v>
      </c>
      <c r="F246" t="s">
        <v>136</v>
      </c>
      <c r="G246" t="s">
        <v>91</v>
      </c>
      <c r="H246">
        <v>24</v>
      </c>
      <c r="I246" t="b">
        <f>AND(COUNTIF('NO2'!A:A,A246)&gt;0,COUNTIF('O3'!A:A,A246)&gt;0,COUNTIF('PM10'!A:A,A246)&gt;0,COUNTIF('PM2.5'!A:A,A246)&gt;0,COUNTIF('SO2'!A:A,A246)&gt;0)</f>
        <v>1</v>
      </c>
    </row>
    <row r="247" spans="1:9" x14ac:dyDescent="0.45">
      <c r="A247" s="4">
        <v>45632</v>
      </c>
      <c r="B247" t="s">
        <v>140</v>
      </c>
      <c r="C247" t="s">
        <v>218</v>
      </c>
      <c r="D247" t="s">
        <v>127</v>
      </c>
      <c r="E247" t="s">
        <v>132</v>
      </c>
      <c r="F247" t="s">
        <v>219</v>
      </c>
      <c r="G247" t="s">
        <v>122</v>
      </c>
      <c r="H247">
        <v>24</v>
      </c>
      <c r="I247" t="b">
        <f>AND(COUNTIF('NO2'!A:A,A247)&gt;0,COUNTIF('O3'!A:A,A247)&gt;0,COUNTIF('PM10'!A:A,A247)&gt;0,COUNTIF('PM2.5'!A:A,A247)&gt;0,COUNTIF('SO2'!A:A,A247)&gt;0)</f>
        <v>1</v>
      </c>
    </row>
    <row r="248" spans="1:9" x14ac:dyDescent="0.45">
      <c r="A248" s="4">
        <v>45633</v>
      </c>
      <c r="B248" t="s">
        <v>142</v>
      </c>
      <c r="C248" t="s">
        <v>137</v>
      </c>
      <c r="D248" t="s">
        <v>150</v>
      </c>
      <c r="E248" t="s">
        <v>151</v>
      </c>
      <c r="F248" t="s">
        <v>110</v>
      </c>
      <c r="G248" t="s">
        <v>84</v>
      </c>
      <c r="H248">
        <v>24</v>
      </c>
      <c r="I248" t="b">
        <f>AND(COUNTIF('NO2'!A:A,A248)&gt;0,COUNTIF('O3'!A:A,A248)&gt;0,COUNTIF('PM10'!A:A,A248)&gt;0,COUNTIF('PM2.5'!A:A,A248)&gt;0,COUNTIF('SO2'!A:A,A248)&gt;0)</f>
        <v>1</v>
      </c>
    </row>
    <row r="249" spans="1:9" x14ac:dyDescent="0.45">
      <c r="A249" s="4">
        <v>45634</v>
      </c>
      <c r="B249" t="s">
        <v>142</v>
      </c>
      <c r="C249" t="s">
        <v>148</v>
      </c>
      <c r="D249" t="s">
        <v>145</v>
      </c>
      <c r="E249" t="s">
        <v>140</v>
      </c>
      <c r="F249" t="s">
        <v>149</v>
      </c>
      <c r="G249" t="s">
        <v>83</v>
      </c>
      <c r="H249">
        <v>24</v>
      </c>
      <c r="I249" t="b">
        <f>AND(COUNTIF('NO2'!A:A,A249)&gt;0,COUNTIF('O3'!A:A,A249)&gt;0,COUNTIF('PM10'!A:A,A249)&gt;0,COUNTIF('PM2.5'!A:A,A249)&gt;0,COUNTIF('SO2'!A:A,A249)&gt;0)</f>
        <v>1</v>
      </c>
    </row>
    <row r="250" spans="1:9" x14ac:dyDescent="0.45">
      <c r="A250" s="4">
        <v>45635</v>
      </c>
      <c r="B250" t="s">
        <v>105</v>
      </c>
      <c r="C250" t="s">
        <v>168</v>
      </c>
      <c r="D250" t="s">
        <v>112</v>
      </c>
      <c r="E250" t="s">
        <v>104</v>
      </c>
      <c r="F250" t="s">
        <v>112</v>
      </c>
      <c r="G250" t="s">
        <v>37</v>
      </c>
      <c r="H250">
        <v>24</v>
      </c>
      <c r="I250" t="b">
        <f>AND(COUNTIF('NO2'!A:A,A250)&gt;0,COUNTIF('O3'!A:A,A250)&gt;0,COUNTIF('PM10'!A:A,A250)&gt;0,COUNTIF('PM2.5'!A:A,A250)&gt;0,COUNTIF('SO2'!A:A,A250)&gt;0)</f>
        <v>1</v>
      </c>
    </row>
    <row r="251" spans="1:9" x14ac:dyDescent="0.45">
      <c r="A251" s="4">
        <v>45636</v>
      </c>
      <c r="B251" t="s">
        <v>109</v>
      </c>
      <c r="C251" t="s">
        <v>112</v>
      </c>
      <c r="D251" t="s">
        <v>105</v>
      </c>
      <c r="E251" t="s">
        <v>208</v>
      </c>
      <c r="F251">
        <v>1</v>
      </c>
      <c r="G251" t="s">
        <v>178</v>
      </c>
      <c r="H251">
        <v>24</v>
      </c>
      <c r="I251" t="b">
        <f>AND(COUNTIF('NO2'!A:A,A251)&gt;0,COUNTIF('O3'!A:A,A251)&gt;0,COUNTIF('PM10'!A:A,A251)&gt;0,COUNTIF('PM2.5'!A:A,A251)&gt;0,COUNTIF('SO2'!A:A,A251)&gt;0)</f>
        <v>1</v>
      </c>
    </row>
    <row r="252" spans="1:9" x14ac:dyDescent="0.45">
      <c r="A252" s="4">
        <v>45637</v>
      </c>
      <c r="B252" t="s">
        <v>107</v>
      </c>
      <c r="C252" t="s">
        <v>137</v>
      </c>
      <c r="D252" t="s">
        <v>109</v>
      </c>
      <c r="E252" t="s">
        <v>109</v>
      </c>
      <c r="F252" t="s">
        <v>143</v>
      </c>
      <c r="G252" t="s">
        <v>220</v>
      </c>
      <c r="H252">
        <v>24</v>
      </c>
      <c r="I252" t="b">
        <f>AND(COUNTIF('NO2'!A:A,A252)&gt;0,COUNTIF('O3'!A:A,A252)&gt;0,COUNTIF('PM10'!A:A,A252)&gt;0,COUNTIF('PM2.5'!A:A,A252)&gt;0,COUNTIF('SO2'!A:A,A252)&gt;0)</f>
        <v>1</v>
      </c>
    </row>
    <row r="253" spans="1:9" x14ac:dyDescent="0.45">
      <c r="A253" s="4">
        <v>45638</v>
      </c>
      <c r="B253" t="s">
        <v>149</v>
      </c>
      <c r="C253" t="s">
        <v>162</v>
      </c>
      <c r="D253" t="s">
        <v>130</v>
      </c>
      <c r="E253" t="s">
        <v>130</v>
      </c>
      <c r="F253" t="s">
        <v>159</v>
      </c>
      <c r="G253" t="s">
        <v>78</v>
      </c>
      <c r="H253">
        <v>24</v>
      </c>
      <c r="I253" t="b">
        <f>AND(COUNTIF('NO2'!A:A,A253)&gt;0,COUNTIF('O3'!A:A,A253)&gt;0,COUNTIF('PM10'!A:A,A253)&gt;0,COUNTIF('PM2.5'!A:A,A253)&gt;0,COUNTIF('SO2'!A:A,A253)&gt;0)</f>
        <v>1</v>
      </c>
    </row>
    <row r="254" spans="1:9" x14ac:dyDescent="0.45">
      <c r="A254" s="4">
        <v>45639</v>
      </c>
      <c r="B254" t="s">
        <v>208</v>
      </c>
      <c r="C254" t="s">
        <v>115</v>
      </c>
      <c r="D254" t="s">
        <v>149</v>
      </c>
      <c r="E254" t="s">
        <v>112</v>
      </c>
      <c r="F254" t="s">
        <v>152</v>
      </c>
      <c r="G254" t="s">
        <v>221</v>
      </c>
      <c r="H254">
        <v>24</v>
      </c>
      <c r="I254" t="b">
        <f>AND(COUNTIF('NO2'!A:A,A254)&gt;0,COUNTIF('O3'!A:A,A254)&gt;0,COUNTIF('PM10'!A:A,A254)&gt;0,COUNTIF('PM2.5'!A:A,A254)&gt;0,COUNTIF('SO2'!A:A,A254)&gt;0)</f>
        <v>1</v>
      </c>
    </row>
    <row r="255" spans="1:9" x14ac:dyDescent="0.45">
      <c r="A255" s="4">
        <v>45640</v>
      </c>
      <c r="B255" t="s">
        <v>208</v>
      </c>
      <c r="C255" t="s">
        <v>142</v>
      </c>
      <c r="D255">
        <v>1</v>
      </c>
      <c r="E255" t="s">
        <v>101</v>
      </c>
      <c r="F255" t="s">
        <v>167</v>
      </c>
      <c r="G255" t="s">
        <v>158</v>
      </c>
      <c r="H255">
        <v>24</v>
      </c>
      <c r="I255" t="b">
        <f>AND(COUNTIF('NO2'!A:A,A255)&gt;0,COUNTIF('O3'!A:A,A255)&gt;0,COUNTIF('PM10'!A:A,A255)&gt;0,COUNTIF('PM2.5'!A:A,A255)&gt;0,COUNTIF('SO2'!A:A,A255)&gt;0)</f>
        <v>1</v>
      </c>
    </row>
    <row r="256" spans="1:9" x14ac:dyDescent="0.45">
      <c r="A256" s="4">
        <v>45641</v>
      </c>
      <c r="B256" t="s">
        <v>109</v>
      </c>
      <c r="C256" t="s">
        <v>111</v>
      </c>
      <c r="D256" t="s">
        <v>151</v>
      </c>
      <c r="E256" t="s">
        <v>112</v>
      </c>
      <c r="F256" t="s">
        <v>150</v>
      </c>
      <c r="G256" t="s">
        <v>78</v>
      </c>
      <c r="H256">
        <v>24</v>
      </c>
      <c r="I256" t="b">
        <f>AND(COUNTIF('NO2'!A:A,A256)&gt;0,COUNTIF('O3'!A:A,A256)&gt;0,COUNTIF('PM10'!A:A,A256)&gt;0,COUNTIF('PM2.5'!A:A,A256)&gt;0,COUNTIF('SO2'!A:A,A256)&gt;0)</f>
        <v>1</v>
      </c>
    </row>
    <row r="257" spans="1:9" x14ac:dyDescent="0.45">
      <c r="A257" s="4">
        <v>45642</v>
      </c>
      <c r="B257" t="s">
        <v>208</v>
      </c>
      <c r="C257" t="s">
        <v>148</v>
      </c>
      <c r="D257" t="s">
        <v>142</v>
      </c>
      <c r="E257" t="s">
        <v>143</v>
      </c>
      <c r="F257" t="s">
        <v>137</v>
      </c>
      <c r="G257" t="s">
        <v>155</v>
      </c>
      <c r="H257">
        <v>24</v>
      </c>
      <c r="I257" t="b">
        <f>AND(COUNTIF('NO2'!A:A,A257)&gt;0,COUNTIF('O3'!A:A,A257)&gt;0,COUNTIF('PM10'!A:A,A257)&gt;0,COUNTIF('PM2.5'!A:A,A257)&gt;0,COUNTIF('SO2'!A:A,A257)&gt;0)</f>
        <v>1</v>
      </c>
    </row>
    <row r="258" spans="1:9" x14ac:dyDescent="0.45">
      <c r="A258" s="4">
        <v>45643</v>
      </c>
      <c r="B258" t="s">
        <v>142</v>
      </c>
      <c r="C258" t="s">
        <v>149</v>
      </c>
      <c r="D258" t="s">
        <v>110</v>
      </c>
      <c r="E258" t="s">
        <v>111</v>
      </c>
      <c r="F258" t="s">
        <v>137</v>
      </c>
      <c r="G258" t="s">
        <v>87</v>
      </c>
      <c r="H258">
        <v>20</v>
      </c>
      <c r="I258" t="b">
        <f>AND(COUNTIF('NO2'!A:A,A258)&gt;0,COUNTIF('O3'!A:A,A258)&gt;0,COUNTIF('PM10'!A:A,A258)&gt;0,COUNTIF('PM2.5'!A:A,A258)&gt;0,COUNTIF('SO2'!A:A,A258)&gt;0)</f>
        <v>1</v>
      </c>
    </row>
    <row r="259" spans="1:9" x14ac:dyDescent="0.45">
      <c r="A259" s="4">
        <v>45644</v>
      </c>
      <c r="B259" t="s">
        <v>167</v>
      </c>
      <c r="C259" t="s">
        <v>145</v>
      </c>
      <c r="D259" t="s">
        <v>151</v>
      </c>
      <c r="E259" t="s">
        <v>168</v>
      </c>
      <c r="F259" t="s">
        <v>140</v>
      </c>
      <c r="G259" t="s">
        <v>217</v>
      </c>
      <c r="H259">
        <v>22</v>
      </c>
      <c r="I259" t="b">
        <f>AND(COUNTIF('NO2'!A:A,A259)&gt;0,COUNTIF('O3'!A:A,A259)&gt;0,COUNTIF('PM10'!A:A,A259)&gt;0,COUNTIF('PM2.5'!A:A,A259)&gt;0,COUNTIF('SO2'!A:A,A259)&gt;0)</f>
        <v>1</v>
      </c>
    </row>
    <row r="260" spans="1:9" x14ac:dyDescent="0.45">
      <c r="A260" s="4">
        <v>45645</v>
      </c>
      <c r="B260" t="s">
        <v>149</v>
      </c>
      <c r="C260" t="s">
        <v>161</v>
      </c>
      <c r="D260" t="s">
        <v>152</v>
      </c>
      <c r="E260" t="s">
        <v>148</v>
      </c>
      <c r="F260" t="s">
        <v>157</v>
      </c>
      <c r="G260" t="s">
        <v>176</v>
      </c>
      <c r="H260">
        <v>24</v>
      </c>
      <c r="I260" t="b">
        <f>AND(COUNTIF('NO2'!A:A,A260)&gt;0,COUNTIF('O3'!A:A,A260)&gt;0,COUNTIF('PM10'!A:A,A260)&gt;0,COUNTIF('PM2.5'!A:A,A260)&gt;0,COUNTIF('SO2'!A:A,A260)&gt;0)</f>
        <v>1</v>
      </c>
    </row>
    <row r="261" spans="1:9" x14ac:dyDescent="0.45">
      <c r="A261" s="4">
        <v>45646</v>
      </c>
      <c r="B261" t="s">
        <v>161</v>
      </c>
      <c r="C261" t="s">
        <v>218</v>
      </c>
      <c r="D261" t="s">
        <v>136</v>
      </c>
      <c r="E261" t="s">
        <v>163</v>
      </c>
      <c r="F261" t="s">
        <v>154</v>
      </c>
      <c r="G261" t="s">
        <v>158</v>
      </c>
      <c r="H261">
        <v>24</v>
      </c>
      <c r="I261" t="b">
        <f>AND(COUNTIF('NO2'!A:A,A261)&gt;0,COUNTIF('O3'!A:A,A261)&gt;0,COUNTIF('PM10'!A:A,A261)&gt;0,COUNTIF('PM2.5'!A:A,A261)&gt;0,COUNTIF('SO2'!A:A,A261)&gt;0)</f>
        <v>1</v>
      </c>
    </row>
    <row r="262" spans="1:9" x14ac:dyDescent="0.45">
      <c r="A262" s="4">
        <v>45647</v>
      </c>
      <c r="B262" t="s">
        <v>218</v>
      </c>
      <c r="C262" t="s">
        <v>114</v>
      </c>
      <c r="D262" t="s">
        <v>222</v>
      </c>
      <c r="E262" t="s">
        <v>223</v>
      </c>
      <c r="F262" t="s">
        <v>124</v>
      </c>
      <c r="G262" t="s">
        <v>180</v>
      </c>
      <c r="H262">
        <v>24</v>
      </c>
      <c r="I262" t="b">
        <f>AND(COUNTIF('NO2'!A:A,A262)&gt;0,COUNTIF('O3'!A:A,A262)&gt;0,COUNTIF('PM10'!A:A,A262)&gt;0,COUNTIF('PM2.5'!A:A,A262)&gt;0,COUNTIF('SO2'!A:A,A262)&gt;0)</f>
        <v>1</v>
      </c>
    </row>
    <row r="263" spans="1:9" x14ac:dyDescent="0.45">
      <c r="A263" s="4">
        <v>45648</v>
      </c>
      <c r="B263" t="s">
        <v>133</v>
      </c>
      <c r="C263" t="s">
        <v>119</v>
      </c>
      <c r="D263" t="s">
        <v>114</v>
      </c>
      <c r="E263" t="s">
        <v>222</v>
      </c>
      <c r="F263" t="s">
        <v>114</v>
      </c>
      <c r="G263" t="s">
        <v>85</v>
      </c>
      <c r="H263">
        <v>24</v>
      </c>
      <c r="I263" t="b">
        <f>AND(COUNTIF('NO2'!A:A,A263)&gt;0,COUNTIF('O3'!A:A,A263)&gt;0,COUNTIF('PM10'!A:A,A263)&gt;0,COUNTIF('PM2.5'!A:A,A263)&gt;0,COUNTIF('SO2'!A:A,A263)&gt;0)</f>
        <v>1</v>
      </c>
    </row>
    <row r="264" spans="1:9" x14ac:dyDescent="0.45">
      <c r="A264" s="4">
        <v>45649</v>
      </c>
      <c r="B264" t="s">
        <v>115</v>
      </c>
      <c r="C264" t="s">
        <v>114</v>
      </c>
      <c r="D264" t="s">
        <v>133</v>
      </c>
      <c r="E264" t="s">
        <v>164</v>
      </c>
      <c r="F264" t="s">
        <v>114</v>
      </c>
      <c r="G264" t="s">
        <v>153</v>
      </c>
      <c r="H264">
        <v>24</v>
      </c>
      <c r="I264" t="b">
        <f>AND(COUNTIF('NO2'!A:A,A264)&gt;0,COUNTIF('O3'!A:A,A264)&gt;0,COUNTIF('PM10'!A:A,A264)&gt;0,COUNTIF('PM2.5'!A:A,A264)&gt;0,COUNTIF('SO2'!A:A,A264)&gt;0)</f>
        <v>1</v>
      </c>
    </row>
    <row r="265" spans="1:9" x14ac:dyDescent="0.45">
      <c r="A265" s="4">
        <v>45650</v>
      </c>
      <c r="B265" t="s">
        <v>148</v>
      </c>
      <c r="C265" t="s">
        <v>132</v>
      </c>
      <c r="D265" t="s">
        <v>146</v>
      </c>
      <c r="E265" t="s">
        <v>147</v>
      </c>
      <c r="F265" t="s">
        <v>152</v>
      </c>
      <c r="G265" t="s">
        <v>178</v>
      </c>
      <c r="H265">
        <v>24</v>
      </c>
      <c r="I265" t="b">
        <f>AND(COUNTIF('NO2'!A:A,A265)&gt;0,COUNTIF('O3'!A:A,A265)&gt;0,COUNTIF('PM10'!A:A,A265)&gt;0,COUNTIF('PM2.5'!A:A,A265)&gt;0,COUNTIF('SO2'!A:A,A265)&gt;0)</f>
        <v>1</v>
      </c>
    </row>
    <row r="266" spans="1:9" x14ac:dyDescent="0.45">
      <c r="A266" s="4">
        <v>45651</v>
      </c>
      <c r="B266" t="s">
        <v>146</v>
      </c>
      <c r="C266" t="s">
        <v>156</v>
      </c>
      <c r="D266" t="s">
        <v>170</v>
      </c>
      <c r="E266" t="s">
        <v>146</v>
      </c>
      <c r="F266" t="s">
        <v>170</v>
      </c>
      <c r="G266" t="s">
        <v>86</v>
      </c>
      <c r="H266">
        <v>19</v>
      </c>
      <c r="I266" t="b">
        <f>AND(COUNTIF('NO2'!A:A,A266)&gt;0,COUNTIF('O3'!A:A,A266)&gt;0,COUNTIF('PM10'!A:A,A266)&gt;0,COUNTIF('PM2.5'!A:A,A266)&gt;0,COUNTIF('SO2'!A:A,A266)&gt;0)</f>
        <v>1</v>
      </c>
    </row>
    <row r="267" spans="1:9" x14ac:dyDescent="0.45">
      <c r="A267" s="4">
        <v>45657</v>
      </c>
      <c r="B267" t="s">
        <v>110</v>
      </c>
      <c r="C267" t="s">
        <v>137</v>
      </c>
      <c r="D267" t="s">
        <v>140</v>
      </c>
      <c r="E267" t="s">
        <v>110</v>
      </c>
      <c r="F267" t="s">
        <v>137</v>
      </c>
      <c r="G267" t="s">
        <v>36</v>
      </c>
      <c r="H267">
        <v>4</v>
      </c>
      <c r="I267" t="b">
        <f>AND(COUNTIF('NO2'!A:A,A267)&gt;0,COUNTIF('O3'!A:A,A267)&gt;0,COUNTIF('PM10'!A:A,A267)&gt;0,COUNTIF('PM2.5'!A:A,A267)&gt;0,COUNTIF('SO2'!A:A,A267)&gt;0)</f>
        <v>1</v>
      </c>
    </row>
    <row r="268" spans="1:9" x14ac:dyDescent="0.45">
      <c r="A268" s="4">
        <v>45658</v>
      </c>
      <c r="B268" t="s">
        <v>185</v>
      </c>
      <c r="C268" t="s">
        <v>111</v>
      </c>
      <c r="D268" t="s">
        <v>142</v>
      </c>
      <c r="E268">
        <v>1</v>
      </c>
      <c r="F268" t="s">
        <v>151</v>
      </c>
      <c r="G268" t="s">
        <v>224</v>
      </c>
      <c r="H268">
        <v>24</v>
      </c>
      <c r="I268" t="b">
        <f>AND(COUNTIF('NO2'!A:A,A268)&gt;0,COUNTIF('O3'!A:A,A268)&gt;0,COUNTIF('PM10'!A:A,A268)&gt;0,COUNTIF('PM2.5'!A:A,A268)&gt;0,COUNTIF('SO2'!A:A,A268)&gt;0)</f>
        <v>1</v>
      </c>
    </row>
    <row r="269" spans="1:9" x14ac:dyDescent="0.45">
      <c r="A269" s="4">
        <v>45659</v>
      </c>
      <c r="B269" t="s">
        <v>88</v>
      </c>
      <c r="C269" t="s">
        <v>105</v>
      </c>
      <c r="D269" t="s">
        <v>88</v>
      </c>
      <c r="E269" t="s">
        <v>88</v>
      </c>
      <c r="F269" t="s">
        <v>139</v>
      </c>
      <c r="G269" t="s">
        <v>169</v>
      </c>
      <c r="H269">
        <v>24</v>
      </c>
      <c r="I269" t="b">
        <f>AND(COUNTIF('NO2'!A:A,A269)&gt;0,COUNTIF('O3'!A:A,A269)&gt;0,COUNTIF('PM10'!A:A,A269)&gt;0,COUNTIF('PM2.5'!A:A,A269)&gt;0,COUNTIF('SO2'!A:A,A269)&gt;0)</f>
        <v>1</v>
      </c>
    </row>
    <row r="270" spans="1:9" x14ac:dyDescent="0.45">
      <c r="A270" s="4">
        <v>45660</v>
      </c>
      <c r="B270" t="s">
        <v>185</v>
      </c>
      <c r="C270">
        <v>1</v>
      </c>
      <c r="D270" t="s">
        <v>105</v>
      </c>
      <c r="E270" t="s">
        <v>201</v>
      </c>
      <c r="F270">
        <v>1</v>
      </c>
      <c r="G270" t="s">
        <v>169</v>
      </c>
      <c r="H270">
        <v>24</v>
      </c>
      <c r="I270" t="b">
        <f>AND(COUNTIF('NO2'!A:A,A270)&gt;0,COUNTIF('O3'!A:A,A270)&gt;0,COUNTIF('PM10'!A:A,A270)&gt;0,COUNTIF('PM2.5'!A:A,A270)&gt;0,COUNTIF('SO2'!A:A,A270)&gt;0)</f>
        <v>1</v>
      </c>
    </row>
    <row r="271" spans="1:9" x14ac:dyDescent="0.45">
      <c r="A271" s="4">
        <v>45661</v>
      </c>
      <c r="B271" t="s">
        <v>108</v>
      </c>
      <c r="C271" t="s">
        <v>185</v>
      </c>
      <c r="D271" t="s">
        <v>126</v>
      </c>
      <c r="E271" t="s">
        <v>126</v>
      </c>
      <c r="F271" t="s">
        <v>200</v>
      </c>
      <c r="G271" t="s">
        <v>16</v>
      </c>
      <c r="H271">
        <v>24</v>
      </c>
      <c r="I271" t="b">
        <f>AND(COUNTIF('NO2'!A:A,A271)&gt;0,COUNTIF('O3'!A:A,A271)&gt;0,COUNTIF('PM10'!A:A,A271)&gt;0,COUNTIF('PM2.5'!A:A,A271)&gt;0,COUNTIF('SO2'!A:A,A271)&gt;0)</f>
        <v>1</v>
      </c>
    </row>
    <row r="272" spans="1:9" x14ac:dyDescent="0.45">
      <c r="A272" s="4">
        <v>45662</v>
      </c>
      <c r="B272" t="s">
        <v>108</v>
      </c>
      <c r="C272" t="s">
        <v>185</v>
      </c>
      <c r="D272" t="s">
        <v>88</v>
      </c>
      <c r="E272" t="s">
        <v>126</v>
      </c>
      <c r="F272" t="s">
        <v>88</v>
      </c>
      <c r="G272" t="s">
        <v>37</v>
      </c>
      <c r="H272">
        <v>24</v>
      </c>
      <c r="I272" t="b">
        <f>AND(COUNTIF('NO2'!A:A,A272)&gt;0,COUNTIF('O3'!A:A,A272)&gt;0,COUNTIF('PM10'!A:A,A272)&gt;0,COUNTIF('PM2.5'!A:A,A272)&gt;0,COUNTIF('SO2'!A:A,A272)&gt;0)</f>
        <v>1</v>
      </c>
    </row>
    <row r="273" spans="1:9" x14ac:dyDescent="0.45">
      <c r="A273" s="4">
        <v>45663</v>
      </c>
      <c r="B273" t="s">
        <v>185</v>
      </c>
      <c r="C273" t="s">
        <v>102</v>
      </c>
      <c r="D273" t="s">
        <v>185</v>
      </c>
      <c r="E273" t="s">
        <v>185</v>
      </c>
      <c r="F273" t="s">
        <v>102</v>
      </c>
      <c r="G273" t="s">
        <v>22</v>
      </c>
      <c r="H273">
        <v>24</v>
      </c>
      <c r="I273" t="b">
        <f>AND(COUNTIF('NO2'!A:A,A273)&gt;0,COUNTIF('O3'!A:A,A273)&gt;0,COUNTIF('PM10'!A:A,A273)&gt;0,COUNTIF('PM2.5'!A:A,A273)&gt;0,COUNTIF('SO2'!A:A,A273)&gt;0)</f>
        <v>1</v>
      </c>
    </row>
    <row r="274" spans="1:9" x14ac:dyDescent="0.45">
      <c r="A274" s="4">
        <v>45664</v>
      </c>
      <c r="B274" t="s">
        <v>102</v>
      </c>
      <c r="C274" t="s">
        <v>145</v>
      </c>
      <c r="D274" t="s">
        <v>201</v>
      </c>
      <c r="E274" t="s">
        <v>96</v>
      </c>
      <c r="F274" t="s">
        <v>167</v>
      </c>
      <c r="G274" t="s">
        <v>160</v>
      </c>
      <c r="H274">
        <v>24</v>
      </c>
      <c r="I274" t="b">
        <f>AND(COUNTIF('NO2'!A:A,A274)&gt;0,COUNTIF('O3'!A:A,A274)&gt;0,COUNTIF('PM10'!A:A,A274)&gt;0,COUNTIF('PM2.5'!A:A,A274)&gt;0,COUNTIF('SO2'!A:A,A274)&gt;0)</f>
        <v>1</v>
      </c>
    </row>
    <row r="275" spans="1:9" x14ac:dyDescent="0.45">
      <c r="A275" s="4">
        <v>45665</v>
      </c>
      <c r="B275" t="s">
        <v>110</v>
      </c>
      <c r="C275" t="s">
        <v>148</v>
      </c>
      <c r="D275" t="s">
        <v>145</v>
      </c>
      <c r="E275" t="s">
        <v>137</v>
      </c>
      <c r="F275" t="s">
        <v>149</v>
      </c>
      <c r="G275" t="s">
        <v>31</v>
      </c>
      <c r="H275">
        <v>24</v>
      </c>
      <c r="I275" t="b">
        <f>AND(COUNTIF('NO2'!A:A,A275)&gt;0,COUNTIF('O3'!A:A,A275)&gt;0,COUNTIF('PM10'!A:A,A275)&gt;0,COUNTIF('PM2.5'!A:A,A275)&gt;0,COUNTIF('SO2'!A:A,A275)&gt;0)</f>
        <v>1</v>
      </c>
    </row>
    <row r="276" spans="1:9" x14ac:dyDescent="0.45">
      <c r="A276" s="4">
        <v>45666</v>
      </c>
      <c r="B276" t="s">
        <v>88</v>
      </c>
      <c r="C276" t="s">
        <v>111</v>
      </c>
      <c r="D276" t="s">
        <v>168</v>
      </c>
      <c r="E276" t="s">
        <v>107</v>
      </c>
      <c r="F276" t="s">
        <v>151</v>
      </c>
      <c r="G276" t="s">
        <v>225</v>
      </c>
      <c r="H276">
        <v>24</v>
      </c>
      <c r="I276" t="b">
        <f>AND(COUNTIF('NO2'!A:A,A276)&gt;0,COUNTIF('O3'!A:A,A276)&gt;0,COUNTIF('PM10'!A:A,A276)&gt;0,COUNTIF('PM2.5'!A:A,A276)&gt;0,COUNTIF('SO2'!A:A,A276)&gt;0)</f>
        <v>1</v>
      </c>
    </row>
    <row r="277" spans="1:9" x14ac:dyDescent="0.45">
      <c r="A277" s="4">
        <v>45667</v>
      </c>
      <c r="B277" t="s">
        <v>200</v>
      </c>
      <c r="C277" t="s">
        <v>107</v>
      </c>
      <c r="D277" t="s">
        <v>88</v>
      </c>
      <c r="E277" t="s">
        <v>88</v>
      </c>
      <c r="F277" t="s">
        <v>201</v>
      </c>
      <c r="G277" t="s">
        <v>180</v>
      </c>
      <c r="H277">
        <v>24</v>
      </c>
      <c r="I277" t="b">
        <f>AND(COUNTIF('NO2'!A:A,A277)&gt;0,COUNTIF('O3'!A:A,A277)&gt;0,COUNTIF('PM10'!A:A,A277)&gt;0,COUNTIF('PM2.5'!A:A,A277)&gt;0,COUNTIF('SO2'!A:A,A277)&gt;0)</f>
        <v>1</v>
      </c>
    </row>
    <row r="278" spans="1:9" x14ac:dyDescent="0.45">
      <c r="A278" s="4">
        <v>45668</v>
      </c>
      <c r="B278" t="s">
        <v>201</v>
      </c>
      <c r="C278">
        <v>1</v>
      </c>
      <c r="D278" t="s">
        <v>107</v>
      </c>
      <c r="E278" t="s">
        <v>107</v>
      </c>
      <c r="F278" t="s">
        <v>208</v>
      </c>
      <c r="G278" t="s">
        <v>31</v>
      </c>
      <c r="H278">
        <v>24</v>
      </c>
      <c r="I278" t="b">
        <f>AND(COUNTIF('NO2'!A:A,A278)&gt;0,COUNTIF('O3'!A:A,A278)&gt;0,COUNTIF('PM10'!A:A,A278)&gt;0,COUNTIF('PM2.5'!A:A,A278)&gt;0,COUNTIF('SO2'!A:A,A278)&gt;0)</f>
        <v>1</v>
      </c>
    </row>
    <row r="279" spans="1:9" x14ac:dyDescent="0.45">
      <c r="A279" s="4">
        <v>45669</v>
      </c>
      <c r="B279" t="s">
        <v>43</v>
      </c>
      <c r="C279">
        <v>1</v>
      </c>
      <c r="D279" t="s">
        <v>105</v>
      </c>
      <c r="E279" t="s">
        <v>102</v>
      </c>
      <c r="F279">
        <v>1</v>
      </c>
      <c r="G279" t="s">
        <v>226</v>
      </c>
      <c r="H279">
        <v>24</v>
      </c>
      <c r="I279" t="b">
        <f>AND(COUNTIF('NO2'!A:A,A279)&gt;0,COUNTIF('O3'!A:A,A279)&gt;0,COUNTIF('PM10'!A:A,A279)&gt;0,COUNTIF('PM2.5'!A:A,A279)&gt;0,COUNTIF('SO2'!A:A,A279)&gt;0)</f>
        <v>1</v>
      </c>
    </row>
    <row r="280" spans="1:9" x14ac:dyDescent="0.45">
      <c r="A280" s="4">
        <v>45670</v>
      </c>
      <c r="B280" t="s">
        <v>44</v>
      </c>
      <c r="C280" t="s">
        <v>139</v>
      </c>
      <c r="D280" t="s">
        <v>43</v>
      </c>
      <c r="E280" t="s">
        <v>41</v>
      </c>
      <c r="F280" t="s">
        <v>185</v>
      </c>
      <c r="G280" t="s">
        <v>72</v>
      </c>
      <c r="H280">
        <v>23</v>
      </c>
      <c r="I280" t="b">
        <f>AND(COUNTIF('NO2'!A:A,A280)&gt;0,COUNTIF('O3'!A:A,A280)&gt;0,COUNTIF('PM10'!A:A,A280)&gt;0,COUNTIF('PM2.5'!A:A,A280)&gt;0,COUNTIF('SO2'!A:A,A280)&gt;0)</f>
        <v>1</v>
      </c>
    </row>
    <row r="281" spans="1:9" x14ac:dyDescent="0.45">
      <c r="A281" s="4">
        <v>45671</v>
      </c>
      <c r="B281" t="s">
        <v>109</v>
      </c>
      <c r="C281" t="s">
        <v>112</v>
      </c>
      <c r="D281" t="s">
        <v>101</v>
      </c>
      <c r="E281" t="s">
        <v>208</v>
      </c>
      <c r="F281" t="s">
        <v>104</v>
      </c>
      <c r="G281" t="s">
        <v>27</v>
      </c>
      <c r="H281">
        <v>18</v>
      </c>
      <c r="I281" t="b">
        <f>AND(COUNTIF('NO2'!A:A,A281)&gt;0,COUNTIF('O3'!A:A,A281)&gt;0,COUNTIF('PM10'!A:A,A281)&gt;0,COUNTIF('PM2.5'!A:A,A281)&gt;0,COUNTIF('SO2'!A:A,A281)&gt;0)</f>
        <v>1</v>
      </c>
    </row>
    <row r="282" spans="1:9" x14ac:dyDescent="0.45">
      <c r="A282" s="4">
        <v>45672</v>
      </c>
      <c r="B282" t="s">
        <v>201</v>
      </c>
      <c r="C282" t="s">
        <v>112</v>
      </c>
      <c r="D282">
        <v>1</v>
      </c>
      <c r="E282" t="s">
        <v>208</v>
      </c>
      <c r="F282" t="s">
        <v>104</v>
      </c>
      <c r="G282" t="s">
        <v>175</v>
      </c>
      <c r="H282">
        <v>24</v>
      </c>
      <c r="I282" t="b">
        <f>AND(COUNTIF('NO2'!A:A,A282)&gt;0,COUNTIF('O3'!A:A,A282)&gt;0,COUNTIF('PM10'!A:A,A282)&gt;0,COUNTIF('PM2.5'!A:A,A282)&gt;0,COUNTIF('SO2'!A:A,A282)&gt;0)</f>
        <v>1</v>
      </c>
    </row>
    <row r="283" spans="1:9" x14ac:dyDescent="0.45">
      <c r="A283" s="4">
        <v>45673</v>
      </c>
      <c r="B283" t="s">
        <v>102</v>
      </c>
      <c r="C283" t="s">
        <v>101</v>
      </c>
      <c r="D283" t="s">
        <v>208</v>
      </c>
      <c r="E283" t="s">
        <v>201</v>
      </c>
      <c r="F283" t="s">
        <v>208</v>
      </c>
      <c r="G283" t="s">
        <v>87</v>
      </c>
      <c r="H283">
        <v>24</v>
      </c>
      <c r="I283" t="b">
        <f>AND(COUNTIF('NO2'!A:A,A283)&gt;0,COUNTIF('O3'!A:A,A283)&gt;0,COUNTIF('PM10'!A:A,A283)&gt;0,COUNTIF('PM2.5'!A:A,A283)&gt;0,COUNTIF('SO2'!A:A,A283)&gt;0)</f>
        <v>1</v>
      </c>
    </row>
    <row r="284" spans="1:9" x14ac:dyDescent="0.45">
      <c r="A284" s="4">
        <v>45674</v>
      </c>
      <c r="B284" t="s">
        <v>126</v>
      </c>
      <c r="C284" t="s">
        <v>102</v>
      </c>
      <c r="D284" t="s">
        <v>88</v>
      </c>
      <c r="E284" t="s">
        <v>200</v>
      </c>
      <c r="F284" t="s">
        <v>185</v>
      </c>
      <c r="G284" t="s">
        <v>100</v>
      </c>
      <c r="H284">
        <v>24</v>
      </c>
      <c r="I284" t="b">
        <f>AND(COUNTIF('NO2'!A:A,A284)&gt;0,COUNTIF('O3'!A:A,A284)&gt;0,COUNTIF('PM10'!A:A,A284)&gt;0,COUNTIF('PM2.5'!A:A,A284)&gt;0,COUNTIF('SO2'!A:A,A284)&gt;0)</f>
        <v>1</v>
      </c>
    </row>
    <row r="285" spans="1:9" x14ac:dyDescent="0.45">
      <c r="A285" s="4">
        <v>45675</v>
      </c>
      <c r="B285" t="s">
        <v>102</v>
      </c>
      <c r="C285" t="s">
        <v>109</v>
      </c>
      <c r="D285" t="s">
        <v>202</v>
      </c>
      <c r="E285" t="s">
        <v>202</v>
      </c>
      <c r="F285" t="s">
        <v>139</v>
      </c>
      <c r="G285" t="s">
        <v>97</v>
      </c>
      <c r="H285">
        <v>24</v>
      </c>
      <c r="I285" t="b">
        <f>AND(COUNTIF('NO2'!A:A,A285)&gt;0,COUNTIF('O3'!A:A,A285)&gt;0,COUNTIF('PM10'!A:A,A285)&gt;0,COUNTIF('PM2.5'!A:A,A285)&gt;0,COUNTIF('SO2'!A:A,A285)&gt;0)</f>
        <v>1</v>
      </c>
    </row>
    <row r="286" spans="1:9" x14ac:dyDescent="0.45">
      <c r="A286" s="4">
        <v>45676</v>
      </c>
      <c r="B286" t="s">
        <v>185</v>
      </c>
      <c r="C286" t="s">
        <v>208</v>
      </c>
      <c r="D286" t="s">
        <v>109</v>
      </c>
      <c r="E286" t="s">
        <v>139</v>
      </c>
      <c r="F286" t="s">
        <v>109</v>
      </c>
      <c r="G286" t="s">
        <v>165</v>
      </c>
      <c r="H286">
        <v>24</v>
      </c>
      <c r="I286" t="b">
        <f>AND(COUNTIF('NO2'!A:A,A286)&gt;0,COUNTIF('O3'!A:A,A286)&gt;0,COUNTIF('PM10'!A:A,A286)&gt;0,COUNTIF('PM2.5'!A:A,A286)&gt;0,COUNTIF('SO2'!A:A,A286)&gt;0)</f>
        <v>1</v>
      </c>
    </row>
    <row r="287" spans="1:9" x14ac:dyDescent="0.45">
      <c r="A287" s="4">
        <v>45677</v>
      </c>
      <c r="B287" t="s">
        <v>88</v>
      </c>
      <c r="C287" t="s">
        <v>185</v>
      </c>
      <c r="D287" t="s">
        <v>185</v>
      </c>
      <c r="E287" t="s">
        <v>88</v>
      </c>
      <c r="F287" t="s">
        <v>185</v>
      </c>
      <c r="G287" t="s">
        <v>33</v>
      </c>
      <c r="H287">
        <v>24</v>
      </c>
      <c r="I287" t="b">
        <f>AND(COUNTIF('NO2'!A:A,A287)&gt;0,COUNTIF('O3'!A:A,A287)&gt;0,COUNTIF('PM10'!A:A,A287)&gt;0,COUNTIF('PM2.5'!A:A,A287)&gt;0,COUNTIF('SO2'!A:A,A287)&gt;0)</f>
        <v>1</v>
      </c>
    </row>
    <row r="288" spans="1:9" x14ac:dyDescent="0.45">
      <c r="A288" s="4">
        <v>45678</v>
      </c>
      <c r="B288" t="s">
        <v>126</v>
      </c>
      <c r="C288" t="s">
        <v>88</v>
      </c>
      <c r="D288" t="s">
        <v>200</v>
      </c>
      <c r="E288" t="s">
        <v>126</v>
      </c>
      <c r="F288" t="s">
        <v>88</v>
      </c>
      <c r="G288" t="s">
        <v>38</v>
      </c>
      <c r="H288">
        <v>24</v>
      </c>
      <c r="I288" t="b">
        <f>AND(COUNTIF('NO2'!A:A,A288)&gt;0,COUNTIF('O3'!A:A,A288)&gt;0,COUNTIF('PM10'!A:A,A288)&gt;0,COUNTIF('PM2.5'!A:A,A288)&gt;0,COUNTIF('SO2'!A:A,A288)&gt;0)</f>
        <v>1</v>
      </c>
    </row>
    <row r="289" spans="1:9" x14ac:dyDescent="0.45">
      <c r="A289" s="4">
        <v>45679</v>
      </c>
      <c r="B289" t="s">
        <v>88</v>
      </c>
      <c r="C289" t="s">
        <v>101</v>
      </c>
      <c r="D289" t="s">
        <v>202</v>
      </c>
      <c r="E289" t="s">
        <v>102</v>
      </c>
      <c r="F289" t="s">
        <v>101</v>
      </c>
      <c r="G289" t="s">
        <v>144</v>
      </c>
      <c r="H289">
        <v>24</v>
      </c>
      <c r="I289" t="b">
        <f>AND(COUNTIF('NO2'!A:A,A289)&gt;0,COUNTIF('O3'!A:A,A289)&gt;0,COUNTIF('PM10'!A:A,A289)&gt;0,COUNTIF('PM2.5'!A:A,A289)&gt;0,COUNTIF('SO2'!A:A,A289)&gt;0)</f>
        <v>1</v>
      </c>
    </row>
    <row r="290" spans="1:9" x14ac:dyDescent="0.45">
      <c r="A290" s="4">
        <v>45680</v>
      </c>
      <c r="B290" t="s">
        <v>208</v>
      </c>
      <c r="C290" t="s">
        <v>111</v>
      </c>
      <c r="D290" t="s">
        <v>104</v>
      </c>
      <c r="E290" t="s">
        <v>101</v>
      </c>
      <c r="F290" t="s">
        <v>143</v>
      </c>
      <c r="G290" t="s">
        <v>217</v>
      </c>
      <c r="H290">
        <v>24</v>
      </c>
      <c r="I290" t="b">
        <f>AND(COUNTIF('NO2'!A:A,A290)&gt;0,COUNTIF('O3'!A:A,A290)&gt;0,COUNTIF('PM10'!A:A,A290)&gt;0,COUNTIF('PM2.5'!A:A,A290)&gt;0,COUNTIF('SO2'!A:A,A290)&gt;0)</f>
        <v>1</v>
      </c>
    </row>
    <row r="291" spans="1:9" x14ac:dyDescent="0.45">
      <c r="A291" s="4">
        <v>45681</v>
      </c>
      <c r="B291" t="s">
        <v>140</v>
      </c>
      <c r="C291" t="s">
        <v>148</v>
      </c>
      <c r="D291" t="s">
        <v>145</v>
      </c>
      <c r="E291" t="s">
        <v>137</v>
      </c>
      <c r="F291" t="s">
        <v>149</v>
      </c>
      <c r="G291" t="s">
        <v>37</v>
      </c>
      <c r="H291">
        <v>24</v>
      </c>
      <c r="I291" t="b">
        <f>AND(COUNTIF('NO2'!A:A,A291)&gt;0,COUNTIF('O3'!A:A,A291)&gt;0,COUNTIF('PM10'!A:A,A291)&gt;0,COUNTIF('PM2.5'!A:A,A291)&gt;0,COUNTIF('SO2'!A:A,A291)&gt;0)</f>
        <v>1</v>
      </c>
    </row>
    <row r="292" spans="1:9" x14ac:dyDescent="0.45">
      <c r="A292" s="4">
        <v>45682</v>
      </c>
      <c r="B292" t="s">
        <v>185</v>
      </c>
      <c r="C292" t="s">
        <v>137</v>
      </c>
      <c r="D292">
        <v>1</v>
      </c>
      <c r="E292" t="s">
        <v>96</v>
      </c>
      <c r="F292" t="s">
        <v>151</v>
      </c>
      <c r="G292" t="s">
        <v>227</v>
      </c>
      <c r="H292">
        <v>20</v>
      </c>
      <c r="I292" t="b">
        <f>AND(COUNTIF('NO2'!A:A,A292)&gt;0,COUNTIF('O3'!A:A,A292)&gt;0,COUNTIF('PM10'!A:A,A292)&gt;0,COUNTIF('PM2.5'!A:A,A292)&gt;0,COUNTIF('SO2'!A:A,A292)&gt;0)</f>
        <v>1</v>
      </c>
    </row>
    <row r="293" spans="1:9" x14ac:dyDescent="0.45">
      <c r="A293" s="4">
        <v>45683</v>
      </c>
      <c r="B293" t="s">
        <v>126</v>
      </c>
      <c r="C293" t="s">
        <v>139</v>
      </c>
      <c r="D293" t="s">
        <v>88</v>
      </c>
      <c r="E293" t="s">
        <v>126</v>
      </c>
      <c r="F293" t="s">
        <v>202</v>
      </c>
      <c r="G293" t="s">
        <v>165</v>
      </c>
      <c r="H293">
        <v>24</v>
      </c>
      <c r="I293" t="b">
        <f>AND(COUNTIF('NO2'!A:A,A293)&gt;0,COUNTIF('O3'!A:A,A293)&gt;0,COUNTIF('PM10'!A:A,A293)&gt;0,COUNTIF('PM2.5'!A:A,A293)&gt;0,COUNTIF('SO2'!A:A,A293)&gt;0)</f>
        <v>1</v>
      </c>
    </row>
    <row r="294" spans="1:9" x14ac:dyDescent="0.45">
      <c r="A294" s="4">
        <v>45684</v>
      </c>
      <c r="B294" t="s">
        <v>139</v>
      </c>
      <c r="C294" t="s">
        <v>143</v>
      </c>
      <c r="D294" t="s">
        <v>208</v>
      </c>
      <c r="E294" t="s">
        <v>107</v>
      </c>
      <c r="F294" t="s">
        <v>101</v>
      </c>
      <c r="G294" t="s">
        <v>63</v>
      </c>
      <c r="H294">
        <v>24</v>
      </c>
      <c r="I294" t="b">
        <f>AND(COUNTIF('NO2'!A:A,A294)&gt;0,COUNTIF('O3'!A:A,A294)&gt;0,COUNTIF('PM10'!A:A,A294)&gt;0,COUNTIF('PM2.5'!A:A,A294)&gt;0,COUNTIF('SO2'!A:A,A294)&gt;0)</f>
        <v>1</v>
      </c>
    </row>
    <row r="295" spans="1:9" x14ac:dyDescent="0.45">
      <c r="A295" s="4">
        <v>45685</v>
      </c>
      <c r="B295" t="s">
        <v>96</v>
      </c>
      <c r="C295" t="s">
        <v>143</v>
      </c>
      <c r="D295" t="s">
        <v>104</v>
      </c>
      <c r="E295" t="s">
        <v>208</v>
      </c>
      <c r="F295" t="s">
        <v>112</v>
      </c>
      <c r="G295" t="s">
        <v>53</v>
      </c>
      <c r="H295">
        <v>24</v>
      </c>
      <c r="I295" t="b">
        <f>AND(COUNTIF('NO2'!A:A,A295)&gt;0,COUNTIF('O3'!A:A,A295)&gt;0,COUNTIF('PM10'!A:A,A295)&gt;0,COUNTIF('PM2.5'!A:A,A295)&gt;0,COUNTIF('SO2'!A:A,A295)&gt;0)</f>
        <v>1</v>
      </c>
    </row>
    <row r="296" spans="1:9" x14ac:dyDescent="0.45">
      <c r="A296" s="4">
        <v>45686</v>
      </c>
      <c r="B296" t="s">
        <v>88</v>
      </c>
      <c r="C296" t="s">
        <v>96</v>
      </c>
      <c r="D296" t="s">
        <v>102</v>
      </c>
      <c r="E296" t="s">
        <v>102</v>
      </c>
      <c r="F296" t="s">
        <v>102</v>
      </c>
      <c r="G296" t="s">
        <v>36</v>
      </c>
      <c r="H296">
        <v>24</v>
      </c>
      <c r="I296" t="b">
        <f>AND(COUNTIF('NO2'!A:A,A296)&gt;0,COUNTIF('O3'!A:A,A296)&gt;0,COUNTIF('PM10'!A:A,A296)&gt;0,COUNTIF('PM2.5'!A:A,A296)&gt;0,COUNTIF('SO2'!A:A,A296)&gt;0)</f>
        <v>1</v>
      </c>
    </row>
    <row r="297" spans="1:9" x14ac:dyDescent="0.45">
      <c r="A297" s="4">
        <v>45687</v>
      </c>
      <c r="B297" t="s">
        <v>126</v>
      </c>
      <c r="C297" t="s">
        <v>185</v>
      </c>
      <c r="D297" t="s">
        <v>88</v>
      </c>
      <c r="E297" t="s">
        <v>88</v>
      </c>
      <c r="F297" t="s">
        <v>88</v>
      </c>
      <c r="G297" t="s">
        <v>36</v>
      </c>
      <c r="H297">
        <v>20</v>
      </c>
      <c r="I297" t="b">
        <f>AND(COUNTIF('NO2'!A:A,A297)&gt;0,COUNTIF('O3'!A:A,A297)&gt;0,COUNTIF('PM10'!A:A,A297)&gt;0,COUNTIF('PM2.5'!A:A,A297)&gt;0,COUNTIF('SO2'!A:A,A297)&gt;0)</f>
        <v>1</v>
      </c>
    </row>
    <row r="298" spans="1:9" x14ac:dyDescent="0.45">
      <c r="A298" s="4">
        <v>45688</v>
      </c>
      <c r="B298" t="s">
        <v>185</v>
      </c>
      <c r="C298" t="s">
        <v>201</v>
      </c>
      <c r="D298" t="s">
        <v>202</v>
      </c>
      <c r="E298" t="s">
        <v>96</v>
      </c>
      <c r="F298" t="s">
        <v>139</v>
      </c>
      <c r="G298" t="s">
        <v>178</v>
      </c>
      <c r="H298">
        <v>24</v>
      </c>
      <c r="I298" t="b">
        <f>AND(COUNTIF('NO2'!A:A,A298)&gt;0,COUNTIF('O3'!A:A,A298)&gt;0,COUNTIF('PM10'!A:A,A298)&gt;0,COUNTIF('PM2.5'!A:A,A298)&gt;0,COUNTIF('SO2'!A:A,A298)&gt;0)</f>
        <v>1</v>
      </c>
    </row>
    <row r="299" spans="1:9" x14ac:dyDescent="0.45">
      <c r="A299" s="4">
        <v>45689</v>
      </c>
      <c r="B299" t="s">
        <v>96</v>
      </c>
      <c r="C299" t="s">
        <v>202</v>
      </c>
      <c r="D299" t="s">
        <v>96</v>
      </c>
      <c r="E299" t="s">
        <v>96</v>
      </c>
      <c r="F299" t="s">
        <v>96</v>
      </c>
      <c r="G299" t="s">
        <v>12</v>
      </c>
      <c r="H299">
        <v>24</v>
      </c>
      <c r="I299" t="b">
        <f>AND(COUNTIF('NO2'!A:A,A299)&gt;0,COUNTIF('O3'!A:A,A299)&gt;0,COUNTIF('PM10'!A:A,A299)&gt;0,COUNTIF('PM2.5'!A:A,A299)&gt;0,COUNTIF('SO2'!A:A,A299)&gt;0)</f>
        <v>1</v>
      </c>
    </row>
    <row r="300" spans="1:9" x14ac:dyDescent="0.45">
      <c r="A300" s="4">
        <v>45691</v>
      </c>
      <c r="B300" t="s">
        <v>228</v>
      </c>
      <c r="C300" t="s">
        <v>96</v>
      </c>
      <c r="D300" t="s">
        <v>129</v>
      </c>
      <c r="E300" t="s">
        <v>197</v>
      </c>
      <c r="F300" t="s">
        <v>30</v>
      </c>
      <c r="G300" t="s">
        <v>229</v>
      </c>
      <c r="H300">
        <v>24</v>
      </c>
      <c r="I300" t="b">
        <f>AND(COUNTIF('NO2'!A:A,A300)&gt;0,COUNTIF('O3'!A:A,A300)&gt;0,COUNTIF('PM10'!A:A,A300)&gt;0,COUNTIF('PM2.5'!A:A,A300)&gt;0,COUNTIF('SO2'!A:A,A300)&gt;0)</f>
        <v>1</v>
      </c>
    </row>
    <row r="301" spans="1:9" x14ac:dyDescent="0.45">
      <c r="A301" s="4">
        <v>45692</v>
      </c>
      <c r="B301" t="s">
        <v>16</v>
      </c>
      <c r="C301" t="s">
        <v>68</v>
      </c>
      <c r="D301" t="s">
        <v>73</v>
      </c>
      <c r="E301" t="s">
        <v>63</v>
      </c>
      <c r="F301" t="s">
        <v>59</v>
      </c>
      <c r="G301" t="s">
        <v>173</v>
      </c>
      <c r="H301">
        <v>24</v>
      </c>
      <c r="I301" t="b">
        <f>AND(COUNTIF('NO2'!A:A,A301)&gt;0,COUNTIF('O3'!A:A,A301)&gt;0,COUNTIF('PM10'!A:A,A301)&gt;0,COUNTIF('PM2.5'!A:A,A301)&gt;0,COUNTIF('SO2'!A:A,A301)&gt;0)</f>
        <v>1</v>
      </c>
    </row>
    <row r="302" spans="1:9" x14ac:dyDescent="0.45">
      <c r="A302" s="4">
        <v>45693</v>
      </c>
      <c r="B302">
        <v>0</v>
      </c>
      <c r="C302" t="s">
        <v>16</v>
      </c>
      <c r="D302" t="s">
        <v>16</v>
      </c>
      <c r="E302" t="s">
        <v>16</v>
      </c>
      <c r="F302" t="s">
        <v>16</v>
      </c>
      <c r="G302" t="s">
        <v>141</v>
      </c>
      <c r="H302">
        <v>24</v>
      </c>
      <c r="I302" t="b">
        <f>AND(COUNTIF('NO2'!A:A,A302)&gt;0,COUNTIF('O3'!A:A,A302)&gt;0,COUNTIF('PM10'!A:A,A302)&gt;0,COUNTIF('PM2.5'!A:A,A302)&gt;0,COUNTIF('SO2'!A:A,A302)&gt;0)</f>
        <v>1</v>
      </c>
    </row>
    <row r="303" spans="1:9" x14ac:dyDescent="0.45">
      <c r="A303" s="4">
        <v>45694</v>
      </c>
      <c r="B303" t="s">
        <v>16</v>
      </c>
      <c r="C303" t="s">
        <v>53</v>
      </c>
      <c r="D303" t="s">
        <v>16</v>
      </c>
      <c r="E303" t="s">
        <v>16</v>
      </c>
      <c r="F303" t="s">
        <v>16</v>
      </c>
      <c r="G303" t="s">
        <v>36</v>
      </c>
      <c r="H303">
        <v>24</v>
      </c>
      <c r="I303" t="b">
        <f>AND(COUNTIF('NO2'!A:A,A303)&gt;0,COUNTIF('O3'!A:A,A303)&gt;0,COUNTIF('PM10'!A:A,A303)&gt;0,COUNTIF('PM2.5'!A:A,A303)&gt;0,COUNTIF('SO2'!A:A,A303)&gt;0)</f>
        <v>1</v>
      </c>
    </row>
    <row r="304" spans="1:9" x14ac:dyDescent="0.45">
      <c r="A304" s="4">
        <v>45695</v>
      </c>
      <c r="B304" t="s">
        <v>48</v>
      </c>
      <c r="C304" t="s">
        <v>64</v>
      </c>
      <c r="D304" t="s">
        <v>71</v>
      </c>
      <c r="E304" t="s">
        <v>227</v>
      </c>
      <c r="F304" t="s">
        <v>199</v>
      </c>
      <c r="G304" t="s">
        <v>97</v>
      </c>
      <c r="H304">
        <v>24</v>
      </c>
      <c r="I304" t="b">
        <f>AND(COUNTIF('NO2'!A:A,A304)&gt;0,COUNTIF('O3'!A:A,A304)&gt;0,COUNTIF('PM10'!A:A,A304)&gt;0,COUNTIF('PM2.5'!A:A,A304)&gt;0,COUNTIF('SO2'!A:A,A304)&gt;0)</f>
        <v>1</v>
      </c>
    </row>
    <row r="305" spans="1:9" x14ac:dyDescent="0.45">
      <c r="A305" s="4">
        <v>45696</v>
      </c>
      <c r="B305" t="s">
        <v>48</v>
      </c>
      <c r="C305" t="s">
        <v>67</v>
      </c>
      <c r="D305" t="s">
        <v>73</v>
      </c>
      <c r="E305" t="s">
        <v>48</v>
      </c>
      <c r="F305" t="s">
        <v>205</v>
      </c>
      <c r="G305" t="s">
        <v>230</v>
      </c>
      <c r="H305">
        <v>24</v>
      </c>
      <c r="I305" t="b">
        <f>AND(COUNTIF('NO2'!A:A,A305)&gt;0,COUNTIF('O3'!A:A,A305)&gt;0,COUNTIF('PM10'!A:A,A305)&gt;0,COUNTIF('PM2.5'!A:A,A305)&gt;0,COUNTIF('SO2'!A:A,A305)&gt;0)</f>
        <v>1</v>
      </c>
    </row>
    <row r="306" spans="1:9" x14ac:dyDescent="0.45">
      <c r="A306" s="4">
        <v>45697</v>
      </c>
      <c r="B306" t="s">
        <v>71</v>
      </c>
      <c r="C306" t="s">
        <v>67</v>
      </c>
      <c r="D306" t="s">
        <v>67</v>
      </c>
      <c r="E306" t="s">
        <v>55</v>
      </c>
      <c r="F306" t="s">
        <v>67</v>
      </c>
      <c r="G306" t="s">
        <v>231</v>
      </c>
      <c r="H306">
        <v>24</v>
      </c>
      <c r="I306" t="b">
        <f>AND(COUNTIF('NO2'!A:A,A306)&gt;0,COUNTIF('O3'!A:A,A306)&gt;0,COUNTIF('PM10'!A:A,A306)&gt;0,COUNTIF('PM2.5'!A:A,A306)&gt;0,COUNTIF('SO2'!A:A,A306)&gt;0)</f>
        <v>1</v>
      </c>
    </row>
    <row r="307" spans="1:9" x14ac:dyDescent="0.45">
      <c r="A307" s="4">
        <v>45698</v>
      </c>
      <c r="B307" t="s">
        <v>232</v>
      </c>
      <c r="C307" t="s">
        <v>71</v>
      </c>
      <c r="D307" t="s">
        <v>71</v>
      </c>
      <c r="E307" t="s">
        <v>73</v>
      </c>
      <c r="F307" t="s">
        <v>71</v>
      </c>
      <c r="G307" t="s">
        <v>86</v>
      </c>
      <c r="H307">
        <v>24</v>
      </c>
      <c r="I307" t="b">
        <f>AND(COUNTIF('NO2'!A:A,A307)&gt;0,COUNTIF('O3'!A:A,A307)&gt;0,COUNTIF('PM10'!A:A,A307)&gt;0,COUNTIF('PM2.5'!A:A,A307)&gt;0,COUNTIF('SO2'!A:A,A307)&gt;0)</f>
        <v>1</v>
      </c>
    </row>
    <row r="308" spans="1:9" x14ac:dyDescent="0.45">
      <c r="A308" s="4">
        <v>45699</v>
      </c>
      <c r="B308" t="s">
        <v>53</v>
      </c>
      <c r="C308" t="s">
        <v>232</v>
      </c>
      <c r="D308" t="s">
        <v>232</v>
      </c>
      <c r="E308" t="s">
        <v>53</v>
      </c>
      <c r="F308" t="s">
        <v>232</v>
      </c>
      <c r="G308" t="s">
        <v>24</v>
      </c>
      <c r="H308">
        <v>24</v>
      </c>
      <c r="I308" t="b">
        <f>AND(COUNTIF('NO2'!A:A,A308)&gt;0,COUNTIF('O3'!A:A,A308)&gt;0,COUNTIF('PM10'!A:A,A308)&gt;0,COUNTIF('PM2.5'!A:A,A308)&gt;0,COUNTIF('SO2'!A:A,A308)&gt;0)</f>
        <v>1</v>
      </c>
    </row>
    <row r="309" spans="1:9" x14ac:dyDescent="0.45">
      <c r="A309" s="4">
        <v>45700</v>
      </c>
      <c r="B309" t="s">
        <v>232</v>
      </c>
      <c r="C309" t="s">
        <v>48</v>
      </c>
      <c r="D309" t="s">
        <v>232</v>
      </c>
      <c r="E309" t="s">
        <v>232</v>
      </c>
      <c r="F309" t="s">
        <v>48</v>
      </c>
      <c r="G309" t="s">
        <v>22</v>
      </c>
      <c r="H309">
        <v>24</v>
      </c>
      <c r="I309" t="b">
        <f>AND(COUNTIF('NO2'!A:A,A309)&gt;0,COUNTIF('O3'!A:A,A309)&gt;0,COUNTIF('PM10'!A:A,A309)&gt;0,COUNTIF('PM2.5'!A:A,A309)&gt;0,COUNTIF('SO2'!A:A,A309)&gt;0)</f>
        <v>1</v>
      </c>
    </row>
    <row r="310" spans="1:9" x14ac:dyDescent="0.45">
      <c r="A310" s="4">
        <v>45701</v>
      </c>
      <c r="B310" t="s">
        <v>232</v>
      </c>
      <c r="C310" t="s">
        <v>71</v>
      </c>
      <c r="D310" t="s">
        <v>48</v>
      </c>
      <c r="E310" t="s">
        <v>48</v>
      </c>
      <c r="F310" t="s">
        <v>48</v>
      </c>
      <c r="G310" t="s">
        <v>36</v>
      </c>
      <c r="H310">
        <v>24</v>
      </c>
      <c r="I310" t="b">
        <f>AND(COUNTIF('NO2'!A:A,A310)&gt;0,COUNTIF('O3'!A:A,A310)&gt;0,COUNTIF('PM10'!A:A,A310)&gt;0,COUNTIF('PM2.5'!A:A,A310)&gt;0,COUNTIF('SO2'!A:A,A310)&gt;0)</f>
        <v>1</v>
      </c>
    </row>
    <row r="311" spans="1:9" x14ac:dyDescent="0.45">
      <c r="A311" s="4">
        <v>45702</v>
      </c>
      <c r="B311" t="s">
        <v>60</v>
      </c>
      <c r="C311" t="s">
        <v>67</v>
      </c>
      <c r="D311" t="s">
        <v>204</v>
      </c>
      <c r="E311" t="s">
        <v>55</v>
      </c>
      <c r="F311" t="s">
        <v>67</v>
      </c>
      <c r="G311" t="s">
        <v>155</v>
      </c>
      <c r="H311">
        <v>24</v>
      </c>
      <c r="I311" t="b">
        <f>AND(COUNTIF('NO2'!A:A,A311)&gt;0,COUNTIF('O3'!A:A,A311)&gt;0,COUNTIF('PM10'!A:A,A311)&gt;0,COUNTIF('PM2.5'!A:A,A311)&gt;0,COUNTIF('SO2'!A:A,A311)&gt;0)</f>
        <v>1</v>
      </c>
    </row>
    <row r="312" spans="1:9" x14ac:dyDescent="0.45">
      <c r="A312" s="4">
        <v>45703</v>
      </c>
      <c r="B312" t="s">
        <v>59</v>
      </c>
      <c r="C312" t="s">
        <v>206</v>
      </c>
      <c r="D312" t="s">
        <v>52</v>
      </c>
      <c r="E312" t="s">
        <v>199</v>
      </c>
      <c r="F312" t="s">
        <v>52</v>
      </c>
      <c r="G312" t="s">
        <v>217</v>
      </c>
      <c r="H312">
        <v>24</v>
      </c>
      <c r="I312" t="b">
        <f>AND(COUNTIF('NO2'!A:A,A312)&gt;0,COUNTIF('O3'!A:A,A312)&gt;0,COUNTIF('PM10'!A:A,A312)&gt;0,COUNTIF('PM2.5'!A:A,A312)&gt;0,COUNTIF('SO2'!A:A,A312)&gt;0)</f>
        <v>1</v>
      </c>
    </row>
    <row r="313" spans="1:9" x14ac:dyDescent="0.45">
      <c r="A313" s="4">
        <v>45704</v>
      </c>
      <c r="B313" t="s">
        <v>53</v>
      </c>
      <c r="C313" t="s">
        <v>60</v>
      </c>
      <c r="D313" t="s">
        <v>199</v>
      </c>
      <c r="E313" t="s">
        <v>48</v>
      </c>
      <c r="F313" t="s">
        <v>199</v>
      </c>
      <c r="G313" t="s">
        <v>63</v>
      </c>
      <c r="H313">
        <v>24</v>
      </c>
      <c r="I313" t="b">
        <f>AND(COUNTIF('NO2'!A:A,A313)&gt;0,COUNTIF('O3'!A:A,A313)&gt;0,COUNTIF('PM10'!A:A,A313)&gt;0,COUNTIF('PM2.5'!A:A,A313)&gt;0,COUNTIF('SO2'!A:A,A313)&gt;0)</f>
        <v>1</v>
      </c>
    </row>
    <row r="314" spans="1:9" x14ac:dyDescent="0.45">
      <c r="A314" s="4">
        <v>45705</v>
      </c>
      <c r="B314" t="s">
        <v>53</v>
      </c>
      <c r="C314" t="s">
        <v>64</v>
      </c>
      <c r="D314" t="s">
        <v>53</v>
      </c>
      <c r="E314" t="s">
        <v>53</v>
      </c>
      <c r="F314" t="s">
        <v>199</v>
      </c>
      <c r="G314" t="s">
        <v>173</v>
      </c>
      <c r="H314">
        <v>24</v>
      </c>
      <c r="I314" t="b">
        <f>AND(COUNTIF('NO2'!A:A,A314)&gt;0,COUNTIF('O3'!A:A,A314)&gt;0,COUNTIF('PM10'!A:A,A314)&gt;0,COUNTIF('PM2.5'!A:A,A314)&gt;0,COUNTIF('SO2'!A:A,A314)&gt;0)</f>
        <v>1</v>
      </c>
    </row>
    <row r="315" spans="1:9" x14ac:dyDescent="0.45">
      <c r="A315" s="4">
        <v>45706</v>
      </c>
      <c r="B315" t="s">
        <v>64</v>
      </c>
      <c r="C315" t="s">
        <v>47</v>
      </c>
      <c r="D315" t="s">
        <v>58</v>
      </c>
      <c r="E315" t="s">
        <v>204</v>
      </c>
      <c r="F315" t="s">
        <v>233</v>
      </c>
      <c r="G315" t="s">
        <v>135</v>
      </c>
      <c r="H315">
        <v>24</v>
      </c>
      <c r="I315" t="b">
        <f>AND(COUNTIF('NO2'!A:A,A315)&gt;0,COUNTIF('O3'!A:A,A315)&gt;0,COUNTIF('PM10'!A:A,A315)&gt;0,COUNTIF('PM2.5'!A:A,A315)&gt;0,COUNTIF('SO2'!A:A,A315)&gt;0)</f>
        <v>1</v>
      </c>
    </row>
    <row r="316" spans="1:9" x14ac:dyDescent="0.45">
      <c r="A316" s="4">
        <v>45707</v>
      </c>
      <c r="B316" t="s">
        <v>60</v>
      </c>
      <c r="C316" t="s">
        <v>67</v>
      </c>
      <c r="D316" t="s">
        <v>51</v>
      </c>
      <c r="E316" t="s">
        <v>228</v>
      </c>
      <c r="F316" t="s">
        <v>234</v>
      </c>
      <c r="G316" t="s">
        <v>235</v>
      </c>
      <c r="H316">
        <v>24</v>
      </c>
      <c r="I316" t="b">
        <f>AND(COUNTIF('NO2'!A:A,A316)&gt;0,COUNTIF('O3'!A:A,A316)&gt;0,COUNTIF('PM10'!A:A,A316)&gt;0,COUNTIF('PM2.5'!A:A,A316)&gt;0,COUNTIF('SO2'!A:A,A316)&gt;0)</f>
        <v>1</v>
      </c>
    </row>
    <row r="317" spans="1:9" x14ac:dyDescent="0.45">
      <c r="A317" s="4">
        <v>45708</v>
      </c>
      <c r="B317" t="s">
        <v>227</v>
      </c>
      <c r="C317" t="s">
        <v>204</v>
      </c>
      <c r="D317" t="s">
        <v>204</v>
      </c>
      <c r="E317" t="s">
        <v>71</v>
      </c>
      <c r="F317" t="s">
        <v>204</v>
      </c>
      <c r="G317" t="s">
        <v>92</v>
      </c>
      <c r="H317">
        <v>24</v>
      </c>
      <c r="I317" t="b">
        <f>AND(COUNTIF('NO2'!A:A,A317)&gt;0,COUNTIF('O3'!A:A,A317)&gt;0,COUNTIF('PM10'!A:A,A317)&gt;0,COUNTIF('PM2.5'!A:A,A317)&gt;0,COUNTIF('SO2'!A:A,A317)&gt;0)</f>
        <v>1</v>
      </c>
    </row>
    <row r="318" spans="1:9" x14ac:dyDescent="0.45">
      <c r="A318" s="4">
        <v>45709</v>
      </c>
      <c r="B318" t="s">
        <v>73</v>
      </c>
      <c r="C318" t="s">
        <v>236</v>
      </c>
      <c r="D318" t="s">
        <v>227</v>
      </c>
      <c r="E318" t="s">
        <v>227</v>
      </c>
      <c r="F318" t="s">
        <v>234</v>
      </c>
      <c r="G318" t="s">
        <v>74</v>
      </c>
      <c r="H318">
        <v>23</v>
      </c>
      <c r="I318" t="b">
        <f>AND(COUNTIF('NO2'!A:A,A318)&gt;0,COUNTIF('O3'!A:A,A318)&gt;0,COUNTIF('PM10'!A:A,A318)&gt;0,COUNTIF('PM2.5'!A:A,A318)&gt;0,COUNTIF('SO2'!A:A,A318)&gt;0)</f>
        <v>1</v>
      </c>
    </row>
    <row r="319" spans="1:9" x14ac:dyDescent="0.45">
      <c r="A319" s="4">
        <v>45710</v>
      </c>
      <c r="B319" t="s">
        <v>227</v>
      </c>
      <c r="C319" t="s">
        <v>69</v>
      </c>
      <c r="D319" t="s">
        <v>196</v>
      </c>
      <c r="E319" t="s">
        <v>59</v>
      </c>
      <c r="F319" t="s">
        <v>77</v>
      </c>
      <c r="G319" t="s">
        <v>237</v>
      </c>
      <c r="H319">
        <v>19</v>
      </c>
      <c r="I319" t="b">
        <f>AND(COUNTIF('NO2'!A:A,A319)&gt;0,COUNTIF('O3'!A:A,A319)&gt;0,COUNTIF('PM10'!A:A,A319)&gt;0,COUNTIF('PM2.5'!A:A,A319)&gt;0,COUNTIF('SO2'!A:A,A319)&gt;0)</f>
        <v>1</v>
      </c>
    </row>
    <row r="320" spans="1:9" x14ac:dyDescent="0.45">
      <c r="A320" s="4">
        <v>45722</v>
      </c>
      <c r="B320" t="s">
        <v>59</v>
      </c>
      <c r="C320" t="s">
        <v>233</v>
      </c>
      <c r="D320" t="s">
        <v>204</v>
      </c>
      <c r="E320" t="s">
        <v>59</v>
      </c>
      <c r="F320" t="s">
        <v>206</v>
      </c>
      <c r="G320" t="s">
        <v>177</v>
      </c>
      <c r="H320">
        <v>6</v>
      </c>
      <c r="I320" t="b">
        <f>AND(COUNTIF('NO2'!A:A,A320)&gt;0,COUNTIF('O3'!A:A,A320)&gt;0,COUNTIF('PM10'!A:A,A320)&gt;0,COUNTIF('PM2.5'!A:A,A320)&gt;0,COUNTIF('SO2'!A:A,A320)&gt;0)</f>
        <v>1</v>
      </c>
    </row>
    <row r="321" spans="1:9" x14ac:dyDescent="0.45">
      <c r="A321" s="4">
        <v>45723</v>
      </c>
      <c r="B321" t="s">
        <v>174</v>
      </c>
      <c r="C321" t="s">
        <v>136</v>
      </c>
      <c r="D321" t="s">
        <v>162</v>
      </c>
      <c r="E321" t="s">
        <v>163</v>
      </c>
      <c r="F321" t="s">
        <v>136</v>
      </c>
      <c r="G321" t="s">
        <v>23</v>
      </c>
      <c r="H321">
        <v>5</v>
      </c>
      <c r="I321" t="b">
        <f>AND(COUNTIF('NO2'!A:A,A321)&gt;0,COUNTIF('O3'!A:A,A321)&gt;0,COUNTIF('PM10'!A:A,A321)&gt;0,COUNTIF('PM2.5'!A:A,A321)&gt;0,COUNTIF('SO2'!A:A,A321)&gt;0)</f>
        <v>1</v>
      </c>
    </row>
    <row r="322" spans="1:9" x14ac:dyDescent="0.45">
      <c r="A322" s="4">
        <v>45724</v>
      </c>
      <c r="B322">
        <v>1</v>
      </c>
      <c r="C322" t="s">
        <v>161</v>
      </c>
      <c r="D322" t="s">
        <v>156</v>
      </c>
      <c r="E322" t="s">
        <v>150</v>
      </c>
      <c r="F322" t="s">
        <v>159</v>
      </c>
      <c r="G322" t="s">
        <v>238</v>
      </c>
      <c r="H322">
        <v>24</v>
      </c>
      <c r="I322" t="b">
        <f>AND(COUNTIF('NO2'!A:A,A322)&gt;0,COUNTIF('O3'!A:A,A322)&gt;0,COUNTIF('PM10'!A:A,A322)&gt;0,COUNTIF('PM2.5'!A:A,A322)&gt;0,COUNTIF('SO2'!A:A,A322)&gt;0)</f>
        <v>1</v>
      </c>
    </row>
    <row r="323" spans="1:9" x14ac:dyDescent="0.45">
      <c r="A323" s="4">
        <v>45725</v>
      </c>
      <c r="B323" t="s">
        <v>109</v>
      </c>
      <c r="C323" t="s">
        <v>112</v>
      </c>
      <c r="D323" t="s">
        <v>101</v>
      </c>
      <c r="E323" t="s">
        <v>208</v>
      </c>
      <c r="F323" t="s">
        <v>105</v>
      </c>
      <c r="G323" t="s">
        <v>86</v>
      </c>
      <c r="H323">
        <v>24</v>
      </c>
      <c r="I323" t="b">
        <f>AND(COUNTIF('NO2'!A:A,A323)&gt;0,COUNTIF('O3'!A:A,A323)&gt;0,COUNTIF('PM10'!A:A,A323)&gt;0,COUNTIF('PM2.5'!A:A,A323)&gt;0,COUNTIF('SO2'!A:A,A323)&gt;0)</f>
        <v>1</v>
      </c>
    </row>
    <row r="324" spans="1:9" x14ac:dyDescent="0.45">
      <c r="A324" s="4">
        <v>45726</v>
      </c>
      <c r="B324" t="s">
        <v>143</v>
      </c>
      <c r="C324" t="s">
        <v>130</v>
      </c>
      <c r="D324" t="s">
        <v>151</v>
      </c>
      <c r="E324" t="s">
        <v>168</v>
      </c>
      <c r="F324" t="s">
        <v>149</v>
      </c>
      <c r="G324" t="s">
        <v>177</v>
      </c>
      <c r="H324">
        <v>24</v>
      </c>
      <c r="I324" t="b">
        <f>AND(COUNTIF('NO2'!A:A,A324)&gt;0,COUNTIF('O3'!A:A,A324)&gt;0,COUNTIF('PM10'!A:A,A324)&gt;0,COUNTIF('PM2.5'!A:A,A324)&gt;0,COUNTIF('SO2'!A:A,A324)&gt;0)</f>
        <v>1</v>
      </c>
    </row>
    <row r="325" spans="1:9" x14ac:dyDescent="0.45">
      <c r="A325" s="4">
        <v>45727</v>
      </c>
      <c r="B325" t="s">
        <v>151</v>
      </c>
      <c r="C325" t="s">
        <v>152</v>
      </c>
      <c r="D325" t="s">
        <v>146</v>
      </c>
      <c r="E325" t="s">
        <v>110</v>
      </c>
      <c r="F325" t="s">
        <v>152</v>
      </c>
      <c r="G325" t="s">
        <v>166</v>
      </c>
      <c r="H325">
        <v>24</v>
      </c>
      <c r="I325" t="b">
        <f>AND(COUNTIF('NO2'!A:A,A325)&gt;0,COUNTIF('O3'!A:A,A325)&gt;0,COUNTIF('PM10'!A:A,A325)&gt;0,COUNTIF('PM2.5'!A:A,A325)&gt;0,COUNTIF('SO2'!A:A,A325)&gt;0)</f>
        <v>1</v>
      </c>
    </row>
    <row r="326" spans="1:9" x14ac:dyDescent="0.45">
      <c r="A326" s="4">
        <v>45728</v>
      </c>
      <c r="B326" t="s">
        <v>111</v>
      </c>
      <c r="C326" t="s">
        <v>239</v>
      </c>
      <c r="D326" t="s">
        <v>137</v>
      </c>
      <c r="E326" t="s">
        <v>110</v>
      </c>
      <c r="F326" t="s">
        <v>117</v>
      </c>
      <c r="G326" t="s">
        <v>240</v>
      </c>
      <c r="H326">
        <v>24</v>
      </c>
      <c r="I326" t="b">
        <f>AND(COUNTIF('NO2'!A:A,A326)&gt;0,COUNTIF('O3'!A:A,A326)&gt;0,COUNTIF('PM10'!A:A,A326)&gt;0,COUNTIF('PM2.5'!A:A,A326)&gt;0,COUNTIF('SO2'!A:A,A326)&gt;0)</f>
        <v>1</v>
      </c>
    </row>
    <row r="327" spans="1:9" x14ac:dyDescent="0.45">
      <c r="A327" s="4">
        <v>45729</v>
      </c>
      <c r="B327" t="s">
        <v>146</v>
      </c>
      <c r="C327" t="s">
        <v>213</v>
      </c>
      <c r="D327" t="s">
        <v>241</v>
      </c>
      <c r="E327" t="s">
        <v>127</v>
      </c>
      <c r="F327" t="s">
        <v>216</v>
      </c>
      <c r="G327" t="s">
        <v>242</v>
      </c>
      <c r="H327">
        <v>24</v>
      </c>
      <c r="I327" t="b">
        <f>AND(COUNTIF('NO2'!A:A,A327)&gt;0,COUNTIF('O3'!A:A,A327)&gt;0,COUNTIF('PM10'!A:A,A327)&gt;0,COUNTIF('PM2.5'!A:A,A327)&gt;0,COUNTIF('SO2'!A:A,A327)&gt;0)</f>
        <v>1</v>
      </c>
    </row>
    <row r="328" spans="1:9" x14ac:dyDescent="0.45">
      <c r="A328" s="4">
        <v>45730</v>
      </c>
      <c r="B328" t="s">
        <v>111</v>
      </c>
      <c r="C328" t="s">
        <v>146</v>
      </c>
      <c r="D328" t="s">
        <v>137</v>
      </c>
      <c r="E328" t="s">
        <v>140</v>
      </c>
      <c r="F328" t="s">
        <v>137</v>
      </c>
      <c r="G328" t="s">
        <v>179</v>
      </c>
      <c r="H328">
        <v>24</v>
      </c>
      <c r="I328" t="b">
        <f>AND(COUNTIF('NO2'!A:A,A328)&gt;0,COUNTIF('O3'!A:A,A328)&gt;0,COUNTIF('PM10'!A:A,A328)&gt;0,COUNTIF('PM2.5'!A:A,A328)&gt;0,COUNTIF('SO2'!A:A,A328)&gt;0)</f>
        <v>1</v>
      </c>
    </row>
    <row r="329" spans="1:9" x14ac:dyDescent="0.45">
      <c r="A329" s="4">
        <v>45731</v>
      </c>
      <c r="B329" t="s">
        <v>107</v>
      </c>
      <c r="C329" t="s">
        <v>111</v>
      </c>
      <c r="D329" t="s">
        <v>151</v>
      </c>
      <c r="E329" t="s">
        <v>105</v>
      </c>
      <c r="F329" t="s">
        <v>150</v>
      </c>
      <c r="G329" t="s">
        <v>232</v>
      </c>
      <c r="H329">
        <v>24</v>
      </c>
      <c r="I329" t="b">
        <f>AND(COUNTIF('NO2'!A:A,A329)&gt;0,COUNTIF('O3'!A:A,A329)&gt;0,COUNTIF('PM10'!A:A,A329)&gt;0,COUNTIF('PM2.5'!A:A,A329)&gt;0,COUNTIF('SO2'!A:A,A329)&gt;0)</f>
        <v>1</v>
      </c>
    </row>
    <row r="330" spans="1:9" x14ac:dyDescent="0.45">
      <c r="A330" s="4">
        <v>45732</v>
      </c>
      <c r="B330" t="s">
        <v>126</v>
      </c>
      <c r="C330" t="s">
        <v>107</v>
      </c>
      <c r="D330" t="s">
        <v>185</v>
      </c>
      <c r="E330" t="s">
        <v>126</v>
      </c>
      <c r="F330" t="s">
        <v>96</v>
      </c>
      <c r="G330" t="s">
        <v>192</v>
      </c>
      <c r="H330">
        <v>24</v>
      </c>
      <c r="I330" t="b">
        <f>AND(COUNTIF('NO2'!A:A,A330)&gt;0,COUNTIF('O3'!A:A,A330)&gt;0,COUNTIF('PM10'!A:A,A330)&gt;0,COUNTIF('PM2.5'!A:A,A330)&gt;0,COUNTIF('SO2'!A:A,A330)&gt;0)</f>
        <v>1</v>
      </c>
    </row>
    <row r="331" spans="1:9" x14ac:dyDescent="0.45">
      <c r="A331" s="4">
        <v>45733</v>
      </c>
      <c r="B331" t="s">
        <v>200</v>
      </c>
      <c r="C331" t="s">
        <v>139</v>
      </c>
      <c r="D331" t="s">
        <v>96</v>
      </c>
      <c r="E331" t="s">
        <v>185</v>
      </c>
      <c r="F331" t="s">
        <v>139</v>
      </c>
      <c r="G331" t="s">
        <v>179</v>
      </c>
      <c r="H331">
        <v>24</v>
      </c>
      <c r="I331" t="b">
        <f>AND(COUNTIF('NO2'!A:A,A331)&gt;0,COUNTIF('O3'!A:A,A331)&gt;0,COUNTIF('PM10'!A:A,A331)&gt;0,COUNTIF('PM2.5'!A:A,A331)&gt;0,COUNTIF('SO2'!A:A,A331)&gt;0)</f>
        <v>1</v>
      </c>
    </row>
    <row r="332" spans="1:9" x14ac:dyDescent="0.45">
      <c r="A332" s="4">
        <v>45734</v>
      </c>
      <c r="B332" t="s">
        <v>200</v>
      </c>
      <c r="C332" t="s">
        <v>202</v>
      </c>
      <c r="D332" t="s">
        <v>88</v>
      </c>
      <c r="E332" t="s">
        <v>88</v>
      </c>
      <c r="F332" t="s">
        <v>102</v>
      </c>
      <c r="G332" t="s">
        <v>100</v>
      </c>
      <c r="H332">
        <v>24</v>
      </c>
      <c r="I332" t="b">
        <f>AND(COUNTIF('NO2'!A:A,A332)&gt;0,COUNTIF('O3'!A:A,A332)&gt;0,COUNTIF('PM10'!A:A,A332)&gt;0,COUNTIF('PM2.5'!A:A,A332)&gt;0,COUNTIF('SO2'!A:A,A332)&gt;0)</f>
        <v>1</v>
      </c>
    </row>
    <row r="333" spans="1:9" x14ac:dyDescent="0.45">
      <c r="A333" s="4">
        <v>45735</v>
      </c>
      <c r="B333" t="s">
        <v>185</v>
      </c>
      <c r="C333" t="s">
        <v>101</v>
      </c>
      <c r="D333" t="s">
        <v>201</v>
      </c>
      <c r="E333" t="s">
        <v>202</v>
      </c>
      <c r="F333" t="s">
        <v>208</v>
      </c>
      <c r="G333" t="s">
        <v>180</v>
      </c>
      <c r="H333">
        <v>24</v>
      </c>
      <c r="I333" t="b">
        <f>AND(COUNTIF('NO2'!A:A,A333)&gt;0,COUNTIF('O3'!A:A,A333)&gt;0,COUNTIF('PM10'!A:A,A333)&gt;0,COUNTIF('PM2.5'!A:A,A333)&gt;0,COUNTIF('SO2'!A:A,A333)&gt;0)</f>
        <v>1</v>
      </c>
    </row>
    <row r="334" spans="1:9" x14ac:dyDescent="0.45">
      <c r="A334" s="4">
        <v>45736</v>
      </c>
      <c r="B334" t="s">
        <v>102</v>
      </c>
      <c r="C334" t="s">
        <v>101</v>
      </c>
      <c r="D334" t="s">
        <v>107</v>
      </c>
      <c r="E334" t="s">
        <v>202</v>
      </c>
      <c r="F334" t="s">
        <v>208</v>
      </c>
      <c r="G334" t="s">
        <v>180</v>
      </c>
      <c r="H334">
        <v>24</v>
      </c>
      <c r="I334" t="b">
        <f>AND(COUNTIF('NO2'!A:A,A334)&gt;0,COUNTIF('O3'!A:A,A334)&gt;0,COUNTIF('PM10'!A:A,A334)&gt;0,COUNTIF('PM2.5'!A:A,A334)&gt;0,COUNTIF('SO2'!A:A,A334)&gt;0)</f>
        <v>1</v>
      </c>
    </row>
    <row r="335" spans="1:9" x14ac:dyDescent="0.45">
      <c r="A335" s="4">
        <v>45737</v>
      </c>
      <c r="B335" t="s">
        <v>185</v>
      </c>
      <c r="C335" t="s">
        <v>101</v>
      </c>
      <c r="D335" t="s">
        <v>202</v>
      </c>
      <c r="E335" t="s">
        <v>102</v>
      </c>
      <c r="F335" t="s">
        <v>201</v>
      </c>
      <c r="G335" t="s">
        <v>165</v>
      </c>
      <c r="H335">
        <v>23</v>
      </c>
      <c r="I335" t="b">
        <f>AND(COUNTIF('NO2'!A:A,A335)&gt;0,COUNTIF('O3'!A:A,A335)&gt;0,COUNTIF('PM10'!A:A,A335)&gt;0,COUNTIF('PM2.5'!A:A,A335)&gt;0,COUNTIF('SO2'!A:A,A335)&gt;0)</f>
        <v>1</v>
      </c>
    </row>
    <row r="336" spans="1:9" x14ac:dyDescent="0.45">
      <c r="A336" s="4">
        <v>45738</v>
      </c>
      <c r="B336" t="s">
        <v>107</v>
      </c>
      <c r="C336" t="s">
        <v>104</v>
      </c>
      <c r="D336" t="s">
        <v>105</v>
      </c>
      <c r="E336" t="s">
        <v>101</v>
      </c>
      <c r="F336">
        <v>1</v>
      </c>
      <c r="G336" t="s">
        <v>178</v>
      </c>
      <c r="H336">
        <v>24</v>
      </c>
      <c r="I336" t="b">
        <f>AND(COUNTIF('NO2'!A:A,A336)&gt;0,COUNTIF('O3'!A:A,A336)&gt;0,COUNTIF('PM10'!A:A,A336)&gt;0,COUNTIF('PM2.5'!A:A,A336)&gt;0,COUNTIF('SO2'!A:A,A336)&gt;0)</f>
        <v>1</v>
      </c>
    </row>
    <row r="337" spans="1:9" x14ac:dyDescent="0.45">
      <c r="A337" s="4">
        <v>45739</v>
      </c>
      <c r="B337" t="s">
        <v>139</v>
      </c>
      <c r="C337" t="s">
        <v>109</v>
      </c>
      <c r="D337" t="s">
        <v>201</v>
      </c>
      <c r="E337" t="s">
        <v>201</v>
      </c>
      <c r="F337" t="s">
        <v>107</v>
      </c>
      <c r="G337" t="s">
        <v>16</v>
      </c>
      <c r="H337">
        <v>24</v>
      </c>
      <c r="I337" t="b">
        <f>AND(COUNTIF('NO2'!A:A,A337)&gt;0,COUNTIF('O3'!A:A,A337)&gt;0,COUNTIF('PM10'!A:A,A337)&gt;0,COUNTIF('PM2.5'!A:A,A337)&gt;0,COUNTIF('SO2'!A:A,A337)&gt;0)</f>
        <v>1</v>
      </c>
    </row>
    <row r="338" spans="1:9" x14ac:dyDescent="0.45">
      <c r="A338" s="4">
        <v>45740</v>
      </c>
      <c r="B338" t="s">
        <v>202</v>
      </c>
      <c r="C338" t="s">
        <v>107</v>
      </c>
      <c r="D338" t="s">
        <v>201</v>
      </c>
      <c r="E338" t="s">
        <v>139</v>
      </c>
      <c r="F338" t="s">
        <v>201</v>
      </c>
      <c r="G338" t="s">
        <v>38</v>
      </c>
      <c r="H338">
        <v>23</v>
      </c>
      <c r="I338" t="b">
        <f>AND(COUNTIF('NO2'!A:A,A338)&gt;0,COUNTIF('O3'!A:A,A338)&gt;0,COUNTIF('PM10'!A:A,A338)&gt;0,COUNTIF('PM2.5'!A:A,A338)&gt;0,COUNTIF('SO2'!A:A,A338)&gt;0)</f>
        <v>1</v>
      </c>
    </row>
    <row r="339" spans="1:9" x14ac:dyDescent="0.45">
      <c r="A339" s="4">
        <v>45741</v>
      </c>
      <c r="B339" t="s">
        <v>202</v>
      </c>
      <c r="C339" t="s">
        <v>139</v>
      </c>
      <c r="D339" t="s">
        <v>202</v>
      </c>
      <c r="E339" t="s">
        <v>202</v>
      </c>
      <c r="F339" t="s">
        <v>202</v>
      </c>
      <c r="G339" t="s">
        <v>141</v>
      </c>
      <c r="H339">
        <v>24</v>
      </c>
      <c r="I339" t="b">
        <f>AND(COUNTIF('NO2'!A:A,A339)&gt;0,COUNTIF('O3'!A:A,A339)&gt;0,COUNTIF('PM10'!A:A,A339)&gt;0,COUNTIF('PM2.5'!A:A,A339)&gt;0,COUNTIF('SO2'!A:A,A339)&gt;0)</f>
        <v>1</v>
      </c>
    </row>
    <row r="340" spans="1:9" x14ac:dyDescent="0.45">
      <c r="A340" s="4">
        <v>45742</v>
      </c>
      <c r="B340" t="s">
        <v>202</v>
      </c>
      <c r="C340" t="s">
        <v>201</v>
      </c>
      <c r="D340" t="s">
        <v>202</v>
      </c>
      <c r="E340" t="s">
        <v>202</v>
      </c>
      <c r="F340" t="s">
        <v>201</v>
      </c>
      <c r="G340" t="s">
        <v>38</v>
      </c>
      <c r="H340">
        <v>24</v>
      </c>
      <c r="I340" t="b">
        <f>AND(COUNTIF('NO2'!A:A,A340)&gt;0,COUNTIF('O3'!A:A,A340)&gt;0,COUNTIF('PM10'!A:A,A340)&gt;0,COUNTIF('PM2.5'!A:A,A340)&gt;0,COUNTIF('SO2'!A:A,A340)&gt;0)</f>
        <v>1</v>
      </c>
    </row>
    <row r="341" spans="1:9" x14ac:dyDescent="0.45">
      <c r="A341" s="4">
        <v>45743</v>
      </c>
      <c r="B341" t="s">
        <v>96</v>
      </c>
      <c r="C341" t="s">
        <v>139</v>
      </c>
      <c r="D341" t="s">
        <v>202</v>
      </c>
      <c r="E341" t="s">
        <v>96</v>
      </c>
      <c r="F341" t="s">
        <v>139</v>
      </c>
      <c r="G341" t="s">
        <v>24</v>
      </c>
      <c r="H341">
        <v>9</v>
      </c>
      <c r="I341" t="b">
        <f>AND(COUNTIF('NO2'!A:A,A341)&gt;0,COUNTIF('O3'!A:A,A341)&gt;0,COUNTIF('PM10'!A:A,A341)&gt;0,COUNTIF('PM2.5'!A:A,A341)&gt;0,COUNTIF('SO2'!A:A,A341)&gt;0)</f>
        <v>1</v>
      </c>
    </row>
    <row r="342" spans="1:9" x14ac:dyDescent="0.45">
      <c r="A342" s="4">
        <v>45744</v>
      </c>
      <c r="B342" t="s">
        <v>88</v>
      </c>
      <c r="C342" t="s">
        <v>96</v>
      </c>
      <c r="D342" t="s">
        <v>102</v>
      </c>
      <c r="E342" t="s">
        <v>88</v>
      </c>
      <c r="F342" t="s">
        <v>102</v>
      </c>
      <c r="G342" t="s">
        <v>38</v>
      </c>
      <c r="H342">
        <v>19</v>
      </c>
      <c r="I342" t="b">
        <f>AND(COUNTIF('NO2'!A:A,A342)&gt;0,COUNTIF('O3'!A:A,A342)&gt;0,COUNTIF('PM10'!A:A,A342)&gt;0,COUNTIF('PM2.5'!A:A,A342)&gt;0,COUNTIF('SO2'!A:A,A342)&gt;0)</f>
        <v>1</v>
      </c>
    </row>
    <row r="343" spans="1:9" x14ac:dyDescent="0.45">
      <c r="A343" s="4">
        <v>45745</v>
      </c>
      <c r="B343" t="s">
        <v>88</v>
      </c>
      <c r="C343" t="s">
        <v>96</v>
      </c>
      <c r="D343" t="s">
        <v>185</v>
      </c>
      <c r="E343" t="s">
        <v>88</v>
      </c>
      <c r="F343" t="s">
        <v>96</v>
      </c>
      <c r="G343" t="s">
        <v>85</v>
      </c>
      <c r="H343">
        <v>24</v>
      </c>
      <c r="I343" t="b">
        <f>AND(COUNTIF('NO2'!A:A,A343)&gt;0,COUNTIF('O3'!A:A,A343)&gt;0,COUNTIF('PM10'!A:A,A343)&gt;0,COUNTIF('PM2.5'!A:A,A343)&gt;0,COUNTIF('SO2'!A:A,A343)&gt;0)</f>
        <v>1</v>
      </c>
    </row>
    <row r="344" spans="1:9" x14ac:dyDescent="0.45">
      <c r="A344" s="4">
        <v>45746</v>
      </c>
      <c r="B344" t="s">
        <v>88</v>
      </c>
      <c r="C344" t="s">
        <v>96</v>
      </c>
      <c r="D344" t="s">
        <v>96</v>
      </c>
      <c r="E344" t="s">
        <v>102</v>
      </c>
      <c r="F344" t="s">
        <v>96</v>
      </c>
      <c r="G344" t="s">
        <v>17</v>
      </c>
      <c r="H344">
        <v>24</v>
      </c>
      <c r="I344" t="b">
        <f>AND(COUNTIF('NO2'!A:A,A344)&gt;0,COUNTIF('O3'!A:A,A344)&gt;0,COUNTIF('PM10'!A:A,A344)&gt;0,COUNTIF('PM2.5'!A:A,A344)&gt;0,COUNTIF('SO2'!A:A,A344)&gt;0)</f>
        <v>1</v>
      </c>
    </row>
    <row r="345" spans="1:9" x14ac:dyDescent="0.45">
      <c r="A345" s="4">
        <v>45747</v>
      </c>
      <c r="B345" t="s">
        <v>185</v>
      </c>
      <c r="C345" t="s">
        <v>96</v>
      </c>
      <c r="D345" t="s">
        <v>102</v>
      </c>
      <c r="E345" t="s">
        <v>102</v>
      </c>
      <c r="F345" t="s">
        <v>96</v>
      </c>
      <c r="G345" t="s">
        <v>33</v>
      </c>
      <c r="H345">
        <v>22</v>
      </c>
      <c r="I345" t="b">
        <f>AND(COUNTIF('NO2'!A:A,A345)&gt;0,COUNTIF('O3'!A:A,A345)&gt;0,COUNTIF('PM10'!A:A,A345)&gt;0,COUNTIF('PM2.5'!A:A,A345)&gt;0,COUNTIF('SO2'!A:A,A345)&gt;0)</f>
        <v>1</v>
      </c>
    </row>
    <row r="346" spans="1:9" x14ac:dyDescent="0.45">
      <c r="A346" s="4">
        <v>45748</v>
      </c>
      <c r="B346" t="s">
        <v>96</v>
      </c>
      <c r="C346" t="s">
        <v>96</v>
      </c>
      <c r="D346" t="s">
        <v>96</v>
      </c>
      <c r="E346" t="s">
        <v>96</v>
      </c>
      <c r="F346" t="s">
        <v>96</v>
      </c>
      <c r="G346" t="s">
        <v>141</v>
      </c>
      <c r="H346">
        <v>4</v>
      </c>
      <c r="I346" t="b">
        <f>AND(COUNTIF('NO2'!A:A,A346)&gt;0,COUNTIF('O3'!A:A,A346)&gt;0,COUNTIF('PM10'!A:A,A346)&gt;0,COUNTIF('PM2.5'!A:A,A346)&gt;0,COUNTIF('SO2'!A:A,A346)&gt;0)</f>
        <v>1</v>
      </c>
    </row>
    <row r="347" spans="1:9" x14ac:dyDescent="0.45">
      <c r="A347" s="4">
        <v>45755</v>
      </c>
      <c r="B347" t="s">
        <v>149</v>
      </c>
      <c r="C347" t="s">
        <v>149</v>
      </c>
      <c r="D347" t="s">
        <v>149</v>
      </c>
      <c r="E347" t="s">
        <v>149</v>
      </c>
      <c r="F347" t="s">
        <v>149</v>
      </c>
      <c r="G347" t="s">
        <v>56</v>
      </c>
      <c r="H347">
        <v>2</v>
      </c>
      <c r="I347" t="b">
        <f>AND(COUNTIF('NO2'!A:A,A347)&gt;0,COUNTIF('O3'!A:A,A347)&gt;0,COUNTIF('PM10'!A:A,A347)&gt;0,COUNTIF('PM2.5'!A:A,A347)&gt;0,COUNTIF('SO2'!A:A,A347)&gt;0)</f>
        <v>1</v>
      </c>
    </row>
    <row r="348" spans="1:9" x14ac:dyDescent="0.45">
      <c r="A348" s="4">
        <v>45756</v>
      </c>
      <c r="B348" t="s">
        <v>149</v>
      </c>
      <c r="C348" t="s">
        <v>148</v>
      </c>
      <c r="D348" t="s">
        <v>149</v>
      </c>
      <c r="E348" t="s">
        <v>149</v>
      </c>
      <c r="F348" t="s">
        <v>148</v>
      </c>
      <c r="G348" t="s">
        <v>22</v>
      </c>
      <c r="H348">
        <v>24</v>
      </c>
      <c r="I348" t="b">
        <f>AND(COUNTIF('NO2'!A:A,A348)&gt;0,COUNTIF('O3'!A:A,A348)&gt;0,COUNTIF('PM10'!A:A,A348)&gt;0,COUNTIF('PM2.5'!A:A,A348)&gt;0,COUNTIF('SO2'!A:A,A348)&gt;0)</f>
        <v>1</v>
      </c>
    </row>
    <row r="349" spans="1:9" x14ac:dyDescent="0.45">
      <c r="A349" s="4">
        <v>45757</v>
      </c>
      <c r="B349" t="s">
        <v>148</v>
      </c>
      <c r="C349" t="s">
        <v>146</v>
      </c>
      <c r="D349" t="s">
        <v>147</v>
      </c>
      <c r="E349" t="s">
        <v>147</v>
      </c>
      <c r="F349" t="s">
        <v>146</v>
      </c>
      <c r="G349" t="s">
        <v>24</v>
      </c>
      <c r="H349">
        <v>17</v>
      </c>
      <c r="I349" t="b">
        <f>AND(COUNTIF('NO2'!A:A,A349)&gt;0,COUNTIF('O3'!A:A,A349)&gt;0,COUNTIF('PM10'!A:A,A349)&gt;0,COUNTIF('PM2.5'!A:A,A349)&gt;0,COUNTIF('SO2'!A:A,A349)&gt;0)</f>
        <v>1</v>
      </c>
    </row>
    <row r="350" spans="1:9" x14ac:dyDescent="0.45">
      <c r="A350" s="4">
        <v>45759</v>
      </c>
      <c r="B350" t="s">
        <v>137</v>
      </c>
      <c r="C350" t="s">
        <v>145</v>
      </c>
      <c r="D350" t="s">
        <v>145</v>
      </c>
      <c r="E350" t="s">
        <v>137</v>
      </c>
      <c r="F350" t="s">
        <v>145</v>
      </c>
      <c r="G350" t="s">
        <v>33</v>
      </c>
      <c r="H350">
        <v>23</v>
      </c>
      <c r="I350" t="b">
        <f>AND(COUNTIF('NO2'!A:A,A350)&gt;0,COUNTIF('O3'!A:A,A350)&gt;0,COUNTIF('PM10'!A:A,A350)&gt;0,COUNTIF('PM2.5'!A:A,A350)&gt;0,COUNTIF('SO2'!A:A,A350)&gt;0)</f>
        <v>1</v>
      </c>
    </row>
    <row r="351" spans="1:9" x14ac:dyDescent="0.45">
      <c r="A351" s="4">
        <v>45760</v>
      </c>
      <c r="B351" t="s">
        <v>140</v>
      </c>
      <c r="C351" t="s">
        <v>137</v>
      </c>
      <c r="D351" t="s">
        <v>140</v>
      </c>
      <c r="E351" t="s">
        <v>140</v>
      </c>
      <c r="F351" t="s">
        <v>137</v>
      </c>
      <c r="G351" t="s">
        <v>22</v>
      </c>
      <c r="H351">
        <v>24</v>
      </c>
      <c r="I351" t="b">
        <f>AND(COUNTIF('NO2'!A:A,A351)&gt;0,COUNTIF('O3'!A:A,A351)&gt;0,COUNTIF('PM10'!A:A,A351)&gt;0,COUNTIF('PM2.5'!A:A,A351)&gt;0,COUNTIF('SO2'!A:A,A351)&gt;0)</f>
        <v>1</v>
      </c>
    </row>
    <row r="352" spans="1:9" x14ac:dyDescent="0.45">
      <c r="A352" s="4">
        <v>45761</v>
      </c>
      <c r="B352" t="s">
        <v>140</v>
      </c>
      <c r="C352" t="s">
        <v>145</v>
      </c>
      <c r="D352" t="s">
        <v>137</v>
      </c>
      <c r="E352" t="s">
        <v>137</v>
      </c>
      <c r="F352" t="s">
        <v>145</v>
      </c>
      <c r="G352" t="s">
        <v>38</v>
      </c>
      <c r="H352">
        <v>24</v>
      </c>
      <c r="I352" t="b">
        <f>AND(COUNTIF('NO2'!A:A,A352)&gt;0,COUNTIF('O3'!A:A,A352)&gt;0,COUNTIF('PM10'!A:A,A352)&gt;0,COUNTIF('PM2.5'!A:A,A352)&gt;0,COUNTIF('SO2'!A:A,A352)&gt;0)</f>
        <v>1</v>
      </c>
    </row>
    <row r="353" spans="1:9" x14ac:dyDescent="0.45">
      <c r="A353" s="4">
        <v>45762</v>
      </c>
      <c r="B353" t="s">
        <v>137</v>
      </c>
      <c r="C353" t="s">
        <v>149</v>
      </c>
      <c r="D353" t="s">
        <v>145</v>
      </c>
      <c r="E353" t="s">
        <v>145</v>
      </c>
      <c r="F353" t="s">
        <v>145</v>
      </c>
      <c r="G353" t="s">
        <v>33</v>
      </c>
      <c r="H353">
        <v>24</v>
      </c>
      <c r="I353" t="b">
        <f>AND(COUNTIF('NO2'!A:A,A353)&gt;0,COUNTIF('O3'!A:A,A353)&gt;0,COUNTIF('PM10'!A:A,A353)&gt;0,COUNTIF('PM2.5'!A:A,A353)&gt;0,COUNTIF('SO2'!A:A,A353)&gt;0)</f>
        <v>1</v>
      </c>
    </row>
    <row r="354" spans="1:9" x14ac:dyDescent="0.45">
      <c r="A354" s="4">
        <v>45763</v>
      </c>
      <c r="B354" t="s">
        <v>137</v>
      </c>
      <c r="C354" t="s">
        <v>137</v>
      </c>
      <c r="D354" t="s">
        <v>137</v>
      </c>
      <c r="E354" t="s">
        <v>137</v>
      </c>
      <c r="F354" t="s">
        <v>137</v>
      </c>
      <c r="G354" t="s">
        <v>22</v>
      </c>
      <c r="H354">
        <v>13</v>
      </c>
      <c r="I354" t="b">
        <f>AND(COUNTIF('NO2'!A:A,A354)&gt;0,COUNTIF('O3'!A:A,A354)&gt;0,COUNTIF('PM10'!A:A,A354)&gt;0,COUNTIF('PM2.5'!A:A,A354)&gt;0,COUNTIF('SO2'!A:A,A354)&gt;0)</f>
        <v>1</v>
      </c>
    </row>
    <row r="355" spans="1:9" x14ac:dyDescent="0.45">
      <c r="A355" s="4">
        <v>45764</v>
      </c>
      <c r="B355" t="s">
        <v>137</v>
      </c>
      <c r="C355" t="s">
        <v>137</v>
      </c>
      <c r="D355" t="s">
        <v>137</v>
      </c>
      <c r="E355" t="s">
        <v>137</v>
      </c>
      <c r="F355" t="s">
        <v>137</v>
      </c>
      <c r="G355">
        <v>0</v>
      </c>
      <c r="H355">
        <v>4</v>
      </c>
      <c r="I355" t="b">
        <f>AND(COUNTIF('NO2'!A:A,A355)&gt;0,COUNTIF('O3'!A:A,A355)&gt;0,COUNTIF('PM10'!A:A,A355)&gt;0,COUNTIF('PM2.5'!A:A,A355)&gt;0,COUNTIF('SO2'!A:A,A355)&gt;0)</f>
        <v>1</v>
      </c>
    </row>
    <row r="356" spans="1:9" x14ac:dyDescent="0.45">
      <c r="A356" s="4">
        <v>45765</v>
      </c>
      <c r="B356" t="s">
        <v>137</v>
      </c>
      <c r="C356" t="s">
        <v>149</v>
      </c>
      <c r="D356" t="s">
        <v>149</v>
      </c>
      <c r="E356" t="s">
        <v>145</v>
      </c>
      <c r="F356" t="s">
        <v>149</v>
      </c>
      <c r="G356" t="s">
        <v>17</v>
      </c>
      <c r="H356">
        <v>24</v>
      </c>
      <c r="I356" t="b">
        <f>AND(COUNTIF('NO2'!A:A,A356)&gt;0,COUNTIF('O3'!A:A,A356)&gt;0,COUNTIF('PM10'!A:A,A356)&gt;0,COUNTIF('PM2.5'!A:A,A356)&gt;0,COUNTIF('SO2'!A:A,A356)&gt;0)</f>
        <v>1</v>
      </c>
    </row>
    <row r="357" spans="1:9" x14ac:dyDescent="0.45">
      <c r="A357" s="4">
        <v>45766</v>
      </c>
      <c r="B357" t="s">
        <v>149</v>
      </c>
      <c r="C357" t="s">
        <v>170</v>
      </c>
      <c r="D357" t="s">
        <v>146</v>
      </c>
      <c r="E357" t="s">
        <v>149</v>
      </c>
      <c r="F357" t="s">
        <v>170</v>
      </c>
      <c r="G357" t="s">
        <v>175</v>
      </c>
      <c r="H357">
        <v>22</v>
      </c>
      <c r="I357" t="b">
        <f>AND(COUNTIF('NO2'!A:A,A357)&gt;0,COUNTIF('O3'!A:A,A357)&gt;0,COUNTIF('PM10'!A:A,A357)&gt;0,COUNTIF('PM2.5'!A:A,A357)&gt;0,COUNTIF('SO2'!A:A,A357)&gt;0)</f>
        <v>1</v>
      </c>
    </row>
    <row r="358" spans="1:9" x14ac:dyDescent="0.45">
      <c r="A358" s="4">
        <v>45767</v>
      </c>
      <c r="B358" t="s">
        <v>149</v>
      </c>
      <c r="C358" t="s">
        <v>156</v>
      </c>
      <c r="D358" t="s">
        <v>147</v>
      </c>
      <c r="E358" t="s">
        <v>149</v>
      </c>
      <c r="F358" t="s">
        <v>170</v>
      </c>
      <c r="G358" t="s">
        <v>180</v>
      </c>
      <c r="H358">
        <v>24</v>
      </c>
      <c r="I358" t="b">
        <f>AND(COUNTIF('NO2'!A:A,A358)&gt;0,COUNTIF('O3'!A:A,A358)&gt;0,COUNTIF('PM10'!A:A,A358)&gt;0,COUNTIF('PM2.5'!A:A,A358)&gt;0,COUNTIF('SO2'!A:A,A358)&gt;0)</f>
        <v>1</v>
      </c>
    </row>
    <row r="359" spans="1:9" x14ac:dyDescent="0.45">
      <c r="A359" s="4">
        <v>45768</v>
      </c>
      <c r="B359" t="s">
        <v>145</v>
      </c>
      <c r="C359" t="s">
        <v>147</v>
      </c>
      <c r="D359" t="s">
        <v>148</v>
      </c>
      <c r="E359" t="s">
        <v>149</v>
      </c>
      <c r="F359" t="s">
        <v>148</v>
      </c>
      <c r="G359" t="s">
        <v>24</v>
      </c>
      <c r="H359">
        <v>24</v>
      </c>
      <c r="I359" t="b">
        <f>AND(COUNTIF('NO2'!A:A,A359)&gt;0,COUNTIF('O3'!A:A,A359)&gt;0,COUNTIF('PM10'!A:A,A359)&gt;0,COUNTIF('PM2.5'!A:A,A359)&gt;0,COUNTIF('SO2'!A:A,A359)&gt;0)</f>
        <v>1</v>
      </c>
    </row>
    <row r="360" spans="1:9" x14ac:dyDescent="0.45">
      <c r="A360" s="4">
        <v>45769</v>
      </c>
      <c r="B360" t="s">
        <v>137</v>
      </c>
      <c r="C360" t="s">
        <v>145</v>
      </c>
      <c r="D360" t="s">
        <v>137</v>
      </c>
      <c r="E360" t="s">
        <v>137</v>
      </c>
      <c r="F360" t="s">
        <v>145</v>
      </c>
      <c r="G360" t="s">
        <v>12</v>
      </c>
      <c r="H360">
        <v>24</v>
      </c>
      <c r="I360" t="b">
        <f>AND(COUNTIF('NO2'!A:A,A360)&gt;0,COUNTIF('O3'!A:A,A360)&gt;0,COUNTIF('PM10'!A:A,A360)&gt;0,COUNTIF('PM2.5'!A:A,A360)&gt;0,COUNTIF('SO2'!A:A,A360)&gt;0)</f>
        <v>1</v>
      </c>
    </row>
    <row r="361" spans="1:9" x14ac:dyDescent="0.45">
      <c r="A361" s="4">
        <v>45770</v>
      </c>
      <c r="B361" t="s">
        <v>110</v>
      </c>
      <c r="C361" t="s">
        <v>137</v>
      </c>
      <c r="D361" t="s">
        <v>110</v>
      </c>
      <c r="E361" t="s">
        <v>110</v>
      </c>
      <c r="F361" t="s">
        <v>140</v>
      </c>
      <c r="G361" t="s">
        <v>17</v>
      </c>
      <c r="H361">
        <v>24</v>
      </c>
      <c r="I361" t="b">
        <f>AND(COUNTIF('NO2'!A:A,A361)&gt;0,COUNTIF('O3'!A:A,A361)&gt;0,COUNTIF('PM10'!A:A,A361)&gt;0,COUNTIF('PM2.5'!A:A,A361)&gt;0,COUNTIF('SO2'!A:A,A361)&gt;0)</f>
        <v>1</v>
      </c>
    </row>
    <row r="362" spans="1:9" x14ac:dyDescent="0.45">
      <c r="A362" s="4">
        <v>45771</v>
      </c>
      <c r="B362" t="s">
        <v>110</v>
      </c>
      <c r="C362" t="s">
        <v>110</v>
      </c>
      <c r="D362" t="s">
        <v>110</v>
      </c>
      <c r="E362" t="s">
        <v>110</v>
      </c>
      <c r="F362" t="s">
        <v>110</v>
      </c>
      <c r="G362" t="s">
        <v>141</v>
      </c>
      <c r="H362">
        <v>24</v>
      </c>
      <c r="I362" t="b">
        <f>AND(COUNTIF('NO2'!A:A,A362)&gt;0,COUNTIF('O3'!A:A,A362)&gt;0,COUNTIF('PM10'!A:A,A362)&gt;0,COUNTIF('PM2.5'!A:A,A362)&gt;0,COUNTIF('SO2'!A:A,A362)&gt;0)</f>
        <v>1</v>
      </c>
    </row>
    <row r="363" spans="1:9" x14ac:dyDescent="0.45">
      <c r="A363" s="4">
        <v>45772</v>
      </c>
      <c r="B363" t="s">
        <v>140</v>
      </c>
      <c r="C363" t="s">
        <v>137</v>
      </c>
      <c r="D363" t="s">
        <v>137</v>
      </c>
      <c r="E363" t="s">
        <v>140</v>
      </c>
      <c r="F363" t="s">
        <v>137</v>
      </c>
      <c r="G363" t="s">
        <v>36</v>
      </c>
      <c r="H363">
        <v>24</v>
      </c>
      <c r="I363" t="b">
        <f>AND(COUNTIF('NO2'!A:A,A363)&gt;0,COUNTIF('O3'!A:A,A363)&gt;0,COUNTIF('PM10'!A:A,A363)&gt;0,COUNTIF('PM2.5'!A:A,A363)&gt;0,COUNTIF('SO2'!A:A,A363)&gt;0)</f>
        <v>1</v>
      </c>
    </row>
    <row r="364" spans="1:9" x14ac:dyDescent="0.45">
      <c r="A364" s="4">
        <v>45773</v>
      </c>
      <c r="B364" t="s">
        <v>137</v>
      </c>
      <c r="C364" t="s">
        <v>137</v>
      </c>
      <c r="D364" t="s">
        <v>137</v>
      </c>
      <c r="E364" t="s">
        <v>137</v>
      </c>
      <c r="F364" t="s">
        <v>137</v>
      </c>
      <c r="G364" t="s">
        <v>33</v>
      </c>
      <c r="H364">
        <v>24</v>
      </c>
      <c r="I364" t="b">
        <f>AND(COUNTIF('NO2'!A:A,A364)&gt;0,COUNTIF('O3'!A:A,A364)&gt;0,COUNTIF('PM10'!A:A,A364)&gt;0,COUNTIF('PM2.5'!A:A,A364)&gt;0,COUNTIF('SO2'!A:A,A364)&gt;0)</f>
        <v>1</v>
      </c>
    </row>
    <row r="365" spans="1:9" x14ac:dyDescent="0.45">
      <c r="A365" s="4">
        <v>45774</v>
      </c>
      <c r="B365" t="s">
        <v>110</v>
      </c>
      <c r="C365" t="s">
        <v>137</v>
      </c>
      <c r="D365" t="s">
        <v>140</v>
      </c>
      <c r="E365" t="s">
        <v>140</v>
      </c>
      <c r="F365" t="s">
        <v>140</v>
      </c>
      <c r="G365" t="s">
        <v>12</v>
      </c>
      <c r="H365">
        <v>24</v>
      </c>
      <c r="I365" t="b">
        <f>AND(COUNTIF('NO2'!A:A,A365)&gt;0,COUNTIF('O3'!A:A,A365)&gt;0,COUNTIF('PM10'!A:A,A365)&gt;0,COUNTIF('PM2.5'!A:A,A365)&gt;0,COUNTIF('SO2'!A:A,A365)&gt;0)</f>
        <v>1</v>
      </c>
    </row>
    <row r="366" spans="1:9" x14ac:dyDescent="0.45">
      <c r="A366" s="4">
        <v>45775</v>
      </c>
      <c r="B366" t="s">
        <v>111</v>
      </c>
      <c r="C366" t="s">
        <v>110</v>
      </c>
      <c r="D366" t="s">
        <v>111</v>
      </c>
      <c r="E366" t="s">
        <v>111</v>
      </c>
      <c r="F366" t="s">
        <v>110</v>
      </c>
      <c r="G366" t="s">
        <v>12</v>
      </c>
      <c r="H366">
        <v>24</v>
      </c>
      <c r="I366" t="b">
        <f>AND(COUNTIF('NO2'!A:A,A366)&gt;0,COUNTIF('O3'!A:A,A366)&gt;0,COUNTIF('PM10'!A:A,A366)&gt;0,COUNTIF('PM2.5'!A:A,A366)&gt;0,COUNTIF('SO2'!A:A,A366)&gt;0)</f>
        <v>1</v>
      </c>
    </row>
    <row r="367" spans="1:9" x14ac:dyDescent="0.45">
      <c r="A367" s="4">
        <v>45776</v>
      </c>
      <c r="B367" t="s">
        <v>110</v>
      </c>
      <c r="C367" t="s">
        <v>137</v>
      </c>
      <c r="D367" t="s">
        <v>140</v>
      </c>
      <c r="E367" t="s">
        <v>110</v>
      </c>
      <c r="F367" t="s">
        <v>137</v>
      </c>
      <c r="G367" t="s">
        <v>85</v>
      </c>
      <c r="H367">
        <v>24</v>
      </c>
      <c r="I367" t="b">
        <f>AND(COUNTIF('NO2'!A:A,A367)&gt;0,COUNTIF('O3'!A:A,A367)&gt;0,COUNTIF('PM10'!A:A,A367)&gt;0,COUNTIF('PM2.5'!A:A,A367)&gt;0,COUNTIF('SO2'!A:A,A367)&gt;0)</f>
        <v>1</v>
      </c>
    </row>
    <row r="368" spans="1:9" x14ac:dyDescent="0.45">
      <c r="A368" s="4">
        <v>45777</v>
      </c>
      <c r="B368" t="s">
        <v>145</v>
      </c>
      <c r="C368" t="s">
        <v>149</v>
      </c>
      <c r="D368" t="s">
        <v>149</v>
      </c>
      <c r="E368" t="s">
        <v>149</v>
      </c>
      <c r="F368" t="s">
        <v>149</v>
      </c>
      <c r="G368" t="s">
        <v>22</v>
      </c>
      <c r="H368">
        <v>24</v>
      </c>
      <c r="I368" t="b">
        <f>AND(COUNTIF('NO2'!A:A,A368)&gt;0,COUNTIF('O3'!A:A,A368)&gt;0,COUNTIF('PM10'!A:A,A368)&gt;0,COUNTIF('PM2.5'!A:A,A368)&gt;0,COUNTIF('SO2'!A:A,A368)&gt;0)</f>
        <v>1</v>
      </c>
    </row>
    <row r="369" spans="1:9" x14ac:dyDescent="0.45">
      <c r="A369" s="4">
        <v>45778</v>
      </c>
      <c r="B369" t="s">
        <v>145</v>
      </c>
      <c r="C369" t="s">
        <v>149</v>
      </c>
      <c r="D369" t="s">
        <v>145</v>
      </c>
      <c r="E369" t="s">
        <v>145</v>
      </c>
      <c r="F369" t="s">
        <v>145</v>
      </c>
      <c r="G369" t="s">
        <v>12</v>
      </c>
      <c r="H369">
        <v>7</v>
      </c>
      <c r="I369" t="b">
        <f>AND(COUNTIF('NO2'!A:A,A369)&gt;0,COUNTIF('O3'!A:A,A369)&gt;0,COUNTIF('PM10'!A:A,A369)&gt;0,COUNTIF('PM2.5'!A:A,A369)&gt;0,COUNTIF('SO2'!A:A,A369)&gt;0)</f>
        <v>1</v>
      </c>
    </row>
    <row r="370" spans="1:9" x14ac:dyDescent="0.45">
      <c r="A370" s="4">
        <v>45779</v>
      </c>
      <c r="B370" t="s">
        <v>137</v>
      </c>
      <c r="C370" t="s">
        <v>137</v>
      </c>
      <c r="D370" t="s">
        <v>137</v>
      </c>
      <c r="E370" t="s">
        <v>137</v>
      </c>
      <c r="F370" t="s">
        <v>137</v>
      </c>
      <c r="G370">
        <v>0</v>
      </c>
      <c r="H370">
        <v>4</v>
      </c>
      <c r="I370" t="b">
        <f>AND(COUNTIF('NO2'!A:A,A370)&gt;0,COUNTIF('O3'!A:A,A370)&gt;0,COUNTIF('PM10'!A:A,A370)&gt;0,COUNTIF('PM2.5'!A:A,A370)&gt;0,COUNTIF('SO2'!A:A,A370)&gt;0)</f>
        <v>1</v>
      </c>
    </row>
    <row r="371" spans="1:9" x14ac:dyDescent="0.45">
      <c r="A371" s="4">
        <v>45780</v>
      </c>
      <c r="B371" t="s">
        <v>145</v>
      </c>
      <c r="C371" t="s">
        <v>145</v>
      </c>
      <c r="D371" t="s">
        <v>145</v>
      </c>
      <c r="E371" t="s">
        <v>145</v>
      </c>
      <c r="F371" t="s">
        <v>145</v>
      </c>
      <c r="G371" t="s">
        <v>56</v>
      </c>
      <c r="H371">
        <v>21</v>
      </c>
      <c r="I371" t="b">
        <f>AND(COUNTIF('NO2'!A:A,A371)&gt;0,COUNTIF('O3'!A:A,A371)&gt;0,COUNTIF('PM10'!A:A,A371)&gt;0,COUNTIF('PM2.5'!A:A,A371)&gt;0,COUNTIF('SO2'!A:A,A371)&gt;0)</f>
        <v>1</v>
      </c>
    </row>
    <row r="372" spans="1:9" x14ac:dyDescent="0.45">
      <c r="A372" s="4">
        <v>45781</v>
      </c>
      <c r="B372" t="s">
        <v>145</v>
      </c>
      <c r="C372" t="s">
        <v>145</v>
      </c>
      <c r="D372" t="s">
        <v>145</v>
      </c>
      <c r="E372" t="s">
        <v>145</v>
      </c>
      <c r="F372" t="s">
        <v>145</v>
      </c>
      <c r="G372" t="s">
        <v>56</v>
      </c>
      <c r="H372">
        <v>24</v>
      </c>
      <c r="I372" t="b">
        <f>AND(COUNTIF('NO2'!A:A,A372)&gt;0,COUNTIF('O3'!A:A,A372)&gt;0,COUNTIF('PM10'!A:A,A372)&gt;0,COUNTIF('PM2.5'!A:A,A372)&gt;0,COUNTIF('SO2'!A:A,A372)&gt;0)</f>
        <v>1</v>
      </c>
    </row>
    <row r="373" spans="1:9" x14ac:dyDescent="0.45">
      <c r="A373" s="4">
        <v>45782</v>
      </c>
      <c r="B373" t="s">
        <v>145</v>
      </c>
      <c r="C373" t="s">
        <v>134</v>
      </c>
      <c r="D373" t="s">
        <v>132</v>
      </c>
      <c r="E373" t="s">
        <v>130</v>
      </c>
      <c r="F373" t="s">
        <v>154</v>
      </c>
      <c r="G373" t="s">
        <v>243</v>
      </c>
      <c r="H373">
        <v>24</v>
      </c>
      <c r="I373" t="b">
        <f>AND(COUNTIF('NO2'!A:A,A373)&gt;0,COUNTIF('O3'!A:A,A373)&gt;0,COUNTIF('PM10'!A:A,A373)&gt;0,COUNTIF('PM2.5'!A:A,A373)&gt;0,COUNTIF('SO2'!A:A,A373)&gt;0)</f>
        <v>1</v>
      </c>
    </row>
    <row r="374" spans="1:9" x14ac:dyDescent="0.45">
      <c r="A374" s="4">
        <v>45783</v>
      </c>
      <c r="B374" t="s">
        <v>117</v>
      </c>
      <c r="C374" t="s">
        <v>214</v>
      </c>
      <c r="D374" t="s">
        <v>134</v>
      </c>
      <c r="E374" t="s">
        <v>223</v>
      </c>
      <c r="F374" t="s">
        <v>214</v>
      </c>
      <c r="G374" t="s">
        <v>17</v>
      </c>
      <c r="H374">
        <v>24</v>
      </c>
      <c r="I374" t="b">
        <f>AND(COUNTIF('NO2'!A:A,A374)&gt;0,COUNTIF('O3'!A:A,A374)&gt;0,COUNTIF('PM10'!A:A,A374)&gt;0,COUNTIF('PM2.5'!A:A,A374)&gt;0,COUNTIF('SO2'!A:A,A374)&gt;0)</f>
        <v>1</v>
      </c>
    </row>
    <row r="375" spans="1:9" x14ac:dyDescent="0.45">
      <c r="A375" s="4">
        <v>45784</v>
      </c>
      <c r="B375" t="s">
        <v>162</v>
      </c>
      <c r="C375" t="s">
        <v>117</v>
      </c>
      <c r="D375" t="s">
        <v>117</v>
      </c>
      <c r="E375" t="s">
        <v>219</v>
      </c>
      <c r="F375" t="s">
        <v>117</v>
      </c>
      <c r="G375" t="s">
        <v>158</v>
      </c>
      <c r="H375">
        <v>24</v>
      </c>
      <c r="I375" t="b">
        <f>AND(COUNTIF('NO2'!A:A,A375)&gt;0,COUNTIF('O3'!A:A,A375)&gt;0,COUNTIF('PM10'!A:A,A375)&gt;0,COUNTIF('PM2.5'!A:A,A375)&gt;0,COUNTIF('SO2'!A:A,A375)&gt;0)</f>
        <v>1</v>
      </c>
    </row>
    <row r="376" spans="1:9" x14ac:dyDescent="0.45">
      <c r="A376" s="4">
        <v>45785</v>
      </c>
      <c r="B376" t="s">
        <v>214</v>
      </c>
      <c r="C376" t="s">
        <v>114</v>
      </c>
      <c r="D376" t="s">
        <v>222</v>
      </c>
      <c r="E376" t="s">
        <v>133</v>
      </c>
      <c r="F376" t="s">
        <v>124</v>
      </c>
      <c r="G376" t="s">
        <v>85</v>
      </c>
      <c r="H376">
        <v>24</v>
      </c>
      <c r="I376" t="b">
        <f>AND(COUNTIF('NO2'!A:A,A376)&gt;0,COUNTIF('O3'!A:A,A376)&gt;0,COUNTIF('PM10'!A:A,A376)&gt;0,COUNTIF('PM2.5'!A:A,A376)&gt;0,COUNTIF('SO2'!A:A,A376)&gt;0)</f>
        <v>1</v>
      </c>
    </row>
    <row r="377" spans="1:9" x14ac:dyDescent="0.45">
      <c r="A377" s="4">
        <v>45786</v>
      </c>
      <c r="B377" t="s">
        <v>214</v>
      </c>
      <c r="C377" t="s">
        <v>244</v>
      </c>
      <c r="D377" t="s">
        <v>245</v>
      </c>
      <c r="E377" t="s">
        <v>120</v>
      </c>
      <c r="F377" t="s">
        <v>246</v>
      </c>
      <c r="G377" t="s">
        <v>247</v>
      </c>
      <c r="H377">
        <v>24</v>
      </c>
      <c r="I377" t="b">
        <f>AND(COUNTIF('NO2'!A:A,A377)&gt;0,COUNTIF('O3'!A:A,A377)&gt;0,COUNTIF('PM10'!A:A,A377)&gt;0,COUNTIF('PM2.5'!A:A,A377)&gt;0,COUNTIF('SO2'!A:A,A377)&gt;0)</f>
        <v>1</v>
      </c>
    </row>
    <row r="378" spans="1:9" x14ac:dyDescent="0.45">
      <c r="A378" s="4">
        <v>45787</v>
      </c>
      <c r="B378" t="s">
        <v>222</v>
      </c>
      <c r="C378" t="s">
        <v>246</v>
      </c>
      <c r="D378" t="s">
        <v>248</v>
      </c>
      <c r="E378" t="s">
        <v>239</v>
      </c>
      <c r="F378" t="s">
        <v>249</v>
      </c>
      <c r="G378" t="s">
        <v>171</v>
      </c>
      <c r="H378">
        <v>24</v>
      </c>
      <c r="I378" t="b">
        <f>AND(COUNTIF('NO2'!A:A,A378)&gt;0,COUNTIF('O3'!A:A,A378)&gt;0,COUNTIF('PM10'!A:A,A378)&gt;0,COUNTIF('PM2.5'!A:A,A378)&gt;0,COUNTIF('SO2'!A:A,A378)&gt;0)</f>
        <v>1</v>
      </c>
    </row>
    <row r="379" spans="1:9" x14ac:dyDescent="0.45">
      <c r="A379" s="4">
        <v>45788</v>
      </c>
      <c r="B379" t="s">
        <v>117</v>
      </c>
      <c r="C379" t="s">
        <v>239</v>
      </c>
      <c r="D379" t="s">
        <v>134</v>
      </c>
      <c r="E379" t="s">
        <v>117</v>
      </c>
      <c r="F379" t="s">
        <v>222</v>
      </c>
      <c r="G379" t="s">
        <v>176</v>
      </c>
      <c r="H379">
        <v>24</v>
      </c>
      <c r="I379" t="b">
        <f>AND(COUNTIF('NO2'!A:A,A379)&gt;0,COUNTIF('O3'!A:A,A379)&gt;0,COUNTIF('PM10'!A:A,A379)&gt;0,COUNTIF('PM2.5'!A:A,A379)&gt;0,COUNTIF('SO2'!A:A,A379)&gt;0)</f>
        <v>1</v>
      </c>
    </row>
    <row r="380" spans="1:9" x14ac:dyDescent="0.45">
      <c r="A380" s="4">
        <v>45789</v>
      </c>
      <c r="B380" t="s">
        <v>219</v>
      </c>
      <c r="C380" t="s">
        <v>250</v>
      </c>
      <c r="D380" t="s">
        <v>251</v>
      </c>
      <c r="E380" t="s">
        <v>114</v>
      </c>
      <c r="F380" t="s">
        <v>215</v>
      </c>
      <c r="G380" t="s">
        <v>252</v>
      </c>
      <c r="H380">
        <v>24</v>
      </c>
      <c r="I380" t="b">
        <f>AND(COUNTIF('NO2'!A:A,A380)&gt;0,COUNTIF('O3'!A:A,A380)&gt;0,COUNTIF('PM10'!A:A,A380)&gt;0,COUNTIF('PM2.5'!A:A,A380)&gt;0,COUNTIF('SO2'!A:A,A380)&gt;0)</f>
        <v>1</v>
      </c>
    </row>
    <row r="381" spans="1:9" x14ac:dyDescent="0.45">
      <c r="A381" s="4">
        <v>45790</v>
      </c>
      <c r="B381" t="s">
        <v>253</v>
      </c>
      <c r="C381" t="s">
        <v>254</v>
      </c>
      <c r="D381" t="s">
        <v>251</v>
      </c>
      <c r="E381" t="s">
        <v>222</v>
      </c>
      <c r="F381" t="s">
        <v>244</v>
      </c>
      <c r="G381" t="s">
        <v>255</v>
      </c>
      <c r="H381">
        <v>24</v>
      </c>
      <c r="I381" t="b">
        <f>AND(COUNTIF('NO2'!A:A,A381)&gt;0,COUNTIF('O3'!A:A,A381)&gt;0,COUNTIF('PM10'!A:A,A381)&gt;0,COUNTIF('PM2.5'!A:A,A381)&gt;0,COUNTIF('SO2'!A:A,A381)&gt;0)</f>
        <v>1</v>
      </c>
    </row>
    <row r="382" spans="1:9" x14ac:dyDescent="0.45">
      <c r="A382" s="4">
        <v>45791</v>
      </c>
      <c r="B382" t="s">
        <v>117</v>
      </c>
      <c r="C382" t="s">
        <v>256</v>
      </c>
      <c r="D382" t="s">
        <v>119</v>
      </c>
      <c r="E382" t="s">
        <v>222</v>
      </c>
      <c r="F382" t="s">
        <v>257</v>
      </c>
      <c r="G382" t="s">
        <v>258</v>
      </c>
      <c r="H382">
        <v>24</v>
      </c>
      <c r="I382" t="b">
        <f>AND(COUNTIF('NO2'!A:A,A382)&gt;0,COUNTIF('O3'!A:A,A382)&gt;0,COUNTIF('PM10'!A:A,A382)&gt;0,COUNTIF('PM2.5'!A:A,A382)&gt;0,COUNTIF('SO2'!A:A,A382)&gt;0)</f>
        <v>1</v>
      </c>
    </row>
    <row r="383" spans="1:9" x14ac:dyDescent="0.45">
      <c r="A383" s="4">
        <v>45792</v>
      </c>
      <c r="B383" t="s">
        <v>98</v>
      </c>
      <c r="C383" t="s">
        <v>253</v>
      </c>
      <c r="D383" t="s">
        <v>142</v>
      </c>
      <c r="E383" t="s">
        <v>89</v>
      </c>
      <c r="F383" t="s">
        <v>146</v>
      </c>
      <c r="G383" t="s">
        <v>259</v>
      </c>
      <c r="H383">
        <v>23</v>
      </c>
      <c r="I383" t="b">
        <f>AND(COUNTIF('NO2'!A:A,A383)&gt;0,COUNTIF('O3'!A:A,A383)&gt;0,COUNTIF('PM10'!A:A,A383)&gt;0,COUNTIF('PM2.5'!A:A,A383)&gt;0,COUNTIF('SO2'!A:A,A383)&gt;0)</f>
        <v>1</v>
      </c>
    </row>
    <row r="384" spans="1:9" x14ac:dyDescent="0.45">
      <c r="A384" s="4">
        <v>45793</v>
      </c>
      <c r="B384" t="s">
        <v>76</v>
      </c>
      <c r="C384" t="s">
        <v>137</v>
      </c>
      <c r="D384" t="s">
        <v>11</v>
      </c>
      <c r="E384" t="s">
        <v>82</v>
      </c>
      <c r="F384" t="s">
        <v>185</v>
      </c>
      <c r="G384" t="s">
        <v>260</v>
      </c>
      <c r="H384">
        <v>24</v>
      </c>
      <c r="I384" t="b">
        <f>AND(COUNTIF('NO2'!A:A,A384)&gt;0,COUNTIF('O3'!A:A,A384)&gt;0,COUNTIF('PM10'!A:A,A384)&gt;0,COUNTIF('PM2.5'!A:A,A384)&gt;0,COUNTIF('SO2'!A:A,A384)&gt;0)</f>
        <v>1</v>
      </c>
    </row>
    <row r="385" spans="1:9" x14ac:dyDescent="0.45">
      <c r="A385" s="4">
        <v>45794</v>
      </c>
      <c r="B385" t="s">
        <v>145</v>
      </c>
      <c r="C385" t="s">
        <v>174</v>
      </c>
      <c r="D385" t="s">
        <v>170</v>
      </c>
      <c r="E385" t="s">
        <v>145</v>
      </c>
      <c r="F385" t="s">
        <v>161</v>
      </c>
      <c r="G385" t="s">
        <v>155</v>
      </c>
      <c r="H385">
        <v>24</v>
      </c>
      <c r="I385" t="b">
        <f>AND(COUNTIF('NO2'!A:A,A385)&gt;0,COUNTIF('O3'!A:A,A385)&gt;0,COUNTIF('PM10'!A:A,A385)&gt;0,COUNTIF('PM2.5'!A:A,A385)&gt;0,COUNTIF('SO2'!A:A,A385)&gt;0)</f>
        <v>1</v>
      </c>
    </row>
    <row r="386" spans="1:9" x14ac:dyDescent="0.45">
      <c r="A386" s="4">
        <v>45795</v>
      </c>
      <c r="B386" t="s">
        <v>137</v>
      </c>
      <c r="C386" t="s">
        <v>145</v>
      </c>
      <c r="D386" t="s">
        <v>137</v>
      </c>
      <c r="E386" t="s">
        <v>137</v>
      </c>
      <c r="F386" t="s">
        <v>137</v>
      </c>
      <c r="G386" t="s">
        <v>22</v>
      </c>
      <c r="H386">
        <v>24</v>
      </c>
      <c r="I386" t="b">
        <f>AND(COUNTIF('NO2'!A:A,A386)&gt;0,COUNTIF('O3'!A:A,A386)&gt;0,COUNTIF('PM10'!A:A,A386)&gt;0,COUNTIF('PM2.5'!A:A,A386)&gt;0,COUNTIF('SO2'!A:A,A386)&gt;0)</f>
        <v>1</v>
      </c>
    </row>
    <row r="387" spans="1:9" x14ac:dyDescent="0.45">
      <c r="A387" s="4">
        <v>45796</v>
      </c>
      <c r="B387" t="s">
        <v>167</v>
      </c>
      <c r="C387" t="s">
        <v>145</v>
      </c>
      <c r="D387" t="s">
        <v>140</v>
      </c>
      <c r="E387" t="s">
        <v>142</v>
      </c>
      <c r="F387" t="s">
        <v>137</v>
      </c>
      <c r="G387" t="s">
        <v>189</v>
      </c>
      <c r="H387">
        <v>24</v>
      </c>
      <c r="I387" t="b">
        <f>AND(COUNTIF('NO2'!A:A,A387)&gt;0,COUNTIF('O3'!A:A,A387)&gt;0,COUNTIF('PM10'!A:A,A387)&gt;0,COUNTIF('PM2.5'!A:A,A387)&gt;0,COUNTIF('SO2'!A:A,A387)&gt;0)</f>
        <v>1</v>
      </c>
    </row>
    <row r="388" spans="1:9" x14ac:dyDescent="0.45">
      <c r="A388" s="4">
        <v>45797</v>
      </c>
      <c r="B388" t="s">
        <v>167</v>
      </c>
      <c r="C388" t="s">
        <v>152</v>
      </c>
      <c r="D388" t="s">
        <v>110</v>
      </c>
      <c r="E388" t="s">
        <v>111</v>
      </c>
      <c r="F388" t="s">
        <v>146</v>
      </c>
      <c r="G388" t="s">
        <v>135</v>
      </c>
      <c r="H388">
        <v>24</v>
      </c>
      <c r="I388" t="b">
        <f>AND(COUNTIF('NO2'!A:A,A388)&gt;0,COUNTIF('O3'!A:A,A388)&gt;0,COUNTIF('PM10'!A:A,A388)&gt;0,COUNTIF('PM2.5'!A:A,A388)&gt;0,COUNTIF('SO2'!A:A,A388)&gt;0)</f>
        <v>1</v>
      </c>
    </row>
    <row r="389" spans="1:9" x14ac:dyDescent="0.45">
      <c r="A389" s="4">
        <v>45798</v>
      </c>
      <c r="B389" t="s">
        <v>140</v>
      </c>
      <c r="C389" t="s">
        <v>146</v>
      </c>
      <c r="D389" t="s">
        <v>137</v>
      </c>
      <c r="E389" t="s">
        <v>137</v>
      </c>
      <c r="F389" t="s">
        <v>145</v>
      </c>
      <c r="G389" t="s">
        <v>97</v>
      </c>
      <c r="H389">
        <v>24</v>
      </c>
      <c r="I389" t="b">
        <f>AND(COUNTIF('NO2'!A:A,A389)&gt;0,COUNTIF('O3'!A:A,A389)&gt;0,COUNTIF('PM10'!A:A,A389)&gt;0,COUNTIF('PM2.5'!A:A,A389)&gt;0,COUNTIF('SO2'!A:A,A389)&gt;0)</f>
        <v>1</v>
      </c>
    </row>
    <row r="390" spans="1:9" x14ac:dyDescent="0.45">
      <c r="A390" s="4">
        <v>45799</v>
      </c>
      <c r="B390" t="s">
        <v>137</v>
      </c>
      <c r="C390" t="s">
        <v>157</v>
      </c>
      <c r="D390" t="s">
        <v>148</v>
      </c>
      <c r="E390" t="s">
        <v>149</v>
      </c>
      <c r="F390" t="s">
        <v>170</v>
      </c>
      <c r="G390" t="s">
        <v>217</v>
      </c>
      <c r="H390">
        <v>24</v>
      </c>
      <c r="I390" t="b">
        <f>AND(COUNTIF('NO2'!A:A,A390)&gt;0,COUNTIF('O3'!A:A,A390)&gt;0,COUNTIF('PM10'!A:A,A390)&gt;0,COUNTIF('PM2.5'!A:A,A390)&gt;0,COUNTIF('SO2'!A:A,A390)&gt;0)</f>
        <v>1</v>
      </c>
    </row>
    <row r="391" spans="1:9" x14ac:dyDescent="0.45">
      <c r="A391" s="4">
        <v>45800</v>
      </c>
      <c r="B391" t="s">
        <v>142</v>
      </c>
      <c r="C391" t="s">
        <v>115</v>
      </c>
      <c r="D391" t="s">
        <v>130</v>
      </c>
      <c r="E391" t="s">
        <v>137</v>
      </c>
      <c r="F391" t="s">
        <v>132</v>
      </c>
      <c r="G391" t="s">
        <v>261</v>
      </c>
      <c r="H391">
        <v>24</v>
      </c>
      <c r="I391" t="b">
        <f>AND(COUNTIF('NO2'!A:A,A391)&gt;0,COUNTIF('O3'!A:A,A391)&gt;0,COUNTIF('PM10'!A:A,A391)&gt;0,COUNTIF('PM2.5'!A:A,A391)&gt;0,COUNTIF('SO2'!A:A,A391)&gt;0)</f>
        <v>1</v>
      </c>
    </row>
    <row r="392" spans="1:9" x14ac:dyDescent="0.45">
      <c r="A392" s="4">
        <v>45801</v>
      </c>
      <c r="B392" t="s">
        <v>104</v>
      </c>
      <c r="C392" t="s">
        <v>168</v>
      </c>
      <c r="D392" t="s">
        <v>143</v>
      </c>
      <c r="E392" t="s">
        <v>112</v>
      </c>
      <c r="F392" t="s">
        <v>167</v>
      </c>
      <c r="G392" t="s">
        <v>37</v>
      </c>
      <c r="H392">
        <v>24</v>
      </c>
      <c r="I392" t="b">
        <f>AND(COUNTIF('NO2'!A:A,A392)&gt;0,COUNTIF('O3'!A:A,A392)&gt;0,COUNTIF('PM10'!A:A,A392)&gt;0,COUNTIF('PM2.5'!A:A,A392)&gt;0,COUNTIF('SO2'!A:A,A392)&gt;0)</f>
        <v>1</v>
      </c>
    </row>
    <row r="393" spans="1:9" x14ac:dyDescent="0.45">
      <c r="A393" s="4">
        <v>45802</v>
      </c>
      <c r="B393" t="s">
        <v>90</v>
      </c>
      <c r="C393" t="s">
        <v>143</v>
      </c>
      <c r="D393" t="s">
        <v>101</v>
      </c>
      <c r="E393" t="s">
        <v>185</v>
      </c>
      <c r="F393" t="s">
        <v>104</v>
      </c>
      <c r="G393" t="s">
        <v>262</v>
      </c>
      <c r="H393">
        <v>24</v>
      </c>
      <c r="I393" t="b">
        <f>AND(COUNTIF('NO2'!A:A,A393)&gt;0,COUNTIF('O3'!A:A,A393)&gt;0,COUNTIF('PM10'!A:A,A393)&gt;0,COUNTIF('PM2.5'!A:A,A393)&gt;0,COUNTIF('SO2'!A:A,A393)&gt;0)</f>
        <v>1</v>
      </c>
    </row>
    <row r="394" spans="1:9" x14ac:dyDescent="0.45">
      <c r="A394" s="4">
        <v>45803</v>
      </c>
      <c r="B394" t="s">
        <v>90</v>
      </c>
      <c r="C394" t="s">
        <v>149</v>
      </c>
      <c r="D394" t="s">
        <v>109</v>
      </c>
      <c r="E394" t="s">
        <v>88</v>
      </c>
      <c r="F394" t="s">
        <v>142</v>
      </c>
      <c r="G394" t="s">
        <v>59</v>
      </c>
      <c r="H394">
        <v>24</v>
      </c>
      <c r="I394" t="b">
        <f>AND(COUNTIF('NO2'!A:A,A394)&gt;0,COUNTIF('O3'!A:A,A394)&gt;0,COUNTIF('PM10'!A:A,A394)&gt;0,COUNTIF('PM2.5'!A:A,A394)&gt;0,COUNTIF('SO2'!A:A,A394)&gt;0)</f>
        <v>1</v>
      </c>
    </row>
    <row r="395" spans="1:9" x14ac:dyDescent="0.45">
      <c r="A395" s="4">
        <v>45804</v>
      </c>
      <c r="B395" t="s">
        <v>149</v>
      </c>
      <c r="C395" t="s">
        <v>170</v>
      </c>
      <c r="D395" t="s">
        <v>148</v>
      </c>
      <c r="E395" t="s">
        <v>149</v>
      </c>
      <c r="F395" t="s">
        <v>130</v>
      </c>
      <c r="G395" t="s">
        <v>194</v>
      </c>
      <c r="H395">
        <v>24</v>
      </c>
      <c r="I395" t="b">
        <f>AND(COUNTIF('NO2'!A:A,A395)&gt;0,COUNTIF('O3'!A:A,A395)&gt;0,COUNTIF('PM10'!A:A,A395)&gt;0,COUNTIF('PM2.5'!A:A,A395)&gt;0,COUNTIF('SO2'!A:A,A395)&gt;0)</f>
        <v>1</v>
      </c>
    </row>
    <row r="396" spans="1:9" x14ac:dyDescent="0.45">
      <c r="A396" s="4">
        <v>45805</v>
      </c>
      <c r="B396" t="s">
        <v>110</v>
      </c>
      <c r="C396" t="s">
        <v>156</v>
      </c>
      <c r="D396" t="s">
        <v>152</v>
      </c>
      <c r="E396" t="s">
        <v>137</v>
      </c>
      <c r="F396" t="s">
        <v>170</v>
      </c>
      <c r="G396" t="s">
        <v>53</v>
      </c>
      <c r="H396">
        <v>24</v>
      </c>
      <c r="I396" t="b">
        <f>AND(COUNTIF('NO2'!A:A,A396)&gt;0,COUNTIF('O3'!A:A,A396)&gt;0,COUNTIF('PM10'!A:A,A396)&gt;0,COUNTIF('PM2.5'!A:A,A396)&gt;0,COUNTIF('SO2'!A:A,A396)&gt;0)</f>
        <v>1</v>
      </c>
    </row>
    <row r="397" spans="1:9" x14ac:dyDescent="0.45">
      <c r="A397" s="4">
        <v>45806</v>
      </c>
      <c r="B397" t="s">
        <v>111</v>
      </c>
      <c r="C397" t="s">
        <v>110</v>
      </c>
      <c r="D397" t="s">
        <v>111</v>
      </c>
      <c r="E397" t="s">
        <v>111</v>
      </c>
      <c r="F397" t="s">
        <v>111</v>
      </c>
      <c r="G397" t="s">
        <v>12</v>
      </c>
      <c r="H397">
        <v>24</v>
      </c>
      <c r="I397" t="b">
        <f>AND(COUNTIF('NO2'!A:A,A397)&gt;0,COUNTIF('O3'!A:A,A397)&gt;0,COUNTIF('PM10'!A:A,A397)&gt;0,COUNTIF('PM2.5'!A:A,A397)&gt;0,COUNTIF('SO2'!A:A,A397)&gt;0)</f>
        <v>1</v>
      </c>
    </row>
    <row r="398" spans="1:9" x14ac:dyDescent="0.45">
      <c r="A398" s="4">
        <v>45807</v>
      </c>
      <c r="B398" t="s">
        <v>111</v>
      </c>
      <c r="C398" t="s">
        <v>111</v>
      </c>
      <c r="D398" t="s">
        <v>111</v>
      </c>
      <c r="E398" t="s">
        <v>111</v>
      </c>
      <c r="F398" t="s">
        <v>111</v>
      </c>
      <c r="G398" t="s">
        <v>141</v>
      </c>
      <c r="H398">
        <v>24</v>
      </c>
      <c r="I398" t="b">
        <f>AND(COUNTIF('NO2'!A:A,A398)&gt;0,COUNTIF('O3'!A:A,A398)&gt;0,COUNTIF('PM10'!A:A,A398)&gt;0,COUNTIF('PM2.5'!A:A,A398)&gt;0,COUNTIF('SO2'!A:A,A398)&gt;0)</f>
        <v>1</v>
      </c>
    </row>
    <row r="399" spans="1:9" x14ac:dyDescent="0.45">
      <c r="A399" s="4">
        <v>45808</v>
      </c>
      <c r="B399" t="s">
        <v>110</v>
      </c>
      <c r="C399" t="s">
        <v>137</v>
      </c>
      <c r="D399" t="s">
        <v>137</v>
      </c>
      <c r="E399" t="s">
        <v>140</v>
      </c>
      <c r="F399" t="s">
        <v>137</v>
      </c>
      <c r="G399" t="s">
        <v>38</v>
      </c>
      <c r="H399">
        <v>24</v>
      </c>
      <c r="I399" t="b">
        <f>AND(COUNTIF('NO2'!A:A,A399)&gt;0,COUNTIF('O3'!A:A,A399)&gt;0,COUNTIF('PM10'!A:A,A399)&gt;0,COUNTIF('PM2.5'!A:A,A399)&gt;0,COUNTIF('SO2'!A:A,A399)&gt;0)</f>
        <v>1</v>
      </c>
    </row>
    <row r="400" spans="1:9" x14ac:dyDescent="0.45">
      <c r="A400" s="4">
        <v>45809</v>
      </c>
      <c r="B400" t="s">
        <v>137</v>
      </c>
      <c r="C400" t="s">
        <v>149</v>
      </c>
      <c r="D400" t="s">
        <v>137</v>
      </c>
      <c r="E400" t="s">
        <v>137</v>
      </c>
      <c r="F400" t="s">
        <v>137</v>
      </c>
      <c r="G400" t="s">
        <v>17</v>
      </c>
      <c r="H400">
        <v>24</v>
      </c>
      <c r="I400" t="b">
        <f>AND(COUNTIF('NO2'!A:A,A400)&gt;0,COUNTIF('O3'!A:A,A400)&gt;0,COUNTIF('PM10'!A:A,A400)&gt;0,COUNTIF('PM2.5'!A:A,A400)&gt;0,COUNTIF('SO2'!A:A,A400)&gt;0)</f>
        <v>1</v>
      </c>
    </row>
    <row r="401" spans="1:9" x14ac:dyDescent="0.45">
      <c r="A401" s="4">
        <v>45810</v>
      </c>
      <c r="B401" t="s">
        <v>11</v>
      </c>
      <c r="C401" t="s">
        <v>149</v>
      </c>
      <c r="D401" t="s">
        <v>102</v>
      </c>
      <c r="E401" t="s">
        <v>40</v>
      </c>
      <c r="F401" t="s">
        <v>168</v>
      </c>
      <c r="G401" t="s">
        <v>263</v>
      </c>
      <c r="H401">
        <v>24</v>
      </c>
      <c r="I401" t="b">
        <f>AND(COUNTIF('NO2'!A:A,A401)&gt;0,COUNTIF('O3'!A:A,A401)&gt;0,COUNTIF('PM10'!A:A,A401)&gt;0,COUNTIF('PM2.5'!A:A,A401)&gt;0,COUNTIF('SO2'!A:A,A401)&gt;0)</f>
        <v>1</v>
      </c>
    </row>
    <row r="402" spans="1:9" x14ac:dyDescent="0.45">
      <c r="A402" s="4">
        <v>45811</v>
      </c>
      <c r="B402" t="s">
        <v>18</v>
      </c>
      <c r="C402" t="s">
        <v>9</v>
      </c>
      <c r="D402" t="s">
        <v>21</v>
      </c>
      <c r="E402" t="s">
        <v>21</v>
      </c>
      <c r="F402" t="s">
        <v>21</v>
      </c>
      <c r="G402" t="s">
        <v>36</v>
      </c>
      <c r="H402">
        <v>24</v>
      </c>
      <c r="I402" t="b">
        <f>AND(COUNTIF('NO2'!A:A,A402)&gt;0,COUNTIF('O3'!A:A,A402)&gt;0,COUNTIF('PM10'!A:A,A402)&gt;0,COUNTIF('PM2.5'!A:A,A402)&gt;0,COUNTIF('SO2'!A:A,A402)&gt;0)</f>
        <v>1</v>
      </c>
    </row>
    <row r="403" spans="1:9" x14ac:dyDescent="0.45">
      <c r="A403" s="4">
        <v>45812</v>
      </c>
      <c r="B403" t="s">
        <v>8</v>
      </c>
      <c r="C403" t="s">
        <v>126</v>
      </c>
      <c r="D403" t="s">
        <v>126</v>
      </c>
      <c r="E403" t="s">
        <v>29</v>
      </c>
      <c r="F403" t="s">
        <v>126</v>
      </c>
      <c r="G403" t="s">
        <v>264</v>
      </c>
      <c r="H403">
        <v>24</v>
      </c>
      <c r="I403" t="b">
        <f>AND(COUNTIF('NO2'!A:A,A403)&gt;0,COUNTIF('O3'!A:A,A403)&gt;0,COUNTIF('PM10'!A:A,A403)&gt;0,COUNTIF('PM2.5'!A:A,A403)&gt;0,COUNTIF('SO2'!A:A,A403)&gt;0)</f>
        <v>1</v>
      </c>
    </row>
    <row r="404" spans="1:9" x14ac:dyDescent="0.45">
      <c r="A404" s="4">
        <v>45813</v>
      </c>
      <c r="B404" t="s">
        <v>18</v>
      </c>
      <c r="C404" t="s">
        <v>90</v>
      </c>
      <c r="D404" t="s">
        <v>18</v>
      </c>
      <c r="E404" t="s">
        <v>18</v>
      </c>
      <c r="F404" t="s">
        <v>26</v>
      </c>
      <c r="G404" t="s">
        <v>71</v>
      </c>
      <c r="H404">
        <v>24</v>
      </c>
      <c r="I404" t="b">
        <f>AND(COUNTIF('NO2'!A:A,A404)&gt;0,COUNTIF('O3'!A:A,A404)&gt;0,COUNTIF('PM10'!A:A,A404)&gt;0,COUNTIF('PM2.5'!A:A,A404)&gt;0,COUNTIF('SO2'!A:A,A404)&gt;0)</f>
        <v>1</v>
      </c>
    </row>
    <row r="405" spans="1:9" x14ac:dyDescent="0.45">
      <c r="A405" s="4">
        <v>45814</v>
      </c>
      <c r="B405" t="s">
        <v>19</v>
      </c>
      <c r="C405" t="s">
        <v>108</v>
      </c>
      <c r="D405" t="s">
        <v>108</v>
      </c>
      <c r="E405" t="s">
        <v>32</v>
      </c>
      <c r="F405" t="s">
        <v>108</v>
      </c>
      <c r="G405" t="s">
        <v>265</v>
      </c>
      <c r="H405">
        <v>24</v>
      </c>
      <c r="I405" t="b">
        <f>AND(COUNTIF('NO2'!A:A,A405)&gt;0,COUNTIF('O3'!A:A,A405)&gt;0,COUNTIF('PM10'!A:A,A405)&gt;0,COUNTIF('PM2.5'!A:A,A405)&gt;0,COUNTIF('SO2'!A:A,A405)&gt;0)</f>
        <v>1</v>
      </c>
    </row>
    <row r="406" spans="1:9" x14ac:dyDescent="0.45">
      <c r="A406" s="4">
        <v>45815</v>
      </c>
      <c r="B406" t="s">
        <v>98</v>
      </c>
      <c r="C406" t="s">
        <v>43</v>
      </c>
      <c r="D406" t="s">
        <v>129</v>
      </c>
      <c r="E406" t="s">
        <v>129</v>
      </c>
      <c r="F406" t="s">
        <v>35</v>
      </c>
      <c r="G406" t="s">
        <v>266</v>
      </c>
      <c r="H406">
        <v>24</v>
      </c>
      <c r="I406" t="b">
        <f>AND(COUNTIF('NO2'!A:A,A406)&gt;0,COUNTIF('O3'!A:A,A406)&gt;0,COUNTIF('PM10'!A:A,A406)&gt;0,COUNTIF('PM2.5'!A:A,A406)&gt;0,COUNTIF('SO2'!A:A,A406)&gt;0)</f>
        <v>1</v>
      </c>
    </row>
    <row r="407" spans="1:9" x14ac:dyDescent="0.45">
      <c r="A407" s="4">
        <v>45816</v>
      </c>
      <c r="B407" t="s">
        <v>18</v>
      </c>
      <c r="C407" t="s">
        <v>108</v>
      </c>
      <c r="D407" t="s">
        <v>39</v>
      </c>
      <c r="E407" t="s">
        <v>25</v>
      </c>
      <c r="F407" t="s">
        <v>39</v>
      </c>
      <c r="G407" t="s">
        <v>247</v>
      </c>
      <c r="H407">
        <v>24</v>
      </c>
      <c r="I407" t="b">
        <f>AND(COUNTIF('NO2'!A:A,A407)&gt;0,COUNTIF('O3'!A:A,A407)&gt;0,COUNTIF('PM10'!A:A,A407)&gt;0,COUNTIF('PM2.5'!A:A,A407)&gt;0,COUNTIF('SO2'!A:A,A407)&gt;0)</f>
        <v>1</v>
      </c>
    </row>
    <row r="408" spans="1:9" x14ac:dyDescent="0.45">
      <c r="A408" s="4">
        <v>45817</v>
      </c>
      <c r="B408" t="s">
        <v>98</v>
      </c>
      <c r="C408" t="s">
        <v>43</v>
      </c>
      <c r="D408" t="s">
        <v>21</v>
      </c>
      <c r="E408" t="s">
        <v>18</v>
      </c>
      <c r="F408" t="s">
        <v>34</v>
      </c>
      <c r="G408" t="s">
        <v>243</v>
      </c>
      <c r="H408">
        <v>24</v>
      </c>
      <c r="I408" t="b">
        <f>AND(COUNTIF('NO2'!A:A,A408)&gt;0,COUNTIF('O3'!A:A,A408)&gt;0,COUNTIF('PM10'!A:A,A408)&gt;0,COUNTIF('PM2.5'!A:A,A408)&gt;0,COUNTIF('SO2'!A:A,A408)&gt;0)</f>
        <v>1</v>
      </c>
    </row>
    <row r="409" spans="1:9" x14ac:dyDescent="0.45">
      <c r="A409" s="4">
        <v>45818</v>
      </c>
      <c r="B409" t="s">
        <v>21</v>
      </c>
      <c r="C409" t="s">
        <v>9</v>
      </c>
      <c r="D409" t="s">
        <v>8</v>
      </c>
      <c r="E409" t="s">
        <v>8</v>
      </c>
      <c r="F409" t="s">
        <v>9</v>
      </c>
      <c r="G409" t="s">
        <v>17</v>
      </c>
      <c r="H409">
        <v>24</v>
      </c>
      <c r="I409" t="b">
        <f>AND(COUNTIF('NO2'!A:A,A409)&gt;0,COUNTIF('O3'!A:A,A409)&gt;0,COUNTIF('PM10'!A:A,A409)&gt;0,COUNTIF('PM2.5'!A:A,A409)&gt;0,COUNTIF('SO2'!A:A,A409)&gt;0)</f>
        <v>1</v>
      </c>
    </row>
    <row r="410" spans="1:9" x14ac:dyDescent="0.45">
      <c r="A410" s="4">
        <v>45819</v>
      </c>
      <c r="B410" t="s">
        <v>21</v>
      </c>
      <c r="C410" t="s">
        <v>126</v>
      </c>
      <c r="D410" t="s">
        <v>19</v>
      </c>
      <c r="E410" t="s">
        <v>21</v>
      </c>
      <c r="F410" t="s">
        <v>32</v>
      </c>
      <c r="G410" t="s">
        <v>266</v>
      </c>
      <c r="H410">
        <v>24</v>
      </c>
      <c r="I410" t="b">
        <f>AND(COUNTIF('NO2'!A:A,A410)&gt;0,COUNTIF('O3'!A:A,A410)&gt;0,COUNTIF('PM10'!A:A,A410)&gt;0,COUNTIF('PM2.5'!A:A,A410)&gt;0,COUNTIF('SO2'!A:A,A410)&gt;0)</f>
        <v>1</v>
      </c>
    </row>
    <row r="411" spans="1:9" x14ac:dyDescent="0.45">
      <c r="A411" s="4">
        <v>45820</v>
      </c>
      <c r="B411" t="s">
        <v>126</v>
      </c>
      <c r="C411" t="s">
        <v>126</v>
      </c>
      <c r="D411" t="s">
        <v>126</v>
      </c>
      <c r="E411" t="s">
        <v>126</v>
      </c>
      <c r="F411" t="s">
        <v>126</v>
      </c>
      <c r="G411" t="s">
        <v>56</v>
      </c>
      <c r="H411">
        <v>24</v>
      </c>
      <c r="I411" t="b">
        <f>AND(COUNTIF('NO2'!A:A,A411)&gt;0,COUNTIF('O3'!A:A,A411)&gt;0,COUNTIF('PM10'!A:A,A411)&gt;0,COUNTIF('PM2.5'!A:A,A411)&gt;0,COUNTIF('SO2'!A:A,A411)&gt;0)</f>
        <v>1</v>
      </c>
    </row>
    <row r="412" spans="1:9" x14ac:dyDescent="0.45">
      <c r="A412" s="4">
        <v>45821</v>
      </c>
      <c r="B412" t="s">
        <v>108</v>
      </c>
      <c r="C412" t="s">
        <v>149</v>
      </c>
      <c r="D412">
        <v>1</v>
      </c>
      <c r="E412" t="s">
        <v>139</v>
      </c>
      <c r="F412" t="s">
        <v>151</v>
      </c>
      <c r="G412" t="s">
        <v>122</v>
      </c>
      <c r="H412">
        <v>24</v>
      </c>
      <c r="I412" t="b">
        <f>AND(COUNTIF('NO2'!A:A,A412)&gt;0,COUNTIF('O3'!A:A,A412)&gt;0,COUNTIF('PM10'!A:A,A412)&gt;0,COUNTIF('PM2.5'!A:A,A412)&gt;0,COUNTIF('SO2'!A:A,A412)&gt;0)</f>
        <v>1</v>
      </c>
    </row>
    <row r="413" spans="1:9" x14ac:dyDescent="0.45">
      <c r="A413" s="4">
        <v>45822</v>
      </c>
      <c r="B413" t="s">
        <v>18</v>
      </c>
      <c r="C413" t="s">
        <v>108</v>
      </c>
      <c r="D413" t="s">
        <v>25</v>
      </c>
      <c r="E413" t="s">
        <v>11</v>
      </c>
      <c r="F413" t="s">
        <v>89</v>
      </c>
      <c r="G413" t="s">
        <v>186</v>
      </c>
      <c r="H413">
        <v>24</v>
      </c>
      <c r="I413" t="b">
        <f>AND(COUNTIF('NO2'!A:A,A413)&gt;0,COUNTIF('O3'!A:A,A413)&gt;0,COUNTIF('PM10'!A:A,A413)&gt;0,COUNTIF('PM2.5'!A:A,A413)&gt;0,COUNTIF('SO2'!A:A,A413)&gt;0)</f>
        <v>1</v>
      </c>
    </row>
    <row r="414" spans="1:9" x14ac:dyDescent="0.45">
      <c r="A414" s="4">
        <v>45823</v>
      </c>
      <c r="B414" t="s">
        <v>18</v>
      </c>
      <c r="C414" t="s">
        <v>126</v>
      </c>
      <c r="D414" t="s">
        <v>108</v>
      </c>
      <c r="E414" t="s">
        <v>25</v>
      </c>
      <c r="F414" t="s">
        <v>126</v>
      </c>
      <c r="G414" t="s">
        <v>267</v>
      </c>
      <c r="H414">
        <v>24</v>
      </c>
      <c r="I414" t="b">
        <f>AND(COUNTIF('NO2'!A:A,A414)&gt;0,COUNTIF('O3'!A:A,A414)&gt;0,COUNTIF('PM10'!A:A,A414)&gt;0,COUNTIF('PM2.5'!A:A,A414)&gt;0,COUNTIF('SO2'!A:A,A414)&gt;0)</f>
        <v>1</v>
      </c>
    </row>
    <row r="415" spans="1:9" x14ac:dyDescent="0.45">
      <c r="A415" s="4">
        <v>45824</v>
      </c>
      <c r="B415" t="s">
        <v>18</v>
      </c>
      <c r="C415" t="s">
        <v>126</v>
      </c>
      <c r="D415" t="s">
        <v>21</v>
      </c>
      <c r="E415" t="s">
        <v>18</v>
      </c>
      <c r="F415" t="s">
        <v>29</v>
      </c>
      <c r="G415" t="s">
        <v>238</v>
      </c>
      <c r="H415">
        <v>24</v>
      </c>
      <c r="I415" t="b">
        <f>AND(COUNTIF('NO2'!A:A,A415)&gt;0,COUNTIF('O3'!A:A,A415)&gt;0,COUNTIF('PM10'!A:A,A415)&gt;0,COUNTIF('PM2.5'!A:A,A415)&gt;0,COUNTIF('SO2'!A:A,A415)&gt;0)</f>
        <v>1</v>
      </c>
    </row>
    <row r="416" spans="1:9" x14ac:dyDescent="0.45">
      <c r="A416" s="4">
        <v>45826</v>
      </c>
      <c r="B416" t="s">
        <v>145</v>
      </c>
      <c r="C416" t="s">
        <v>149</v>
      </c>
      <c r="D416" t="s">
        <v>149</v>
      </c>
      <c r="E416" t="s">
        <v>145</v>
      </c>
      <c r="F416" t="s">
        <v>149</v>
      </c>
      <c r="G416" t="s">
        <v>12</v>
      </c>
      <c r="H416">
        <v>24</v>
      </c>
      <c r="I416" t="b">
        <f>AND(COUNTIF('NO2'!A:A,A416)&gt;0,COUNTIF('O3'!A:A,A416)&gt;0,COUNTIF('PM10'!A:A,A416)&gt;0,COUNTIF('PM2.5'!A:A,A416)&gt;0,COUNTIF('SO2'!A:A,A416)&gt;0)</f>
        <v>1</v>
      </c>
    </row>
    <row r="417" spans="1:9" x14ac:dyDescent="0.45">
      <c r="A417" s="4">
        <v>45827</v>
      </c>
      <c r="B417" t="s">
        <v>149</v>
      </c>
      <c r="C417" t="s">
        <v>148</v>
      </c>
      <c r="D417" t="s">
        <v>148</v>
      </c>
      <c r="E417" t="s">
        <v>148</v>
      </c>
      <c r="F417" t="s">
        <v>148</v>
      </c>
      <c r="G417" t="s">
        <v>12</v>
      </c>
      <c r="H417">
        <v>24</v>
      </c>
      <c r="I417" t="b">
        <f>AND(COUNTIF('NO2'!A:A,A417)&gt;0,COUNTIF('O3'!A:A,A417)&gt;0,COUNTIF('PM10'!A:A,A417)&gt;0,COUNTIF('PM2.5'!A:A,A417)&gt;0,COUNTIF('SO2'!A:A,A417)&gt;0)</f>
        <v>1</v>
      </c>
    </row>
    <row r="418" spans="1:9" x14ac:dyDescent="0.45">
      <c r="A418" s="4">
        <v>45828</v>
      </c>
      <c r="B418" t="s">
        <v>148</v>
      </c>
      <c r="C418" t="s">
        <v>146</v>
      </c>
      <c r="D418" t="s">
        <v>146</v>
      </c>
      <c r="E418" t="s">
        <v>146</v>
      </c>
      <c r="F418" t="s">
        <v>146</v>
      </c>
      <c r="G418" t="s">
        <v>36</v>
      </c>
      <c r="H418">
        <v>24</v>
      </c>
      <c r="I418" t="b">
        <f>AND(COUNTIF('NO2'!A:A,A418)&gt;0,COUNTIF('O3'!A:A,A418)&gt;0,COUNTIF('PM10'!A:A,A418)&gt;0,COUNTIF('PM2.5'!A:A,A418)&gt;0,COUNTIF('SO2'!A:A,A418)&gt;0)</f>
        <v>1</v>
      </c>
    </row>
    <row r="419" spans="1:9" x14ac:dyDescent="0.45">
      <c r="A419" s="4">
        <v>45829</v>
      </c>
      <c r="B419" t="s">
        <v>149</v>
      </c>
      <c r="C419" t="s">
        <v>146</v>
      </c>
      <c r="D419" t="s">
        <v>148</v>
      </c>
      <c r="E419" t="s">
        <v>148</v>
      </c>
      <c r="F419" t="s">
        <v>148</v>
      </c>
      <c r="G419" t="s">
        <v>17</v>
      </c>
      <c r="H419">
        <v>24</v>
      </c>
      <c r="I419" t="b">
        <f>AND(COUNTIF('NO2'!A:A,A419)&gt;0,COUNTIF('O3'!A:A,A419)&gt;0,COUNTIF('PM10'!A:A,A419)&gt;0,COUNTIF('PM2.5'!A:A,A419)&gt;0,COUNTIF('SO2'!A:A,A419)&gt;0)</f>
        <v>1</v>
      </c>
    </row>
    <row r="420" spans="1:9" x14ac:dyDescent="0.45">
      <c r="A420" s="4">
        <v>45830</v>
      </c>
      <c r="B420" t="s">
        <v>147</v>
      </c>
      <c r="C420" t="s">
        <v>157</v>
      </c>
      <c r="D420" t="s">
        <v>170</v>
      </c>
      <c r="E420" t="s">
        <v>152</v>
      </c>
      <c r="F420" t="s">
        <v>170</v>
      </c>
      <c r="G420" t="s">
        <v>31</v>
      </c>
      <c r="H420">
        <v>24</v>
      </c>
      <c r="I420" t="b">
        <f>AND(COUNTIF('NO2'!A:A,A420)&gt;0,COUNTIF('O3'!A:A,A420)&gt;0,COUNTIF('PM10'!A:A,A420)&gt;0,COUNTIF('PM2.5'!A:A,A420)&gt;0,COUNTIF('SO2'!A:A,A420)&gt;0)</f>
        <v>1</v>
      </c>
    </row>
    <row r="421" spans="1:9" x14ac:dyDescent="0.45">
      <c r="A421" s="4">
        <v>45831</v>
      </c>
      <c r="B421" t="s">
        <v>115</v>
      </c>
      <c r="C421" t="s">
        <v>154</v>
      </c>
      <c r="D421" t="s">
        <v>127</v>
      </c>
      <c r="E421" t="s">
        <v>162</v>
      </c>
      <c r="F421" t="s">
        <v>164</v>
      </c>
      <c r="G421" t="s">
        <v>179</v>
      </c>
      <c r="H421">
        <v>24</v>
      </c>
      <c r="I421" t="b">
        <f>AND(COUNTIF('NO2'!A:A,A421)&gt;0,COUNTIF('O3'!A:A,A421)&gt;0,COUNTIF('PM10'!A:A,A421)&gt;0,COUNTIF('PM2.5'!A:A,A421)&gt;0,COUNTIF('SO2'!A:A,A421)&gt;0)</f>
        <v>1</v>
      </c>
    </row>
    <row r="422" spans="1:9" x14ac:dyDescent="0.45">
      <c r="A422" s="4">
        <v>45832</v>
      </c>
      <c r="B422" t="s">
        <v>159</v>
      </c>
      <c r="C422" t="s">
        <v>164</v>
      </c>
      <c r="D422" t="s">
        <v>164</v>
      </c>
      <c r="E422" t="s">
        <v>174</v>
      </c>
      <c r="F422" t="s">
        <v>164</v>
      </c>
      <c r="G422" t="s">
        <v>192</v>
      </c>
      <c r="H422">
        <v>24</v>
      </c>
      <c r="I422" t="b">
        <f>AND(COUNTIF('NO2'!A:A,A422)&gt;0,COUNTIF('O3'!A:A,A422)&gt;0,COUNTIF('PM10'!A:A,A422)&gt;0,COUNTIF('PM2.5'!A:A,A422)&gt;0,COUNTIF('SO2'!A:A,A422)&gt;0)</f>
        <v>1</v>
      </c>
    </row>
    <row r="423" spans="1:9" x14ac:dyDescent="0.45">
      <c r="A423" s="4">
        <v>45833</v>
      </c>
      <c r="B423" t="s">
        <v>136</v>
      </c>
      <c r="C423" t="s">
        <v>123</v>
      </c>
      <c r="D423" t="s">
        <v>154</v>
      </c>
      <c r="E423" t="s">
        <v>164</v>
      </c>
      <c r="F423" t="s">
        <v>253</v>
      </c>
      <c r="G423" t="s">
        <v>97</v>
      </c>
      <c r="H423">
        <v>24</v>
      </c>
      <c r="I423" t="b">
        <f>AND(COUNTIF('NO2'!A:A,A423)&gt;0,COUNTIF('O3'!A:A,A423)&gt;0,COUNTIF('PM10'!A:A,A423)&gt;0,COUNTIF('PM2.5'!A:A,A423)&gt;0,COUNTIF('SO2'!A:A,A423)&gt;0)</f>
        <v>1</v>
      </c>
    </row>
    <row r="424" spans="1:9" x14ac:dyDescent="0.45">
      <c r="A424" s="4">
        <v>45834</v>
      </c>
      <c r="B424" t="s">
        <v>117</v>
      </c>
      <c r="C424" t="s">
        <v>268</v>
      </c>
      <c r="D424" t="s">
        <v>114</v>
      </c>
      <c r="E424" t="s">
        <v>222</v>
      </c>
      <c r="F424" t="s">
        <v>119</v>
      </c>
      <c r="G424" t="s">
        <v>172</v>
      </c>
      <c r="H424">
        <v>12</v>
      </c>
      <c r="I424" t="b">
        <f>AND(COUNTIF('NO2'!A:A,A424)&gt;0,COUNTIF('O3'!A:A,A424)&gt;0,COUNTIF('PM10'!A:A,A424)&gt;0,COUNTIF('PM2.5'!A:A,A424)&gt;0,COUNTIF('SO2'!A:A,A424)&gt;0)</f>
        <v>1</v>
      </c>
    </row>
    <row r="425" spans="1:9" x14ac:dyDescent="0.45">
      <c r="A425" s="4">
        <v>45838</v>
      </c>
      <c r="B425" t="s">
        <v>111</v>
      </c>
      <c r="C425" t="s">
        <v>111</v>
      </c>
      <c r="D425" t="s">
        <v>111</v>
      </c>
      <c r="E425" t="s">
        <v>111</v>
      </c>
      <c r="F425" t="s">
        <v>111</v>
      </c>
      <c r="G425" t="s">
        <v>56</v>
      </c>
      <c r="H425">
        <v>4</v>
      </c>
      <c r="I425" t="b">
        <f>AND(COUNTIF('NO2'!A:A,A425)&gt;0,COUNTIF('O3'!A:A,A425)&gt;0,COUNTIF('PM10'!A:A,A425)&gt;0,COUNTIF('PM2.5'!A:A,A425)&gt;0,COUNTIF('SO2'!A:A,A425)&gt;0)</f>
        <v>1</v>
      </c>
    </row>
    <row r="426" spans="1:9" x14ac:dyDescent="0.45">
      <c r="A426" s="4">
        <v>45839</v>
      </c>
      <c r="B426" t="s">
        <v>110</v>
      </c>
      <c r="C426" t="s">
        <v>149</v>
      </c>
      <c r="D426" t="s">
        <v>137</v>
      </c>
      <c r="E426" t="s">
        <v>140</v>
      </c>
      <c r="F426" t="s">
        <v>145</v>
      </c>
      <c r="G426" t="s">
        <v>178</v>
      </c>
      <c r="H426">
        <v>24</v>
      </c>
      <c r="I426" t="b">
        <f>AND(COUNTIF('NO2'!A:A,A426)&gt;0,COUNTIF('O3'!A:A,A426)&gt;0,COUNTIF('PM10'!A:A,A426)&gt;0,COUNTIF('PM2.5'!A:A,A426)&gt;0,COUNTIF('SO2'!A:A,A426)&gt;0)</f>
        <v>1</v>
      </c>
    </row>
    <row r="427" spans="1:9" x14ac:dyDescent="0.45">
      <c r="A427" s="4">
        <v>45840</v>
      </c>
      <c r="B427" t="s">
        <v>142</v>
      </c>
      <c r="C427" t="s">
        <v>145</v>
      </c>
      <c r="D427" t="s">
        <v>110</v>
      </c>
      <c r="E427" t="s">
        <v>111</v>
      </c>
      <c r="F427" t="s">
        <v>137</v>
      </c>
      <c r="G427" t="s">
        <v>194</v>
      </c>
      <c r="H427">
        <v>24</v>
      </c>
      <c r="I427" t="b">
        <f>AND(COUNTIF('NO2'!A:A,A427)&gt;0,COUNTIF('O3'!A:A,A427)&gt;0,COUNTIF('PM10'!A:A,A427)&gt;0,COUNTIF('PM2.5'!A:A,A427)&gt;0,COUNTIF('SO2'!A:A,A427)&gt;0)</f>
        <v>1</v>
      </c>
    </row>
    <row r="428" spans="1:9" x14ac:dyDescent="0.45">
      <c r="A428" s="4">
        <v>45841</v>
      </c>
      <c r="B428" t="s">
        <v>167</v>
      </c>
      <c r="C428" t="s">
        <v>151</v>
      </c>
      <c r="D428" t="s">
        <v>142</v>
      </c>
      <c r="E428" t="s">
        <v>168</v>
      </c>
      <c r="F428" t="s">
        <v>151</v>
      </c>
      <c r="G428" t="s">
        <v>37</v>
      </c>
      <c r="H428">
        <v>24</v>
      </c>
      <c r="I428" t="b">
        <f>AND(COUNTIF('NO2'!A:A,A428)&gt;0,COUNTIF('O3'!A:A,A428)&gt;0,COUNTIF('PM10'!A:A,A428)&gt;0,COUNTIF('PM2.5'!A:A,A428)&gt;0,COUNTIF('SO2'!A:A,A428)&gt;0)</f>
        <v>1</v>
      </c>
    </row>
    <row r="429" spans="1:9" x14ac:dyDescent="0.45">
      <c r="A429" s="4">
        <v>45842</v>
      </c>
      <c r="B429" t="s">
        <v>167</v>
      </c>
      <c r="C429" t="s">
        <v>111</v>
      </c>
      <c r="D429" t="s">
        <v>142</v>
      </c>
      <c r="E429" t="s">
        <v>167</v>
      </c>
      <c r="F429" t="s">
        <v>150</v>
      </c>
      <c r="G429" t="s">
        <v>97</v>
      </c>
      <c r="H429">
        <v>20</v>
      </c>
      <c r="I429" t="b">
        <f>AND(COUNTIF('NO2'!A:A,A429)&gt;0,COUNTIF('O3'!A:A,A429)&gt;0,COUNTIF('PM10'!A:A,A429)&gt;0,COUNTIF('PM2.5'!A:A,A429)&gt;0,COUNTIF('SO2'!A:A,A429)&gt;0)</f>
        <v>1</v>
      </c>
    </row>
    <row r="430" spans="1:9" x14ac:dyDescent="0.45">
      <c r="A430" s="4">
        <v>45845</v>
      </c>
      <c r="B430">
        <v>1</v>
      </c>
      <c r="C430" t="s">
        <v>167</v>
      </c>
      <c r="D430" t="s">
        <v>112</v>
      </c>
      <c r="E430" t="s">
        <v>104</v>
      </c>
      <c r="F430" t="s">
        <v>167</v>
      </c>
      <c r="G430" t="s">
        <v>86</v>
      </c>
      <c r="H430">
        <v>5</v>
      </c>
      <c r="I430" t="b">
        <f>AND(COUNTIF('NO2'!A:A,A430)&gt;0,COUNTIF('O3'!A:A,A430)&gt;0,COUNTIF('PM10'!A:A,A430)&gt;0,COUNTIF('PM2.5'!A:A,A430)&gt;0,COUNTIF('SO2'!A:A,A430)&gt;0)</f>
        <v>1</v>
      </c>
    </row>
    <row r="431" spans="1:9" x14ac:dyDescent="0.45">
      <c r="A431" s="4">
        <v>45846</v>
      </c>
      <c r="B431" t="s">
        <v>185</v>
      </c>
      <c r="C431">
        <v>1</v>
      </c>
      <c r="D431" t="s">
        <v>96</v>
      </c>
      <c r="E431" t="s">
        <v>185</v>
      </c>
      <c r="F431" t="s">
        <v>107</v>
      </c>
      <c r="G431" t="s">
        <v>144</v>
      </c>
      <c r="H431">
        <v>24</v>
      </c>
      <c r="I431" t="b">
        <f>AND(COUNTIF('NO2'!A:A,A431)&gt;0,COUNTIF('O3'!A:A,A431)&gt;0,COUNTIF('PM10'!A:A,A431)&gt;0,COUNTIF('PM2.5'!A:A,A431)&gt;0,COUNTIF('SO2'!A:A,A431)&gt;0)</f>
        <v>1</v>
      </c>
    </row>
    <row r="432" spans="1:9" x14ac:dyDescent="0.45">
      <c r="A432" s="4">
        <v>45847</v>
      </c>
      <c r="B432" t="s">
        <v>39</v>
      </c>
      <c r="C432">
        <v>1</v>
      </c>
      <c r="D432" t="s">
        <v>88</v>
      </c>
      <c r="E432" t="s">
        <v>126</v>
      </c>
      <c r="F432" t="s">
        <v>202</v>
      </c>
      <c r="G432" t="s">
        <v>72</v>
      </c>
      <c r="H432">
        <v>24</v>
      </c>
      <c r="I432" t="b">
        <f>AND(COUNTIF('NO2'!A:A,A432)&gt;0,COUNTIF('O3'!A:A,A432)&gt;0,COUNTIF('PM10'!A:A,A432)&gt;0,COUNTIF('PM2.5'!A:A,A432)&gt;0,COUNTIF('SO2'!A:A,A432)&gt;0)</f>
        <v>1</v>
      </c>
    </row>
    <row r="433" spans="1:9" x14ac:dyDescent="0.45">
      <c r="A433" s="4">
        <v>45848</v>
      </c>
      <c r="B433">
        <v>1</v>
      </c>
      <c r="C433" t="s">
        <v>137</v>
      </c>
      <c r="D433" t="s">
        <v>110</v>
      </c>
      <c r="E433" t="s">
        <v>168</v>
      </c>
      <c r="F433" t="s">
        <v>140</v>
      </c>
      <c r="G433" t="s">
        <v>173</v>
      </c>
      <c r="H433">
        <v>24</v>
      </c>
      <c r="I433" t="b">
        <f>AND(COUNTIF('NO2'!A:A,A433)&gt;0,COUNTIF('O3'!A:A,A433)&gt;0,COUNTIF('PM10'!A:A,A433)&gt;0,COUNTIF('PM2.5'!A:A,A433)&gt;0,COUNTIF('SO2'!A:A,A433)&gt;0)</f>
        <v>1</v>
      </c>
    </row>
    <row r="434" spans="1:9" x14ac:dyDescent="0.45">
      <c r="A434" s="4">
        <v>45849</v>
      </c>
      <c r="B434" t="s">
        <v>140</v>
      </c>
      <c r="C434" t="s">
        <v>152</v>
      </c>
      <c r="D434" t="s">
        <v>148</v>
      </c>
      <c r="E434" t="s">
        <v>145</v>
      </c>
      <c r="F434" t="s">
        <v>146</v>
      </c>
      <c r="G434" t="s">
        <v>87</v>
      </c>
      <c r="H434">
        <v>24</v>
      </c>
      <c r="I434" t="b">
        <f>AND(COUNTIF('NO2'!A:A,A434)&gt;0,COUNTIF('O3'!A:A,A434)&gt;0,COUNTIF('PM10'!A:A,A434)&gt;0,COUNTIF('PM2.5'!A:A,A434)&gt;0,COUNTIF('SO2'!A:A,A434)&gt;0)</f>
        <v>1</v>
      </c>
    </row>
    <row r="435" spans="1:9" x14ac:dyDescent="0.45">
      <c r="A435" s="4">
        <v>45850</v>
      </c>
      <c r="B435" t="s">
        <v>145</v>
      </c>
      <c r="C435" t="s">
        <v>152</v>
      </c>
      <c r="D435" t="s">
        <v>148</v>
      </c>
      <c r="E435" t="s">
        <v>149</v>
      </c>
      <c r="F435" t="s">
        <v>146</v>
      </c>
      <c r="G435" t="s">
        <v>86</v>
      </c>
      <c r="H435">
        <v>24</v>
      </c>
      <c r="I435" t="b">
        <f>AND(COUNTIF('NO2'!A:A,A435)&gt;0,COUNTIF('O3'!A:A,A435)&gt;0,COUNTIF('PM10'!A:A,A435)&gt;0,COUNTIF('PM2.5'!A:A,A435)&gt;0,COUNTIF('SO2'!A:A,A435)&gt;0)</f>
        <v>1</v>
      </c>
    </row>
    <row r="436" spans="1:9" x14ac:dyDescent="0.45">
      <c r="A436" s="4">
        <v>45851</v>
      </c>
      <c r="B436" t="s">
        <v>137</v>
      </c>
      <c r="C436" t="s">
        <v>145</v>
      </c>
      <c r="D436" t="s">
        <v>145</v>
      </c>
      <c r="E436" t="s">
        <v>137</v>
      </c>
      <c r="F436" t="s">
        <v>145</v>
      </c>
      <c r="G436" t="s">
        <v>24</v>
      </c>
      <c r="H436">
        <v>24</v>
      </c>
      <c r="I436" t="b">
        <f>AND(COUNTIF('NO2'!A:A,A436)&gt;0,COUNTIF('O3'!A:A,A436)&gt;0,COUNTIF('PM10'!A:A,A436)&gt;0,COUNTIF('PM2.5'!A:A,A436)&gt;0,COUNTIF('SO2'!A:A,A436)&gt;0)</f>
        <v>1</v>
      </c>
    </row>
    <row r="437" spans="1:9" x14ac:dyDescent="0.45">
      <c r="A437" s="4">
        <v>45852</v>
      </c>
      <c r="B437" t="s">
        <v>137</v>
      </c>
      <c r="C437" t="s">
        <v>145</v>
      </c>
      <c r="D437" t="s">
        <v>137</v>
      </c>
      <c r="E437" t="s">
        <v>137</v>
      </c>
      <c r="F437" t="s">
        <v>137</v>
      </c>
      <c r="G437" t="s">
        <v>22</v>
      </c>
      <c r="H437">
        <v>24</v>
      </c>
      <c r="I437" t="b">
        <f>AND(COUNTIF('NO2'!A:A,A437)&gt;0,COUNTIF('O3'!A:A,A437)&gt;0,COUNTIF('PM10'!A:A,A437)&gt;0,COUNTIF('PM2.5'!A:A,A437)&gt;0,COUNTIF('SO2'!A:A,A437)&gt;0)</f>
        <v>1</v>
      </c>
    </row>
    <row r="438" spans="1:9" x14ac:dyDescent="0.45">
      <c r="A438" s="4">
        <v>45853</v>
      </c>
      <c r="B438" t="s">
        <v>145</v>
      </c>
      <c r="C438" t="s">
        <v>149</v>
      </c>
      <c r="D438" t="s">
        <v>149</v>
      </c>
      <c r="E438" t="s">
        <v>149</v>
      </c>
      <c r="F438" t="s">
        <v>149</v>
      </c>
      <c r="G438" t="s">
        <v>12</v>
      </c>
      <c r="H438">
        <v>24</v>
      </c>
      <c r="I438" t="b">
        <f>AND(COUNTIF('NO2'!A:A,A438)&gt;0,COUNTIF('O3'!A:A,A438)&gt;0,COUNTIF('PM10'!A:A,A438)&gt;0,COUNTIF('PM2.5'!A:A,A438)&gt;0,COUNTIF('SO2'!A:A,A438)&gt;0)</f>
        <v>1</v>
      </c>
    </row>
    <row r="439" spans="1:9" x14ac:dyDescent="0.45">
      <c r="A439" s="4">
        <v>45854</v>
      </c>
      <c r="B439" t="s">
        <v>149</v>
      </c>
      <c r="C439" t="s">
        <v>148</v>
      </c>
      <c r="D439" t="s">
        <v>149</v>
      </c>
      <c r="E439" t="s">
        <v>149</v>
      </c>
      <c r="F439" t="s">
        <v>148</v>
      </c>
      <c r="G439" t="s">
        <v>141</v>
      </c>
      <c r="H439">
        <v>24</v>
      </c>
      <c r="I439" t="b">
        <f>AND(COUNTIF('NO2'!A:A,A439)&gt;0,COUNTIF('O3'!A:A,A439)&gt;0,COUNTIF('PM10'!A:A,A439)&gt;0,COUNTIF('PM2.5'!A:A,A439)&gt;0,COUNTIF('SO2'!A:A,A439)&gt;0)</f>
        <v>1</v>
      </c>
    </row>
    <row r="440" spans="1:9" x14ac:dyDescent="0.45">
      <c r="A440" s="4">
        <v>45855</v>
      </c>
      <c r="B440" t="s">
        <v>149</v>
      </c>
      <c r="C440" t="s">
        <v>147</v>
      </c>
      <c r="D440" t="s">
        <v>148</v>
      </c>
      <c r="E440" t="s">
        <v>149</v>
      </c>
      <c r="F440" t="s">
        <v>148</v>
      </c>
      <c r="G440" t="s">
        <v>17</v>
      </c>
      <c r="H440">
        <v>24</v>
      </c>
      <c r="I440" t="b">
        <f>AND(COUNTIF('NO2'!A:A,A440)&gt;0,COUNTIF('O3'!A:A,A440)&gt;0,COUNTIF('PM10'!A:A,A440)&gt;0,COUNTIF('PM2.5'!A:A,A440)&gt;0,COUNTIF('SO2'!A:A,A440)&gt;0)</f>
        <v>1</v>
      </c>
    </row>
    <row r="441" spans="1:9" x14ac:dyDescent="0.45">
      <c r="A441" s="4">
        <v>45857</v>
      </c>
      <c r="B441" t="s">
        <v>149</v>
      </c>
      <c r="C441" t="s">
        <v>147</v>
      </c>
      <c r="D441" t="s">
        <v>147</v>
      </c>
      <c r="E441" t="s">
        <v>148</v>
      </c>
      <c r="F441" t="s">
        <v>147</v>
      </c>
      <c r="G441" t="s">
        <v>22</v>
      </c>
      <c r="H441">
        <v>24</v>
      </c>
      <c r="I441" t="b">
        <f>AND(COUNTIF('NO2'!A:A,A441)&gt;0,COUNTIF('O3'!A:A,A441)&gt;0,COUNTIF('PM10'!A:A,A441)&gt;0,COUNTIF('PM2.5'!A:A,A441)&gt;0,COUNTIF('SO2'!A:A,A441)&gt;0)</f>
        <v>1</v>
      </c>
    </row>
    <row r="442" spans="1:9" x14ac:dyDescent="0.45">
      <c r="A442" s="4">
        <v>45858</v>
      </c>
      <c r="B442" t="s">
        <v>147</v>
      </c>
      <c r="C442" t="s">
        <v>146</v>
      </c>
      <c r="D442" t="s">
        <v>146</v>
      </c>
      <c r="E442" t="s">
        <v>147</v>
      </c>
      <c r="F442" t="s">
        <v>146</v>
      </c>
      <c r="G442" t="s">
        <v>33</v>
      </c>
      <c r="H442">
        <v>24</v>
      </c>
      <c r="I442" t="b">
        <f>AND(COUNTIF('NO2'!A:A,A442)&gt;0,COUNTIF('O3'!A:A,A442)&gt;0,COUNTIF('PM10'!A:A,A442)&gt;0,COUNTIF('PM2.5'!A:A,A442)&gt;0,COUNTIF('SO2'!A:A,A442)&gt;0)</f>
        <v>1</v>
      </c>
    </row>
    <row r="443" spans="1:9" x14ac:dyDescent="0.45">
      <c r="A443" s="4">
        <v>45859</v>
      </c>
      <c r="B443" t="s">
        <v>146</v>
      </c>
      <c r="C443" t="s">
        <v>130</v>
      </c>
      <c r="D443" t="s">
        <v>152</v>
      </c>
      <c r="E443" t="s">
        <v>146</v>
      </c>
      <c r="F443" t="s">
        <v>130</v>
      </c>
      <c r="G443" t="s">
        <v>17</v>
      </c>
      <c r="H443">
        <v>24</v>
      </c>
      <c r="I443" t="b">
        <f>AND(COUNTIF('NO2'!A:A,A443)&gt;0,COUNTIF('O3'!A:A,A443)&gt;0,COUNTIF('PM10'!A:A,A443)&gt;0,COUNTIF('PM2.5'!A:A,A443)&gt;0,COUNTIF('SO2'!A:A,A443)&gt;0)</f>
        <v>1</v>
      </c>
    </row>
    <row r="444" spans="1:9" x14ac:dyDescent="0.45">
      <c r="A444" s="4">
        <v>45860</v>
      </c>
      <c r="B444" t="s">
        <v>147</v>
      </c>
      <c r="C444" t="s">
        <v>130</v>
      </c>
      <c r="D444" t="s">
        <v>146</v>
      </c>
      <c r="E444" t="s">
        <v>147</v>
      </c>
      <c r="F444" t="s">
        <v>152</v>
      </c>
      <c r="G444" t="s">
        <v>38</v>
      </c>
      <c r="H444">
        <v>24</v>
      </c>
      <c r="I444" t="b">
        <f>AND(COUNTIF('NO2'!A:A,A444)&gt;0,COUNTIF('O3'!A:A,A444)&gt;0,COUNTIF('PM10'!A:A,A444)&gt;0,COUNTIF('PM2.5'!A:A,A444)&gt;0,COUNTIF('SO2'!A:A,A444)&gt;0)</f>
        <v>1</v>
      </c>
    </row>
    <row r="445" spans="1:9" x14ac:dyDescent="0.45">
      <c r="A445" s="4">
        <v>45861</v>
      </c>
      <c r="B445" t="s">
        <v>149</v>
      </c>
      <c r="C445" t="s">
        <v>147</v>
      </c>
      <c r="D445" t="s">
        <v>148</v>
      </c>
      <c r="E445" t="s">
        <v>149</v>
      </c>
      <c r="F445" t="s">
        <v>147</v>
      </c>
      <c r="G445" t="s">
        <v>85</v>
      </c>
      <c r="H445">
        <v>2</v>
      </c>
      <c r="I445" t="b">
        <f>AND(COUNTIF('NO2'!A:A,A445)&gt;0,COUNTIF('O3'!A:A,A445)&gt;0,COUNTIF('PM10'!A:A,A445)&gt;0,COUNTIF('PM2.5'!A:A,A445)&gt;0,COUNTIF('SO2'!A:A,A445)&gt;0)</f>
        <v>1</v>
      </c>
    </row>
    <row r="446" spans="1:9" x14ac:dyDescent="0.45">
      <c r="A446" s="4">
        <v>45862</v>
      </c>
      <c r="B446" t="s">
        <v>137</v>
      </c>
      <c r="C446" t="s">
        <v>137</v>
      </c>
      <c r="D446" t="s">
        <v>137</v>
      </c>
      <c r="E446" t="s">
        <v>137</v>
      </c>
      <c r="F446" t="s">
        <v>137</v>
      </c>
      <c r="G446" t="s">
        <v>56</v>
      </c>
      <c r="H446">
        <v>5</v>
      </c>
      <c r="I446" t="b">
        <f>AND(COUNTIF('NO2'!A:A,A446)&gt;0,COUNTIF('O3'!A:A,A446)&gt;0,COUNTIF('PM10'!A:A,A446)&gt;0,COUNTIF('PM2.5'!A:A,A446)&gt;0,COUNTIF('SO2'!A:A,A446)&gt;0)</f>
        <v>1</v>
      </c>
    </row>
    <row r="447" spans="1:9" x14ac:dyDescent="0.45">
      <c r="A447" s="4">
        <v>45863</v>
      </c>
      <c r="B447" t="s">
        <v>137</v>
      </c>
      <c r="C447" t="s">
        <v>170</v>
      </c>
      <c r="D447" t="s">
        <v>152</v>
      </c>
      <c r="E447" t="s">
        <v>149</v>
      </c>
      <c r="F447" t="s">
        <v>170</v>
      </c>
      <c r="G447" t="s">
        <v>180</v>
      </c>
      <c r="H447">
        <v>24</v>
      </c>
      <c r="I447" t="b">
        <f>AND(COUNTIF('NO2'!A:A,A447)&gt;0,COUNTIF('O3'!A:A,A447)&gt;0,COUNTIF('PM10'!A:A,A447)&gt;0,COUNTIF('PM2.5'!A:A,A447)&gt;0,COUNTIF('SO2'!A:A,A447)&gt;0)</f>
        <v>1</v>
      </c>
    </row>
    <row r="448" spans="1:9" x14ac:dyDescent="0.45">
      <c r="A448" s="4">
        <v>45864</v>
      </c>
      <c r="B448" t="s">
        <v>170</v>
      </c>
      <c r="C448" t="s">
        <v>132</v>
      </c>
      <c r="D448" t="s">
        <v>156</v>
      </c>
      <c r="E448" t="s">
        <v>156</v>
      </c>
      <c r="F448" t="s">
        <v>156</v>
      </c>
      <c r="G448" t="s">
        <v>22</v>
      </c>
      <c r="H448">
        <v>24</v>
      </c>
      <c r="I448" t="b">
        <f>AND(COUNTIF('NO2'!A:A,A448)&gt;0,COUNTIF('O3'!A:A,A448)&gt;0,COUNTIF('PM10'!A:A,A448)&gt;0,COUNTIF('PM2.5'!A:A,A448)&gt;0,COUNTIF('SO2'!A:A,A448)&gt;0)</f>
        <v>1</v>
      </c>
    </row>
    <row r="449" spans="1:9" x14ac:dyDescent="0.45">
      <c r="A449" s="4">
        <v>45865</v>
      </c>
      <c r="B449" t="s">
        <v>147</v>
      </c>
      <c r="C449" t="s">
        <v>157</v>
      </c>
      <c r="D449" t="s">
        <v>130</v>
      </c>
      <c r="E449" t="s">
        <v>146</v>
      </c>
      <c r="F449" t="s">
        <v>132</v>
      </c>
      <c r="G449" t="s">
        <v>27</v>
      </c>
      <c r="H449">
        <v>24</v>
      </c>
      <c r="I449" t="b">
        <f>AND(COUNTIF('NO2'!A:A,A449)&gt;0,COUNTIF('O3'!A:A,A449)&gt;0,COUNTIF('PM10'!A:A,A449)&gt;0,COUNTIF('PM2.5'!A:A,A449)&gt;0,COUNTIF('SO2'!A:A,A449)&gt;0)</f>
        <v>1</v>
      </c>
    </row>
    <row r="450" spans="1:9" x14ac:dyDescent="0.45">
      <c r="A450" s="4">
        <v>45866</v>
      </c>
      <c r="B450" t="s">
        <v>137</v>
      </c>
      <c r="C450" t="s">
        <v>147</v>
      </c>
      <c r="D450" t="s">
        <v>137</v>
      </c>
      <c r="E450" t="s">
        <v>137</v>
      </c>
      <c r="F450" t="s">
        <v>137</v>
      </c>
      <c r="G450" t="s">
        <v>85</v>
      </c>
      <c r="H450">
        <v>24</v>
      </c>
      <c r="I450" t="b">
        <f>AND(COUNTIF('NO2'!A:A,A450)&gt;0,COUNTIF('O3'!A:A,A450)&gt;0,COUNTIF('PM10'!A:A,A450)&gt;0,COUNTIF('PM2.5'!A:A,A450)&gt;0,COUNTIF('SO2'!A:A,A450)&gt;0)</f>
        <v>1</v>
      </c>
    </row>
    <row r="451" spans="1:9" x14ac:dyDescent="0.45">
      <c r="A451" s="4">
        <v>45867</v>
      </c>
      <c r="B451" t="s">
        <v>137</v>
      </c>
      <c r="C451" t="s">
        <v>148</v>
      </c>
      <c r="D451" t="s">
        <v>145</v>
      </c>
      <c r="E451" t="s">
        <v>137</v>
      </c>
      <c r="F451" t="s">
        <v>149</v>
      </c>
      <c r="G451" t="s">
        <v>16</v>
      </c>
      <c r="H451">
        <v>24</v>
      </c>
      <c r="I451" t="b">
        <f>AND(COUNTIF('NO2'!A:A,A451)&gt;0,COUNTIF('O3'!A:A,A451)&gt;0,COUNTIF('PM10'!A:A,A451)&gt;0,COUNTIF('PM2.5'!A:A,A451)&gt;0,COUNTIF('SO2'!A:A,A451)&gt;0)</f>
        <v>1</v>
      </c>
    </row>
    <row r="452" spans="1:9" x14ac:dyDescent="0.45">
      <c r="A452" s="4">
        <v>45868</v>
      </c>
      <c r="B452" t="s">
        <v>151</v>
      </c>
      <c r="C452" t="s">
        <v>148</v>
      </c>
      <c r="D452" t="s">
        <v>140</v>
      </c>
      <c r="E452" t="s">
        <v>150</v>
      </c>
      <c r="F452" t="s">
        <v>145</v>
      </c>
      <c r="G452" t="s">
        <v>180</v>
      </c>
      <c r="H452">
        <v>24</v>
      </c>
      <c r="I452" t="b">
        <f>AND(COUNTIF('NO2'!A:A,A452)&gt;0,COUNTIF('O3'!A:A,A452)&gt;0,COUNTIF('PM10'!A:A,A452)&gt;0,COUNTIF('PM2.5'!A:A,A452)&gt;0,COUNTIF('SO2'!A:A,A452)&gt;0)</f>
        <v>1</v>
      </c>
    </row>
    <row r="453" spans="1:9" x14ac:dyDescent="0.45">
      <c r="A453" s="4">
        <v>45869</v>
      </c>
      <c r="B453" t="s">
        <v>151</v>
      </c>
      <c r="C453" t="s">
        <v>137</v>
      </c>
      <c r="D453" t="s">
        <v>140</v>
      </c>
      <c r="E453" t="s">
        <v>111</v>
      </c>
      <c r="F453" t="s">
        <v>137</v>
      </c>
      <c r="G453" t="s">
        <v>97</v>
      </c>
      <c r="H453">
        <v>24</v>
      </c>
      <c r="I453" t="b">
        <f>AND(COUNTIF('NO2'!A:A,A453)&gt;0,COUNTIF('O3'!A:A,A453)&gt;0,COUNTIF('PM10'!A:A,A453)&gt;0,COUNTIF('PM2.5'!A:A,A453)&gt;0,COUNTIF('SO2'!A:A,A453)&gt;0)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20E-8043-4AE0-9347-E409EF67423B}">
  <dimension ref="A1:I453"/>
  <sheetViews>
    <sheetView workbookViewId="0">
      <selection activeCell="I2" sqref="I2:I453"/>
    </sheetView>
  </sheetViews>
  <sheetFormatPr defaultRowHeight="14.25" x14ac:dyDescent="0.45"/>
  <cols>
    <col min="1" max="1" width="12.5976562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 t="s">
        <v>447</v>
      </c>
      <c r="C2" t="s">
        <v>448</v>
      </c>
      <c r="D2">
        <v>20</v>
      </c>
      <c r="E2" t="s">
        <v>449</v>
      </c>
      <c r="F2" t="s">
        <v>450</v>
      </c>
      <c r="G2" s="1">
        <v>19255</v>
      </c>
      <c r="H2">
        <v>20</v>
      </c>
      <c r="I2" t="b">
        <f>AND(COUNTIF(CO!A:A,A2)&gt;0,COUNTIF('O3'!A:A,A2)&gt;0,COUNTIF('PM10'!A:A,A2)&gt;0,COUNTIF('PM2.5'!A:A,A2)&gt;0,COUNTIF('SO2'!A:A,A2)&gt;0,COUNTIF(Kendaraan!A:A,A2))</f>
        <v>1</v>
      </c>
    </row>
    <row r="3" spans="1:9" x14ac:dyDescent="0.45">
      <c r="A3" s="4">
        <v>45338</v>
      </c>
      <c r="B3" t="s">
        <v>115</v>
      </c>
      <c r="C3" t="s">
        <v>451</v>
      </c>
      <c r="D3" t="s">
        <v>452</v>
      </c>
      <c r="E3" t="s">
        <v>453</v>
      </c>
      <c r="F3" t="s">
        <v>454</v>
      </c>
      <c r="G3" s="1">
        <v>3235</v>
      </c>
      <c r="H3">
        <v>8</v>
      </c>
      <c r="I3" t="b">
        <f>AND(COUNTIF(CO!A:A,A3)&gt;0,COUNTIF('O3'!A:A,A3)&gt;0,COUNTIF('PM10'!A:A,A3)&gt;0,COUNTIF('PM2.5'!A:A,A3)&gt;0,COUNTIF('SO2'!A:A,A3)&gt;0,COUNTIF(Kendaraan!A:A,A3))</f>
        <v>1</v>
      </c>
    </row>
    <row r="4" spans="1:9" x14ac:dyDescent="0.45">
      <c r="A4" s="4">
        <v>45342</v>
      </c>
      <c r="B4" t="s">
        <v>455</v>
      </c>
      <c r="C4">
        <v>61</v>
      </c>
      <c r="D4" t="s">
        <v>449</v>
      </c>
      <c r="E4" t="s">
        <v>362</v>
      </c>
      <c r="F4" t="s">
        <v>456</v>
      </c>
      <c r="G4" s="1">
        <v>17387</v>
      </c>
      <c r="H4">
        <v>19</v>
      </c>
      <c r="I4" t="b">
        <f>AND(COUNTIF(CO!A:A,A4)&gt;0,COUNTIF('O3'!A:A,A4)&gt;0,COUNTIF('PM10'!A:A,A4)&gt;0,COUNTIF('PM2.5'!A:A,A4)&gt;0,COUNTIF('SO2'!A:A,A4)&gt;0,COUNTIF(Kendaraan!A:A,A4))</f>
        <v>1</v>
      </c>
    </row>
    <row r="5" spans="1:9" x14ac:dyDescent="0.45">
      <c r="A5" s="4">
        <v>45343</v>
      </c>
      <c r="B5" t="s">
        <v>121</v>
      </c>
      <c r="C5" t="s">
        <v>457</v>
      </c>
      <c r="D5" t="s">
        <v>458</v>
      </c>
      <c r="E5" t="s">
        <v>459</v>
      </c>
      <c r="F5" t="s">
        <v>460</v>
      </c>
      <c r="G5" s="1">
        <v>25091</v>
      </c>
      <c r="H5">
        <v>24</v>
      </c>
      <c r="I5" t="b">
        <f>AND(COUNTIF(CO!A:A,A5)&gt;0,COUNTIF('O3'!A:A,A5)&gt;0,COUNTIF('PM10'!A:A,A5)&gt;0,COUNTIF('PM2.5'!A:A,A5)&gt;0,COUNTIF('SO2'!A:A,A5)&gt;0,COUNTIF(Kendaraan!A:A,A5))</f>
        <v>1</v>
      </c>
    </row>
    <row r="6" spans="1:9" x14ac:dyDescent="0.45">
      <c r="A6" s="4">
        <v>45344</v>
      </c>
      <c r="B6" t="s">
        <v>305</v>
      </c>
      <c r="C6">
        <v>113</v>
      </c>
      <c r="D6">
        <v>113</v>
      </c>
      <c r="E6" t="s">
        <v>461</v>
      </c>
      <c r="F6">
        <v>113</v>
      </c>
      <c r="G6" s="1">
        <v>9054</v>
      </c>
      <c r="H6">
        <v>24</v>
      </c>
      <c r="I6" t="b">
        <f>AND(COUNTIF(CO!A:A,A6)&gt;0,COUNTIF('O3'!A:A,A6)&gt;0,COUNTIF('PM10'!A:A,A6)&gt;0,COUNTIF('PM2.5'!A:A,A6)&gt;0,COUNTIF('SO2'!A:A,A6)&gt;0,COUNTIF(Kendaraan!A:A,A6))</f>
        <v>1</v>
      </c>
    </row>
    <row r="7" spans="1:9" x14ac:dyDescent="0.45">
      <c r="A7" s="4">
        <v>45372</v>
      </c>
      <c r="B7" t="s">
        <v>462</v>
      </c>
      <c r="C7" t="s">
        <v>463</v>
      </c>
      <c r="D7" t="s">
        <v>464</v>
      </c>
      <c r="E7" t="s">
        <v>465</v>
      </c>
      <c r="F7" t="s">
        <v>466</v>
      </c>
      <c r="G7" t="s">
        <v>467</v>
      </c>
      <c r="H7">
        <v>9</v>
      </c>
      <c r="I7" t="b">
        <f>AND(COUNTIF(CO!A:A,A7)&gt;0,COUNTIF('O3'!A:A,A7)&gt;0,COUNTIF('PM10'!A:A,A7)&gt;0,COUNTIF('PM2.5'!A:A,A7)&gt;0,COUNTIF('SO2'!A:A,A7)&gt;0,COUNTIF(Kendaraan!A:A,A7))</f>
        <v>1</v>
      </c>
    </row>
    <row r="8" spans="1:9" x14ac:dyDescent="0.45">
      <c r="A8" s="4">
        <v>45373</v>
      </c>
      <c r="B8" t="s">
        <v>468</v>
      </c>
      <c r="C8" t="s">
        <v>469</v>
      </c>
      <c r="D8" t="s">
        <v>470</v>
      </c>
      <c r="E8" t="s">
        <v>471</v>
      </c>
      <c r="F8" t="s">
        <v>472</v>
      </c>
      <c r="G8" t="s">
        <v>473</v>
      </c>
      <c r="H8">
        <v>4</v>
      </c>
      <c r="I8" t="b">
        <f>AND(COUNTIF(CO!A:A,A8)&gt;0,COUNTIF('O3'!A:A,A8)&gt;0,COUNTIF('PM10'!A:A,A8)&gt;0,COUNTIF('PM2.5'!A:A,A8)&gt;0,COUNTIF('SO2'!A:A,A8)&gt;0,COUNTIF(Kendaraan!A:A,A8))</f>
        <v>1</v>
      </c>
    </row>
    <row r="9" spans="1:9" x14ac:dyDescent="0.45">
      <c r="A9" s="4">
        <v>45377</v>
      </c>
      <c r="B9" t="s">
        <v>474</v>
      </c>
      <c r="C9" t="s">
        <v>474</v>
      </c>
      <c r="D9" t="s">
        <v>474</v>
      </c>
      <c r="E9" t="s">
        <v>474</v>
      </c>
      <c r="F9" t="s">
        <v>474</v>
      </c>
      <c r="G9">
        <v>0</v>
      </c>
      <c r="H9">
        <v>1</v>
      </c>
      <c r="I9" t="b">
        <f>AND(COUNTIF(CO!A:A,A9)&gt;0,COUNTIF('O3'!A:A,A9)&gt;0,COUNTIF('PM10'!A:A,A9)&gt;0,COUNTIF('PM2.5'!A:A,A9)&gt;0,COUNTIF('SO2'!A:A,A9)&gt;0,COUNTIF(Kendaraan!A:A,A9))</f>
        <v>1</v>
      </c>
    </row>
    <row r="10" spans="1:9" x14ac:dyDescent="0.45">
      <c r="A10" s="4">
        <v>45383</v>
      </c>
      <c r="B10" t="s">
        <v>475</v>
      </c>
      <c r="C10" t="s">
        <v>476</v>
      </c>
      <c r="D10" t="s">
        <v>477</v>
      </c>
      <c r="E10" t="s">
        <v>478</v>
      </c>
      <c r="F10" t="s">
        <v>479</v>
      </c>
      <c r="G10" t="s">
        <v>480</v>
      </c>
      <c r="H10">
        <v>21</v>
      </c>
      <c r="I10" t="b">
        <f>AND(COUNTIF(CO!A:A,A10)&gt;0,COUNTIF('O3'!A:A,A10)&gt;0,COUNTIF('PM10'!A:A,A10)&gt;0,COUNTIF('PM2.5'!A:A,A10)&gt;0,COUNTIF('SO2'!A:A,A10)&gt;0,COUNTIF(Kendaraan!A:A,A10))</f>
        <v>1</v>
      </c>
    </row>
    <row r="11" spans="1:9" x14ac:dyDescent="0.45">
      <c r="A11" s="4">
        <v>45384</v>
      </c>
      <c r="B11" t="s">
        <v>481</v>
      </c>
      <c r="C11" t="s">
        <v>482</v>
      </c>
      <c r="D11" t="s">
        <v>483</v>
      </c>
      <c r="E11" t="s">
        <v>484</v>
      </c>
      <c r="F11" t="s">
        <v>485</v>
      </c>
      <c r="G11" t="s">
        <v>486</v>
      </c>
      <c r="H11">
        <v>24</v>
      </c>
      <c r="I11" t="b">
        <f>AND(COUNTIF(CO!A:A,A11)&gt;0,COUNTIF('O3'!A:A,A11)&gt;0,COUNTIF('PM10'!A:A,A11)&gt;0,COUNTIF('PM2.5'!A:A,A11)&gt;0,COUNTIF('SO2'!A:A,A11)&gt;0,COUNTIF(Kendaraan!A:A,A11))</f>
        <v>1</v>
      </c>
    </row>
    <row r="12" spans="1:9" x14ac:dyDescent="0.45">
      <c r="A12" s="4">
        <v>45385</v>
      </c>
      <c r="B12" t="s">
        <v>419</v>
      </c>
      <c r="C12" t="s">
        <v>487</v>
      </c>
      <c r="D12" t="s">
        <v>488</v>
      </c>
      <c r="E12" t="s">
        <v>489</v>
      </c>
      <c r="F12" t="s">
        <v>490</v>
      </c>
      <c r="G12" t="s">
        <v>491</v>
      </c>
      <c r="H12">
        <v>24</v>
      </c>
      <c r="I12" t="b">
        <f>AND(COUNTIF(CO!A:A,A12)&gt;0,COUNTIF('O3'!A:A,A12)&gt;0,COUNTIF('PM10'!A:A,A12)&gt;0,COUNTIF('PM2.5'!A:A,A12)&gt;0,COUNTIF('SO2'!A:A,A12)&gt;0,COUNTIF(Kendaraan!A:A,A12))</f>
        <v>1</v>
      </c>
    </row>
    <row r="13" spans="1:9" x14ac:dyDescent="0.45">
      <c r="A13" s="4">
        <v>45386</v>
      </c>
      <c r="B13" t="s">
        <v>488</v>
      </c>
      <c r="C13" t="s">
        <v>492</v>
      </c>
      <c r="D13" t="s">
        <v>493</v>
      </c>
      <c r="E13" t="s">
        <v>494</v>
      </c>
      <c r="F13" t="s">
        <v>472</v>
      </c>
      <c r="G13" t="s">
        <v>495</v>
      </c>
      <c r="H13">
        <v>24</v>
      </c>
      <c r="I13" t="b">
        <f>AND(COUNTIF(CO!A:A,A13)&gt;0,COUNTIF('O3'!A:A,A13)&gt;0,COUNTIF('PM10'!A:A,A13)&gt;0,COUNTIF('PM2.5'!A:A,A13)&gt;0,COUNTIF('SO2'!A:A,A13)&gt;0,COUNTIF(Kendaraan!A:A,A13))</f>
        <v>1</v>
      </c>
    </row>
    <row r="14" spans="1:9" x14ac:dyDescent="0.45">
      <c r="A14" s="4">
        <v>45387</v>
      </c>
      <c r="B14" t="s">
        <v>496</v>
      </c>
      <c r="C14" t="s">
        <v>497</v>
      </c>
      <c r="D14" t="s">
        <v>410</v>
      </c>
      <c r="E14" t="s">
        <v>498</v>
      </c>
      <c r="F14" t="s">
        <v>499</v>
      </c>
      <c r="G14" t="s">
        <v>500</v>
      </c>
      <c r="H14">
        <v>23</v>
      </c>
      <c r="I14" t="b">
        <f>AND(COUNTIF(CO!A:A,A14)&gt;0,COUNTIF('O3'!A:A,A14)&gt;0,COUNTIF('PM10'!A:A,A14)&gt;0,COUNTIF('PM2.5'!A:A,A14)&gt;0,COUNTIF('SO2'!A:A,A14)&gt;0,COUNTIF(Kendaraan!A:A,A14))</f>
        <v>1</v>
      </c>
    </row>
    <row r="15" spans="1:9" x14ac:dyDescent="0.45">
      <c r="A15" s="4">
        <v>45388</v>
      </c>
      <c r="B15">
        <v>23</v>
      </c>
      <c r="C15" t="s">
        <v>501</v>
      </c>
      <c r="D15" t="s">
        <v>502</v>
      </c>
      <c r="E15" t="s">
        <v>405</v>
      </c>
      <c r="F15" t="s">
        <v>503</v>
      </c>
      <c r="G15" t="s">
        <v>504</v>
      </c>
      <c r="H15">
        <v>24</v>
      </c>
      <c r="I15" t="b">
        <f>AND(COUNTIF(CO!A:A,A15)&gt;0,COUNTIF('O3'!A:A,A15)&gt;0,COUNTIF('PM10'!A:A,A15)&gt;0,COUNTIF('PM2.5'!A:A,A15)&gt;0,COUNTIF('SO2'!A:A,A15)&gt;0,COUNTIF(Kendaraan!A:A,A15))</f>
        <v>1</v>
      </c>
    </row>
    <row r="16" spans="1:9" x14ac:dyDescent="0.45">
      <c r="A16" s="4">
        <v>45389</v>
      </c>
      <c r="B16" t="s">
        <v>505</v>
      </c>
      <c r="C16" t="s">
        <v>506</v>
      </c>
      <c r="D16" t="s">
        <v>507</v>
      </c>
      <c r="E16" t="s">
        <v>508</v>
      </c>
      <c r="F16" t="s">
        <v>509</v>
      </c>
      <c r="G16" t="s">
        <v>510</v>
      </c>
      <c r="H16">
        <v>24</v>
      </c>
      <c r="I16" t="b">
        <f>AND(COUNTIF(CO!A:A,A16)&gt;0,COUNTIF('O3'!A:A,A16)&gt;0,COUNTIF('PM10'!A:A,A16)&gt;0,COUNTIF('PM2.5'!A:A,A16)&gt;0,COUNTIF('SO2'!A:A,A16)&gt;0,COUNTIF(Kendaraan!A:A,A16))</f>
        <v>1</v>
      </c>
    </row>
    <row r="17" spans="1:9" x14ac:dyDescent="0.45">
      <c r="A17" s="4">
        <v>45390</v>
      </c>
      <c r="B17" t="s">
        <v>511</v>
      </c>
      <c r="C17" t="s">
        <v>509</v>
      </c>
      <c r="D17" t="s">
        <v>512</v>
      </c>
      <c r="E17" t="s">
        <v>513</v>
      </c>
      <c r="F17" t="s">
        <v>514</v>
      </c>
      <c r="G17" t="s">
        <v>292</v>
      </c>
      <c r="H17">
        <v>24</v>
      </c>
      <c r="I17" t="b">
        <f>AND(COUNTIF(CO!A:A,A17)&gt;0,COUNTIF('O3'!A:A,A17)&gt;0,COUNTIF('PM10'!A:A,A17)&gt;0,COUNTIF('PM2.5'!A:A,A17)&gt;0,COUNTIF('SO2'!A:A,A17)&gt;0,COUNTIF(Kendaraan!A:A,A17))</f>
        <v>1</v>
      </c>
    </row>
    <row r="18" spans="1:9" x14ac:dyDescent="0.45">
      <c r="A18" s="4">
        <v>45391</v>
      </c>
      <c r="B18" t="s">
        <v>515</v>
      </c>
      <c r="C18" t="s">
        <v>516</v>
      </c>
      <c r="D18" t="s">
        <v>517</v>
      </c>
      <c r="E18" t="s">
        <v>518</v>
      </c>
      <c r="F18" t="s">
        <v>519</v>
      </c>
      <c r="G18" t="s">
        <v>520</v>
      </c>
      <c r="H18">
        <v>24</v>
      </c>
      <c r="I18" t="b">
        <f>AND(COUNTIF(CO!A:A,A18)&gt;0,COUNTIF('O3'!A:A,A18)&gt;0,COUNTIF('PM10'!A:A,A18)&gt;0,COUNTIF('PM2.5'!A:A,A18)&gt;0,COUNTIF('SO2'!A:A,A18)&gt;0,COUNTIF(Kendaraan!A:A,A18))</f>
        <v>1</v>
      </c>
    </row>
    <row r="19" spans="1:9" x14ac:dyDescent="0.45">
      <c r="A19" s="4">
        <v>45392</v>
      </c>
      <c r="B19" t="s">
        <v>488</v>
      </c>
      <c r="C19" t="s">
        <v>521</v>
      </c>
      <c r="D19" t="s">
        <v>522</v>
      </c>
      <c r="E19" t="s">
        <v>523</v>
      </c>
      <c r="F19" t="s">
        <v>524</v>
      </c>
      <c r="G19" t="s">
        <v>255</v>
      </c>
      <c r="H19">
        <v>24</v>
      </c>
      <c r="I19" t="b">
        <f>AND(COUNTIF(CO!A:A,A19)&gt;0,COUNTIF('O3'!A:A,A19)&gt;0,COUNTIF('PM10'!A:A,A19)&gt;0,COUNTIF('PM2.5'!A:A,A19)&gt;0,COUNTIF('SO2'!A:A,A19)&gt;0,COUNTIF(Kendaraan!A:A,A19))</f>
        <v>1</v>
      </c>
    </row>
    <row r="20" spans="1:9" x14ac:dyDescent="0.45">
      <c r="A20" s="4">
        <v>45393</v>
      </c>
      <c r="B20" t="s">
        <v>525</v>
      </c>
      <c r="C20" t="s">
        <v>526</v>
      </c>
      <c r="D20" t="s">
        <v>527</v>
      </c>
      <c r="E20" t="s">
        <v>528</v>
      </c>
      <c r="F20" t="s">
        <v>529</v>
      </c>
      <c r="G20" t="s">
        <v>530</v>
      </c>
      <c r="H20">
        <v>24</v>
      </c>
      <c r="I20" t="b">
        <f>AND(COUNTIF(CO!A:A,A20)&gt;0,COUNTIF('O3'!A:A,A20)&gt;0,COUNTIF('PM10'!A:A,A20)&gt;0,COUNTIF('PM2.5'!A:A,A20)&gt;0,COUNTIF('SO2'!A:A,A20)&gt;0,COUNTIF(Kendaraan!A:A,A20))</f>
        <v>1</v>
      </c>
    </row>
    <row r="21" spans="1:9" x14ac:dyDescent="0.45">
      <c r="A21" s="4">
        <v>45394</v>
      </c>
      <c r="B21" t="s">
        <v>531</v>
      </c>
      <c r="C21" t="s">
        <v>532</v>
      </c>
      <c r="D21" t="s">
        <v>533</v>
      </c>
      <c r="E21" t="s">
        <v>534</v>
      </c>
      <c r="F21" t="s">
        <v>535</v>
      </c>
      <c r="G21" t="s">
        <v>99</v>
      </c>
      <c r="H21">
        <v>24</v>
      </c>
      <c r="I21" t="b">
        <f>AND(COUNTIF(CO!A:A,A21)&gt;0,COUNTIF('O3'!A:A,A21)&gt;0,COUNTIF('PM10'!A:A,A21)&gt;0,COUNTIF('PM2.5'!A:A,A21)&gt;0,COUNTIF('SO2'!A:A,A21)&gt;0,COUNTIF(Kendaraan!A:A,A21))</f>
        <v>1</v>
      </c>
    </row>
    <row r="22" spans="1:9" x14ac:dyDescent="0.45">
      <c r="A22" s="4">
        <v>45395</v>
      </c>
      <c r="B22" t="s">
        <v>536</v>
      </c>
      <c r="C22" t="s">
        <v>537</v>
      </c>
      <c r="D22">
        <v>27</v>
      </c>
      <c r="E22" t="s">
        <v>538</v>
      </c>
      <c r="F22" t="s">
        <v>539</v>
      </c>
      <c r="G22" t="s">
        <v>234</v>
      </c>
      <c r="H22">
        <v>24</v>
      </c>
      <c r="I22" t="b">
        <f>AND(COUNTIF(CO!A:A,A22)&gt;0,COUNTIF('O3'!A:A,A22)&gt;0,COUNTIF('PM10'!A:A,A22)&gt;0,COUNTIF('PM2.5'!A:A,A22)&gt;0,COUNTIF('SO2'!A:A,A22)&gt;0,COUNTIF(Kendaraan!A:A,A22))</f>
        <v>1</v>
      </c>
    </row>
    <row r="23" spans="1:9" x14ac:dyDescent="0.45">
      <c r="A23" s="4">
        <v>45396</v>
      </c>
      <c r="B23" t="s">
        <v>540</v>
      </c>
      <c r="C23" t="s">
        <v>541</v>
      </c>
      <c r="D23" t="s">
        <v>404</v>
      </c>
      <c r="E23" t="s">
        <v>542</v>
      </c>
      <c r="F23" t="s">
        <v>537</v>
      </c>
      <c r="G23" t="s">
        <v>206</v>
      </c>
      <c r="H23">
        <v>24</v>
      </c>
      <c r="I23" t="b">
        <f>AND(COUNTIF(CO!A:A,A23)&gt;0,COUNTIF('O3'!A:A,A23)&gt;0,COUNTIF('PM10'!A:A,A23)&gt;0,COUNTIF('PM2.5'!A:A,A23)&gt;0,COUNTIF('SO2'!A:A,A23)&gt;0,COUNTIF(Kendaraan!A:A,A23))</f>
        <v>1</v>
      </c>
    </row>
    <row r="24" spans="1:9" x14ac:dyDescent="0.45">
      <c r="A24" s="4">
        <v>45397</v>
      </c>
      <c r="B24" t="s">
        <v>543</v>
      </c>
      <c r="C24" t="s">
        <v>544</v>
      </c>
      <c r="D24" t="s">
        <v>545</v>
      </c>
      <c r="E24" t="s">
        <v>546</v>
      </c>
      <c r="F24" t="s">
        <v>547</v>
      </c>
      <c r="G24" t="s">
        <v>61</v>
      </c>
      <c r="H24">
        <v>24</v>
      </c>
      <c r="I24" t="b">
        <f>AND(COUNTIF(CO!A:A,A24)&gt;0,COUNTIF('O3'!A:A,A24)&gt;0,COUNTIF('PM10'!A:A,A24)&gt;0,COUNTIF('PM2.5'!A:A,A24)&gt;0,COUNTIF('SO2'!A:A,A24)&gt;0,COUNTIF(Kendaraan!A:A,A24))</f>
        <v>1</v>
      </c>
    </row>
    <row r="25" spans="1:9" x14ac:dyDescent="0.45">
      <c r="A25" s="4">
        <v>45398</v>
      </c>
      <c r="B25" t="s">
        <v>548</v>
      </c>
      <c r="C25" t="s">
        <v>546</v>
      </c>
      <c r="D25" t="s">
        <v>549</v>
      </c>
      <c r="E25" t="s">
        <v>550</v>
      </c>
      <c r="F25" t="s">
        <v>551</v>
      </c>
      <c r="G25" t="s">
        <v>552</v>
      </c>
      <c r="H25">
        <v>24</v>
      </c>
      <c r="I25" t="b">
        <f>AND(COUNTIF(CO!A:A,A25)&gt;0,COUNTIF('O3'!A:A,A25)&gt;0,COUNTIF('PM10'!A:A,A25)&gt;0,COUNTIF('PM2.5'!A:A,A25)&gt;0,COUNTIF('SO2'!A:A,A25)&gt;0,COUNTIF(Kendaraan!A:A,A25))</f>
        <v>1</v>
      </c>
    </row>
    <row r="26" spans="1:9" x14ac:dyDescent="0.45">
      <c r="A26" s="4">
        <v>45399</v>
      </c>
      <c r="B26" t="s">
        <v>553</v>
      </c>
      <c r="C26" t="s">
        <v>554</v>
      </c>
      <c r="D26" t="s">
        <v>555</v>
      </c>
      <c r="E26" t="s">
        <v>556</v>
      </c>
      <c r="F26" t="s">
        <v>419</v>
      </c>
      <c r="G26" t="s">
        <v>557</v>
      </c>
      <c r="H26">
        <v>24</v>
      </c>
      <c r="I26" t="b">
        <f>AND(COUNTIF(CO!A:A,A26)&gt;0,COUNTIF('O3'!A:A,A26)&gt;0,COUNTIF('PM10'!A:A,A26)&gt;0,COUNTIF('PM2.5'!A:A,A26)&gt;0,COUNTIF('SO2'!A:A,A26)&gt;0,COUNTIF(Kendaraan!A:A,A26))</f>
        <v>1</v>
      </c>
    </row>
    <row r="27" spans="1:9" x14ac:dyDescent="0.45">
      <c r="A27" s="4">
        <v>45400</v>
      </c>
      <c r="B27" t="s">
        <v>506</v>
      </c>
      <c r="C27" t="s">
        <v>546</v>
      </c>
      <c r="D27" t="s">
        <v>558</v>
      </c>
      <c r="E27" t="s">
        <v>559</v>
      </c>
      <c r="F27" t="s">
        <v>560</v>
      </c>
      <c r="G27" t="s">
        <v>561</v>
      </c>
      <c r="H27">
        <v>24</v>
      </c>
      <c r="I27" t="b">
        <f>AND(COUNTIF(CO!A:A,A27)&gt;0,COUNTIF('O3'!A:A,A27)&gt;0,COUNTIF('PM10'!A:A,A27)&gt;0,COUNTIF('PM2.5'!A:A,A27)&gt;0,COUNTIF('SO2'!A:A,A27)&gt;0,COUNTIF(Kendaraan!A:A,A27))</f>
        <v>1</v>
      </c>
    </row>
    <row r="28" spans="1:9" x14ac:dyDescent="0.45">
      <c r="A28" s="4">
        <v>45401</v>
      </c>
      <c r="B28" t="s">
        <v>562</v>
      </c>
      <c r="C28" t="s">
        <v>547</v>
      </c>
      <c r="D28" t="s">
        <v>563</v>
      </c>
      <c r="E28" t="s">
        <v>564</v>
      </c>
      <c r="F28" t="s">
        <v>565</v>
      </c>
      <c r="G28" t="s">
        <v>138</v>
      </c>
      <c r="H28">
        <v>24</v>
      </c>
      <c r="I28" t="b">
        <f>AND(COUNTIF(CO!A:A,A28)&gt;0,COUNTIF('O3'!A:A,A28)&gt;0,COUNTIF('PM10'!A:A,A28)&gt;0,COUNTIF('PM2.5'!A:A,A28)&gt;0,COUNTIF('SO2'!A:A,A28)&gt;0,COUNTIF(Kendaraan!A:A,A28))</f>
        <v>1</v>
      </c>
    </row>
    <row r="29" spans="1:9" x14ac:dyDescent="0.45">
      <c r="A29" s="4">
        <v>45402</v>
      </c>
      <c r="B29">
        <v>27</v>
      </c>
      <c r="C29" t="s">
        <v>566</v>
      </c>
      <c r="D29" t="s">
        <v>567</v>
      </c>
      <c r="E29" t="s">
        <v>558</v>
      </c>
      <c r="F29" t="s">
        <v>527</v>
      </c>
      <c r="G29" t="s">
        <v>46</v>
      </c>
      <c r="H29">
        <v>24</v>
      </c>
      <c r="I29" t="b">
        <f>AND(COUNTIF(CO!A:A,A29)&gt;0,COUNTIF('O3'!A:A,A29)&gt;0,COUNTIF('PM10'!A:A,A29)&gt;0,COUNTIF('PM2.5'!A:A,A29)&gt;0,COUNTIF('SO2'!A:A,A29)&gt;0,COUNTIF(Kendaraan!A:A,A29))</f>
        <v>1</v>
      </c>
    </row>
    <row r="30" spans="1:9" x14ac:dyDescent="0.45">
      <c r="A30" s="4">
        <v>45403</v>
      </c>
      <c r="B30" t="s">
        <v>568</v>
      </c>
      <c r="C30" t="s">
        <v>569</v>
      </c>
      <c r="D30" t="s">
        <v>547</v>
      </c>
      <c r="E30" t="s">
        <v>539</v>
      </c>
      <c r="F30" t="s">
        <v>570</v>
      </c>
      <c r="G30" t="s">
        <v>273</v>
      </c>
      <c r="H30">
        <v>24</v>
      </c>
      <c r="I30" t="b">
        <f>AND(COUNTIF(CO!A:A,A30)&gt;0,COUNTIF('O3'!A:A,A30)&gt;0,COUNTIF('PM10'!A:A,A30)&gt;0,COUNTIF('PM2.5'!A:A,A30)&gt;0,COUNTIF('SO2'!A:A,A30)&gt;0,COUNTIF(Kendaraan!A:A,A30))</f>
        <v>1</v>
      </c>
    </row>
    <row r="31" spans="1:9" x14ac:dyDescent="0.45">
      <c r="A31" s="4">
        <v>45404</v>
      </c>
      <c r="B31" t="s">
        <v>571</v>
      </c>
      <c r="C31" t="s">
        <v>572</v>
      </c>
      <c r="D31" t="s">
        <v>531</v>
      </c>
      <c r="E31" t="s">
        <v>543</v>
      </c>
      <c r="F31" t="s">
        <v>573</v>
      </c>
      <c r="G31" t="s">
        <v>258</v>
      </c>
      <c r="H31">
        <v>24</v>
      </c>
      <c r="I31" t="b">
        <f>AND(COUNTIF(CO!A:A,A31)&gt;0,COUNTIF('O3'!A:A,A31)&gt;0,COUNTIF('PM10'!A:A,A31)&gt;0,COUNTIF('PM2.5'!A:A,A31)&gt;0,COUNTIF('SO2'!A:A,A31)&gt;0,COUNTIF(Kendaraan!A:A,A31))</f>
        <v>1</v>
      </c>
    </row>
    <row r="32" spans="1:9" x14ac:dyDescent="0.45">
      <c r="A32" s="4">
        <v>45405</v>
      </c>
      <c r="B32" t="s">
        <v>529</v>
      </c>
      <c r="C32" t="s">
        <v>574</v>
      </c>
      <c r="D32" t="s">
        <v>575</v>
      </c>
      <c r="E32" t="s">
        <v>576</v>
      </c>
      <c r="F32" t="s">
        <v>545</v>
      </c>
      <c r="G32" t="s">
        <v>61</v>
      </c>
      <c r="H32">
        <v>24</v>
      </c>
      <c r="I32" t="b">
        <f>AND(COUNTIF(CO!A:A,A32)&gt;0,COUNTIF('O3'!A:A,A32)&gt;0,COUNTIF('PM10'!A:A,A32)&gt;0,COUNTIF('PM2.5'!A:A,A32)&gt;0,COUNTIF('SO2'!A:A,A32)&gt;0,COUNTIF(Kendaraan!A:A,A32))</f>
        <v>1</v>
      </c>
    </row>
    <row r="33" spans="1:9" x14ac:dyDescent="0.45">
      <c r="A33" s="4">
        <v>45406</v>
      </c>
      <c r="B33" t="s">
        <v>516</v>
      </c>
      <c r="C33" t="s">
        <v>577</v>
      </c>
      <c r="D33" t="s">
        <v>578</v>
      </c>
      <c r="E33" t="s">
        <v>579</v>
      </c>
      <c r="F33" t="s">
        <v>566</v>
      </c>
      <c r="G33" t="s">
        <v>580</v>
      </c>
      <c r="H33">
        <v>24</v>
      </c>
      <c r="I33" t="b">
        <f>AND(COUNTIF(CO!A:A,A33)&gt;0,COUNTIF('O3'!A:A,A33)&gt;0,COUNTIF('PM10'!A:A,A33)&gt;0,COUNTIF('PM2.5'!A:A,A33)&gt;0,COUNTIF('SO2'!A:A,A33)&gt;0,COUNTIF(Kendaraan!A:A,A33))</f>
        <v>1</v>
      </c>
    </row>
    <row r="34" spans="1:9" x14ac:dyDescent="0.45">
      <c r="A34" s="4">
        <v>45407</v>
      </c>
      <c r="B34" t="s">
        <v>521</v>
      </c>
      <c r="C34" t="s">
        <v>581</v>
      </c>
      <c r="D34" t="s">
        <v>582</v>
      </c>
      <c r="E34" t="s">
        <v>583</v>
      </c>
      <c r="F34" t="s">
        <v>551</v>
      </c>
      <c r="G34" t="s">
        <v>95</v>
      </c>
      <c r="H34">
        <v>24</v>
      </c>
      <c r="I34" t="b">
        <f>AND(COUNTIF(CO!A:A,A34)&gt;0,COUNTIF('O3'!A:A,A34)&gt;0,COUNTIF('PM10'!A:A,A34)&gt;0,COUNTIF('PM2.5'!A:A,A34)&gt;0,COUNTIF('SO2'!A:A,A34)&gt;0,COUNTIF(Kendaraan!A:A,A34))</f>
        <v>1</v>
      </c>
    </row>
    <row r="35" spans="1:9" x14ac:dyDescent="0.45">
      <c r="A35" s="4">
        <v>45408</v>
      </c>
      <c r="B35" t="s">
        <v>553</v>
      </c>
      <c r="C35" t="s">
        <v>536</v>
      </c>
      <c r="D35" t="s">
        <v>401</v>
      </c>
      <c r="E35" t="s">
        <v>584</v>
      </c>
      <c r="F35" t="s">
        <v>585</v>
      </c>
      <c r="G35" t="s">
        <v>586</v>
      </c>
      <c r="H35">
        <v>24</v>
      </c>
      <c r="I35" t="b">
        <f>AND(COUNTIF(CO!A:A,A35)&gt;0,COUNTIF('O3'!A:A,A35)&gt;0,COUNTIF('PM10'!A:A,A35)&gt;0,COUNTIF('PM2.5'!A:A,A35)&gt;0,COUNTIF('SO2'!A:A,A35)&gt;0,COUNTIF(Kendaraan!A:A,A35))</f>
        <v>1</v>
      </c>
    </row>
    <row r="36" spans="1:9" x14ac:dyDescent="0.45">
      <c r="A36" s="4">
        <v>45409</v>
      </c>
      <c r="B36" t="s">
        <v>587</v>
      </c>
      <c r="C36" t="s">
        <v>588</v>
      </c>
      <c r="D36" t="s">
        <v>427</v>
      </c>
      <c r="E36" t="s">
        <v>589</v>
      </c>
      <c r="F36" t="s">
        <v>466</v>
      </c>
      <c r="G36" t="s">
        <v>590</v>
      </c>
      <c r="H36">
        <v>24</v>
      </c>
      <c r="I36" t="b">
        <f>AND(COUNTIF(CO!A:A,A36)&gt;0,COUNTIF('O3'!A:A,A36)&gt;0,COUNTIF('PM10'!A:A,A36)&gt;0,COUNTIF('PM2.5'!A:A,A36)&gt;0,COUNTIF('SO2'!A:A,A36)&gt;0,COUNTIF(Kendaraan!A:A,A36))</f>
        <v>1</v>
      </c>
    </row>
    <row r="37" spans="1:9" x14ac:dyDescent="0.45">
      <c r="A37" s="4">
        <v>45410</v>
      </c>
      <c r="B37" t="s">
        <v>591</v>
      </c>
      <c r="C37" t="s">
        <v>476</v>
      </c>
      <c r="D37" t="s">
        <v>592</v>
      </c>
      <c r="E37" t="s">
        <v>593</v>
      </c>
      <c r="F37" t="s">
        <v>488</v>
      </c>
      <c r="G37" t="s">
        <v>594</v>
      </c>
      <c r="H37">
        <v>24</v>
      </c>
      <c r="I37" t="b">
        <f>AND(COUNTIF(CO!A:A,A37)&gt;0,COUNTIF('O3'!A:A,A37)&gt;0,COUNTIF('PM10'!A:A,A37)&gt;0,COUNTIF('PM2.5'!A:A,A37)&gt;0,COUNTIF('SO2'!A:A,A37)&gt;0,COUNTIF(Kendaraan!A:A,A37))</f>
        <v>1</v>
      </c>
    </row>
    <row r="38" spans="1:9" x14ac:dyDescent="0.45">
      <c r="A38" s="4">
        <v>45411</v>
      </c>
      <c r="B38" t="s">
        <v>595</v>
      </c>
      <c r="C38" t="s">
        <v>596</v>
      </c>
      <c r="D38" t="s">
        <v>597</v>
      </c>
      <c r="E38" t="s">
        <v>598</v>
      </c>
      <c r="F38" t="s">
        <v>599</v>
      </c>
      <c r="G38" t="s">
        <v>66</v>
      </c>
      <c r="H38">
        <v>24</v>
      </c>
      <c r="I38" t="b">
        <f>AND(COUNTIF(CO!A:A,A38)&gt;0,COUNTIF('O3'!A:A,A38)&gt;0,COUNTIF('PM10'!A:A,A38)&gt;0,COUNTIF('PM2.5'!A:A,A38)&gt;0,COUNTIF('SO2'!A:A,A38)&gt;0,COUNTIF(Kendaraan!A:A,A38))</f>
        <v>1</v>
      </c>
    </row>
    <row r="39" spans="1:9" x14ac:dyDescent="0.45">
      <c r="A39" s="4">
        <v>45412</v>
      </c>
      <c r="B39" t="s">
        <v>600</v>
      </c>
      <c r="C39" t="s">
        <v>601</v>
      </c>
      <c r="D39" t="s">
        <v>468</v>
      </c>
      <c r="E39" t="s">
        <v>602</v>
      </c>
      <c r="F39" t="s">
        <v>603</v>
      </c>
      <c r="G39" t="s">
        <v>294</v>
      </c>
      <c r="H39">
        <v>24</v>
      </c>
      <c r="I39" t="b">
        <f>AND(COUNTIF(CO!A:A,A39)&gt;0,COUNTIF('O3'!A:A,A39)&gt;0,COUNTIF('PM10'!A:A,A39)&gt;0,COUNTIF('PM2.5'!A:A,A39)&gt;0,COUNTIF('SO2'!A:A,A39)&gt;0,COUNTIF(Kendaraan!A:A,A39))</f>
        <v>1</v>
      </c>
    </row>
    <row r="40" spans="1:9" x14ac:dyDescent="0.45">
      <c r="A40" s="4">
        <v>45413</v>
      </c>
      <c r="B40" t="s">
        <v>517</v>
      </c>
      <c r="C40" t="s">
        <v>516</v>
      </c>
      <c r="D40" t="s">
        <v>482</v>
      </c>
      <c r="E40" t="s">
        <v>471</v>
      </c>
      <c r="F40" t="s">
        <v>519</v>
      </c>
      <c r="G40" t="s">
        <v>193</v>
      </c>
      <c r="H40">
        <v>24</v>
      </c>
      <c r="I40" t="b">
        <f>AND(COUNTIF(CO!A:A,A40)&gt;0,COUNTIF('O3'!A:A,A40)&gt;0,COUNTIF('PM10'!A:A,A40)&gt;0,COUNTIF('PM2.5'!A:A,A40)&gt;0,COUNTIF('SO2'!A:A,A40)&gt;0,COUNTIF(Kendaraan!A:A,A40))</f>
        <v>1</v>
      </c>
    </row>
    <row r="41" spans="1:9" x14ac:dyDescent="0.45">
      <c r="A41" s="4">
        <v>45414</v>
      </c>
      <c r="B41" t="s">
        <v>407</v>
      </c>
      <c r="C41" t="s">
        <v>482</v>
      </c>
      <c r="D41" t="s">
        <v>485</v>
      </c>
      <c r="E41" t="s">
        <v>474</v>
      </c>
      <c r="F41" t="s">
        <v>517</v>
      </c>
      <c r="G41" t="s">
        <v>604</v>
      </c>
      <c r="H41">
        <v>24</v>
      </c>
      <c r="I41" t="b">
        <f>AND(COUNTIF(CO!A:A,A41)&gt;0,COUNTIF('O3'!A:A,A41)&gt;0,COUNTIF('PM10'!A:A,A41)&gt;0,COUNTIF('PM2.5'!A:A,A41)&gt;0,COUNTIF('SO2'!A:A,A41)&gt;0,COUNTIF(Kendaraan!A:A,A41))</f>
        <v>1</v>
      </c>
    </row>
    <row r="42" spans="1:9" x14ac:dyDescent="0.45">
      <c r="A42" s="4">
        <v>45415</v>
      </c>
      <c r="B42" t="s">
        <v>605</v>
      </c>
      <c r="C42" t="s">
        <v>606</v>
      </c>
      <c r="D42" t="s">
        <v>607</v>
      </c>
      <c r="E42" t="s">
        <v>608</v>
      </c>
      <c r="F42" t="s">
        <v>609</v>
      </c>
      <c r="G42" t="s">
        <v>234</v>
      </c>
      <c r="H42">
        <v>24</v>
      </c>
      <c r="I42" t="b">
        <f>AND(COUNTIF(CO!A:A,A42)&gt;0,COUNTIF('O3'!A:A,A42)&gt;0,COUNTIF('PM10'!A:A,A42)&gt;0,COUNTIF('PM2.5'!A:A,A42)&gt;0,COUNTIF('SO2'!A:A,A42)&gt;0,COUNTIF(Kendaraan!A:A,A42))</f>
        <v>1</v>
      </c>
    </row>
    <row r="43" spans="1:9" x14ac:dyDescent="0.45">
      <c r="A43" s="4">
        <v>45416</v>
      </c>
      <c r="B43" t="s">
        <v>610</v>
      </c>
      <c r="C43" t="s">
        <v>611</v>
      </c>
      <c r="D43" t="s">
        <v>612</v>
      </c>
      <c r="E43" t="s">
        <v>420</v>
      </c>
      <c r="F43" t="s">
        <v>607</v>
      </c>
      <c r="G43" t="s">
        <v>66</v>
      </c>
      <c r="H43">
        <v>16</v>
      </c>
      <c r="I43" t="b">
        <f>AND(COUNTIF(CO!A:A,A43)&gt;0,COUNTIF('O3'!A:A,A43)&gt;0,COUNTIF('PM10'!A:A,A43)&gt;0,COUNTIF('PM2.5'!A:A,A43)&gt;0,COUNTIF('SO2'!A:A,A43)&gt;0,COUNTIF(Kendaraan!A:A,A43))</f>
        <v>1</v>
      </c>
    </row>
    <row r="44" spans="1:9" x14ac:dyDescent="0.45">
      <c r="A44" s="4">
        <v>45417</v>
      </c>
      <c r="B44" t="s">
        <v>613</v>
      </c>
      <c r="C44" t="s">
        <v>614</v>
      </c>
      <c r="D44" t="s">
        <v>615</v>
      </c>
      <c r="E44" t="s">
        <v>616</v>
      </c>
      <c r="F44" t="s">
        <v>617</v>
      </c>
      <c r="G44" t="s">
        <v>105</v>
      </c>
      <c r="H44">
        <v>19</v>
      </c>
      <c r="I44" t="b">
        <f>AND(COUNTIF(CO!A:A,A44)&gt;0,COUNTIF('O3'!A:A,A44)&gt;0,COUNTIF('PM10'!A:A,A44)&gt;0,COUNTIF('PM2.5'!A:A,A44)&gt;0,COUNTIF('SO2'!A:A,A44)&gt;0,COUNTIF(Kendaraan!A:A,A44))</f>
        <v>1</v>
      </c>
    </row>
    <row r="45" spans="1:9" x14ac:dyDescent="0.45">
      <c r="A45" s="4">
        <v>45418</v>
      </c>
      <c r="B45" t="s">
        <v>616</v>
      </c>
      <c r="C45" t="s">
        <v>618</v>
      </c>
      <c r="D45" t="s">
        <v>619</v>
      </c>
      <c r="E45" t="s">
        <v>620</v>
      </c>
      <c r="F45" t="s">
        <v>621</v>
      </c>
      <c r="G45" t="s">
        <v>622</v>
      </c>
      <c r="H45">
        <v>24</v>
      </c>
      <c r="I45" t="b">
        <f>AND(COUNTIF(CO!A:A,A45)&gt;0,COUNTIF('O3'!A:A,A45)&gt;0,COUNTIF('PM10'!A:A,A45)&gt;0,COUNTIF('PM2.5'!A:A,A45)&gt;0,COUNTIF('SO2'!A:A,A45)&gt;0,COUNTIF(Kendaraan!A:A,A45))</f>
        <v>1</v>
      </c>
    </row>
    <row r="46" spans="1:9" x14ac:dyDescent="0.45">
      <c r="A46" s="4">
        <v>45419</v>
      </c>
      <c r="B46" t="s">
        <v>623</v>
      </c>
      <c r="C46" t="s">
        <v>624</v>
      </c>
      <c r="D46" t="s">
        <v>625</v>
      </c>
      <c r="E46" t="s">
        <v>626</v>
      </c>
      <c r="F46" t="s">
        <v>627</v>
      </c>
      <c r="G46" t="s">
        <v>628</v>
      </c>
      <c r="H46">
        <v>24</v>
      </c>
      <c r="I46" t="b">
        <f>AND(COUNTIF(CO!A:A,A46)&gt;0,COUNTIF('O3'!A:A,A46)&gt;0,COUNTIF('PM10'!A:A,A46)&gt;0,COUNTIF('PM2.5'!A:A,A46)&gt;0,COUNTIF('SO2'!A:A,A46)&gt;0,COUNTIF(Kendaraan!A:A,A46))</f>
        <v>1</v>
      </c>
    </row>
    <row r="47" spans="1:9" x14ac:dyDescent="0.45">
      <c r="A47" s="4">
        <v>45420</v>
      </c>
      <c r="B47" t="s">
        <v>629</v>
      </c>
      <c r="C47" t="s">
        <v>481</v>
      </c>
      <c r="D47" t="s">
        <v>630</v>
      </c>
      <c r="E47" t="s">
        <v>631</v>
      </c>
      <c r="F47" t="s">
        <v>514</v>
      </c>
      <c r="G47" t="s">
        <v>278</v>
      </c>
      <c r="H47">
        <v>24</v>
      </c>
      <c r="I47" t="b">
        <f>AND(COUNTIF(CO!A:A,A47)&gt;0,COUNTIF('O3'!A:A,A47)&gt;0,COUNTIF('PM10'!A:A,A47)&gt;0,COUNTIF('PM2.5'!A:A,A47)&gt;0,COUNTIF('SO2'!A:A,A47)&gt;0,COUNTIF(Kendaraan!A:A,A47))</f>
        <v>1</v>
      </c>
    </row>
    <row r="48" spans="1:9" x14ac:dyDescent="0.45">
      <c r="A48" s="4">
        <v>45421</v>
      </c>
      <c r="B48" t="s">
        <v>415</v>
      </c>
      <c r="C48" t="s">
        <v>632</v>
      </c>
      <c r="D48" t="s">
        <v>633</v>
      </c>
      <c r="E48" t="s">
        <v>489</v>
      </c>
      <c r="F48" t="s">
        <v>634</v>
      </c>
      <c r="G48" t="s">
        <v>255</v>
      </c>
      <c r="H48">
        <v>24</v>
      </c>
      <c r="I48" t="b">
        <f>AND(COUNTIF(CO!A:A,A48)&gt;0,COUNTIF('O3'!A:A,A48)&gt;0,COUNTIF('PM10'!A:A,A48)&gt;0,COUNTIF('PM2.5'!A:A,A48)&gt;0,COUNTIF('SO2'!A:A,A48)&gt;0,COUNTIF(Kendaraan!A:A,A48))</f>
        <v>1</v>
      </c>
    </row>
    <row r="49" spans="1:9" x14ac:dyDescent="0.45">
      <c r="A49" s="4">
        <v>45422</v>
      </c>
      <c r="B49" t="s">
        <v>415</v>
      </c>
      <c r="C49" t="s">
        <v>474</v>
      </c>
      <c r="D49" t="s">
        <v>635</v>
      </c>
      <c r="E49" t="s">
        <v>636</v>
      </c>
      <c r="F49" t="s">
        <v>484</v>
      </c>
      <c r="G49" t="s">
        <v>70</v>
      </c>
      <c r="H49">
        <v>24</v>
      </c>
      <c r="I49" t="b">
        <f>AND(COUNTIF(CO!A:A,A49)&gt;0,COUNTIF('O3'!A:A,A49)&gt;0,COUNTIF('PM10'!A:A,A49)&gt;0,COUNTIF('PM2.5'!A:A,A49)&gt;0,COUNTIF('SO2'!A:A,A49)&gt;0,COUNTIF(Kendaraan!A:A,A49))</f>
        <v>1</v>
      </c>
    </row>
    <row r="50" spans="1:9" x14ac:dyDescent="0.45">
      <c r="A50" s="4">
        <v>45423</v>
      </c>
      <c r="B50" t="s">
        <v>637</v>
      </c>
      <c r="C50" t="s">
        <v>638</v>
      </c>
      <c r="D50" t="s">
        <v>639</v>
      </c>
      <c r="E50" t="s">
        <v>640</v>
      </c>
      <c r="F50" t="s">
        <v>641</v>
      </c>
      <c r="G50" t="s">
        <v>642</v>
      </c>
      <c r="H50">
        <v>24</v>
      </c>
      <c r="I50" t="b">
        <f>AND(COUNTIF(CO!A:A,A50)&gt;0,COUNTIF('O3'!A:A,A50)&gt;0,COUNTIF('PM10'!A:A,A50)&gt;0,COUNTIF('PM2.5'!A:A,A50)&gt;0,COUNTIF('SO2'!A:A,A50)&gt;0,COUNTIF(Kendaraan!A:A,A50))</f>
        <v>1</v>
      </c>
    </row>
    <row r="51" spans="1:9" x14ac:dyDescent="0.45">
      <c r="A51" s="4">
        <v>45424</v>
      </c>
      <c r="B51" t="s">
        <v>643</v>
      </c>
      <c r="C51" t="s">
        <v>644</v>
      </c>
      <c r="D51" t="s">
        <v>645</v>
      </c>
      <c r="E51" t="s">
        <v>646</v>
      </c>
      <c r="F51" t="s">
        <v>647</v>
      </c>
      <c r="G51" t="s">
        <v>648</v>
      </c>
      <c r="H51">
        <v>24</v>
      </c>
      <c r="I51" t="b">
        <f>AND(COUNTIF(CO!A:A,A51)&gt;0,COUNTIF('O3'!A:A,A51)&gt;0,COUNTIF('PM10'!A:A,A51)&gt;0,COUNTIF('PM2.5'!A:A,A51)&gt;0,COUNTIF('SO2'!A:A,A51)&gt;0,COUNTIF(Kendaraan!A:A,A51))</f>
        <v>1</v>
      </c>
    </row>
    <row r="52" spans="1:9" x14ac:dyDescent="0.45">
      <c r="A52" s="4">
        <v>45425</v>
      </c>
      <c r="B52" t="s">
        <v>649</v>
      </c>
      <c r="C52" t="s">
        <v>591</v>
      </c>
      <c r="D52" t="s">
        <v>650</v>
      </c>
      <c r="E52" t="s">
        <v>625</v>
      </c>
      <c r="F52" t="s">
        <v>420</v>
      </c>
      <c r="G52" t="s">
        <v>651</v>
      </c>
      <c r="H52">
        <v>24</v>
      </c>
      <c r="I52" t="b">
        <f>AND(COUNTIF(CO!A:A,A52)&gt;0,COUNTIF('O3'!A:A,A52)&gt;0,COUNTIF('PM10'!A:A,A52)&gt;0,COUNTIF('PM2.5'!A:A,A52)&gt;0,COUNTIF('SO2'!A:A,A52)&gt;0,COUNTIF(Kendaraan!A:A,A52))</f>
        <v>1</v>
      </c>
    </row>
    <row r="53" spans="1:9" x14ac:dyDescent="0.45">
      <c r="A53" s="4">
        <v>45426</v>
      </c>
      <c r="B53" t="s">
        <v>464</v>
      </c>
      <c r="C53" t="s">
        <v>652</v>
      </c>
      <c r="D53" t="s">
        <v>653</v>
      </c>
      <c r="E53" t="s">
        <v>654</v>
      </c>
      <c r="F53" t="s">
        <v>630</v>
      </c>
      <c r="G53" t="s">
        <v>655</v>
      </c>
      <c r="H53">
        <v>24</v>
      </c>
      <c r="I53" t="b">
        <f>AND(COUNTIF(CO!A:A,A53)&gt;0,COUNTIF('O3'!A:A,A53)&gt;0,COUNTIF('PM10'!A:A,A53)&gt;0,COUNTIF('PM2.5'!A:A,A53)&gt;0,COUNTIF('SO2'!A:A,A53)&gt;0,COUNTIF(Kendaraan!A:A,A53))</f>
        <v>1</v>
      </c>
    </row>
    <row r="54" spans="1:9" x14ac:dyDescent="0.45">
      <c r="A54" s="4">
        <v>45427</v>
      </c>
      <c r="B54" t="s">
        <v>509</v>
      </c>
      <c r="C54" t="s">
        <v>584</v>
      </c>
      <c r="D54" t="s">
        <v>633</v>
      </c>
      <c r="E54" t="s">
        <v>656</v>
      </c>
      <c r="F54" t="s">
        <v>636</v>
      </c>
      <c r="G54" t="s">
        <v>230</v>
      </c>
      <c r="H54">
        <v>24</v>
      </c>
      <c r="I54" t="b">
        <f>AND(COUNTIF(CO!A:A,A54)&gt;0,COUNTIF('O3'!A:A,A54)&gt;0,COUNTIF('PM10'!A:A,A54)&gt;0,COUNTIF('PM2.5'!A:A,A54)&gt;0,COUNTIF('SO2'!A:A,A54)&gt;0,COUNTIF(Kendaraan!A:A,A54))</f>
        <v>1</v>
      </c>
    </row>
    <row r="55" spans="1:9" x14ac:dyDescent="0.45">
      <c r="A55" s="4">
        <v>45428</v>
      </c>
      <c r="B55" t="s">
        <v>657</v>
      </c>
      <c r="C55" t="s">
        <v>595</v>
      </c>
      <c r="D55" t="s">
        <v>658</v>
      </c>
      <c r="E55" t="s">
        <v>659</v>
      </c>
      <c r="F55" t="s">
        <v>644</v>
      </c>
      <c r="G55" t="s">
        <v>278</v>
      </c>
      <c r="H55">
        <v>24</v>
      </c>
      <c r="I55" t="b">
        <f>AND(COUNTIF(CO!A:A,A55)&gt;0,COUNTIF('O3'!A:A,A55)&gt;0,COUNTIF('PM10'!A:A,A55)&gt;0,COUNTIF('PM2.5'!A:A,A55)&gt;0,COUNTIF('SO2'!A:A,A55)&gt;0,COUNTIF(Kendaraan!A:A,A55))</f>
        <v>1</v>
      </c>
    </row>
    <row r="56" spans="1:9" x14ac:dyDescent="0.45">
      <c r="A56" s="4">
        <v>45429</v>
      </c>
      <c r="B56" t="s">
        <v>660</v>
      </c>
      <c r="C56" t="s">
        <v>601</v>
      </c>
      <c r="D56" t="s">
        <v>517</v>
      </c>
      <c r="E56" t="s">
        <v>559</v>
      </c>
      <c r="F56" t="s">
        <v>661</v>
      </c>
      <c r="G56" t="s">
        <v>662</v>
      </c>
      <c r="H56">
        <v>24</v>
      </c>
      <c r="I56" t="b">
        <f>AND(COUNTIF(CO!A:A,A56)&gt;0,COUNTIF('O3'!A:A,A56)&gt;0,COUNTIF('PM10'!A:A,A56)&gt;0,COUNTIF('PM2.5'!A:A,A56)&gt;0,COUNTIF('SO2'!A:A,A56)&gt;0,COUNTIF(Kendaraan!A:A,A56))</f>
        <v>1</v>
      </c>
    </row>
    <row r="57" spans="1:9" x14ac:dyDescent="0.45">
      <c r="A57" s="4">
        <v>45430</v>
      </c>
      <c r="B57" t="s">
        <v>408</v>
      </c>
      <c r="C57" t="s">
        <v>601</v>
      </c>
      <c r="D57" t="s">
        <v>406</v>
      </c>
      <c r="E57" t="s">
        <v>663</v>
      </c>
      <c r="F57" t="s">
        <v>664</v>
      </c>
      <c r="G57" t="s">
        <v>292</v>
      </c>
      <c r="H57">
        <v>24</v>
      </c>
      <c r="I57" t="b">
        <f>AND(COUNTIF(CO!A:A,A57)&gt;0,COUNTIF('O3'!A:A,A57)&gt;0,COUNTIF('PM10'!A:A,A57)&gt;0,COUNTIF('PM2.5'!A:A,A57)&gt;0,COUNTIF('SO2'!A:A,A57)&gt;0,COUNTIF(Kendaraan!A:A,A57))</f>
        <v>1</v>
      </c>
    </row>
    <row r="58" spans="1:9" x14ac:dyDescent="0.45">
      <c r="A58" s="4">
        <v>45431</v>
      </c>
      <c r="B58" t="s">
        <v>665</v>
      </c>
      <c r="C58" t="s">
        <v>494</v>
      </c>
      <c r="D58" t="s">
        <v>633</v>
      </c>
      <c r="E58" t="s">
        <v>606</v>
      </c>
      <c r="F58" t="s">
        <v>474</v>
      </c>
      <c r="G58" t="s">
        <v>666</v>
      </c>
      <c r="H58">
        <v>24</v>
      </c>
      <c r="I58" t="b">
        <f>AND(COUNTIF(CO!A:A,A58)&gt;0,COUNTIF('O3'!A:A,A58)&gt;0,COUNTIF('PM10'!A:A,A58)&gt;0,COUNTIF('PM2.5'!A:A,A58)&gt;0,COUNTIF('SO2'!A:A,A58)&gt;0,COUNTIF(Kendaraan!A:A,A58))</f>
        <v>1</v>
      </c>
    </row>
    <row r="59" spans="1:9" x14ac:dyDescent="0.45">
      <c r="A59" s="4">
        <v>45432</v>
      </c>
      <c r="B59" t="s">
        <v>667</v>
      </c>
      <c r="C59" t="s">
        <v>668</v>
      </c>
      <c r="D59" t="s">
        <v>669</v>
      </c>
      <c r="E59" t="s">
        <v>670</v>
      </c>
      <c r="F59" t="s">
        <v>671</v>
      </c>
      <c r="G59" t="s">
        <v>672</v>
      </c>
      <c r="H59">
        <v>24</v>
      </c>
      <c r="I59" t="b">
        <f>AND(COUNTIF(CO!A:A,A59)&gt;0,COUNTIF('O3'!A:A,A59)&gt;0,COUNTIF('PM10'!A:A,A59)&gt;0,COUNTIF('PM2.5'!A:A,A59)&gt;0,COUNTIF('SO2'!A:A,A59)&gt;0,COUNTIF(Kendaraan!A:A,A59))</f>
        <v>1</v>
      </c>
    </row>
    <row r="60" spans="1:9" x14ac:dyDescent="0.45">
      <c r="A60" s="4">
        <v>45433</v>
      </c>
      <c r="B60" t="s">
        <v>673</v>
      </c>
      <c r="C60" t="s">
        <v>416</v>
      </c>
      <c r="D60" t="s">
        <v>674</v>
      </c>
      <c r="E60" t="s">
        <v>498</v>
      </c>
      <c r="F60" t="s">
        <v>675</v>
      </c>
      <c r="G60" t="s">
        <v>69</v>
      </c>
      <c r="H60">
        <v>24</v>
      </c>
      <c r="I60" t="b">
        <f>AND(COUNTIF(CO!A:A,A60)&gt;0,COUNTIF('O3'!A:A,A60)&gt;0,COUNTIF('PM10'!A:A,A60)&gt;0,COUNTIF('PM2.5'!A:A,A60)&gt;0,COUNTIF('SO2'!A:A,A60)&gt;0,COUNTIF(Kendaraan!A:A,A60))</f>
        <v>1</v>
      </c>
    </row>
    <row r="61" spans="1:9" x14ac:dyDescent="0.45">
      <c r="A61" s="4">
        <v>45434</v>
      </c>
      <c r="B61" t="s">
        <v>676</v>
      </c>
      <c r="C61" t="s">
        <v>665</v>
      </c>
      <c r="D61" t="s">
        <v>677</v>
      </c>
      <c r="E61" t="s">
        <v>678</v>
      </c>
      <c r="F61" t="s">
        <v>498</v>
      </c>
      <c r="G61" t="s">
        <v>379</v>
      </c>
      <c r="H61">
        <v>18</v>
      </c>
      <c r="I61" t="b">
        <f>AND(COUNTIF(CO!A:A,A61)&gt;0,COUNTIF('O3'!A:A,A61)&gt;0,COUNTIF('PM10'!A:A,A61)&gt;0,COUNTIF('PM2.5'!A:A,A61)&gt;0,COUNTIF('SO2'!A:A,A61)&gt;0,COUNTIF(Kendaraan!A:A,A61))</f>
        <v>1</v>
      </c>
    </row>
    <row r="62" spans="1:9" x14ac:dyDescent="0.45">
      <c r="A62" s="4">
        <v>45435</v>
      </c>
      <c r="B62" t="s">
        <v>679</v>
      </c>
      <c r="C62" t="s">
        <v>432</v>
      </c>
      <c r="D62" t="s">
        <v>680</v>
      </c>
      <c r="E62" t="s">
        <v>464</v>
      </c>
      <c r="F62" t="s">
        <v>681</v>
      </c>
      <c r="G62" t="s">
        <v>50</v>
      </c>
      <c r="H62">
        <v>18</v>
      </c>
      <c r="I62" t="b">
        <f>AND(COUNTIF(CO!A:A,A62)&gt;0,COUNTIF('O3'!A:A,A62)&gt;0,COUNTIF('PM10'!A:A,A62)&gt;0,COUNTIF('PM2.5'!A:A,A62)&gt;0,COUNTIF('SO2'!A:A,A62)&gt;0,COUNTIF(Kendaraan!A:A,A62))</f>
        <v>1</v>
      </c>
    </row>
    <row r="63" spans="1:9" x14ac:dyDescent="0.45">
      <c r="A63" s="4">
        <v>45446</v>
      </c>
      <c r="B63" t="s">
        <v>682</v>
      </c>
      <c r="C63">
        <v>115</v>
      </c>
      <c r="D63" t="s">
        <v>683</v>
      </c>
      <c r="E63" t="s">
        <v>684</v>
      </c>
      <c r="F63" t="s">
        <v>685</v>
      </c>
      <c r="G63" s="1">
        <v>15815</v>
      </c>
      <c r="H63">
        <v>16</v>
      </c>
      <c r="I63" t="b">
        <f>AND(COUNTIF(CO!A:A,A63)&gt;0,COUNTIF('O3'!A:A,A63)&gt;0,COUNTIF('PM10'!A:A,A63)&gt;0,COUNTIF('PM2.5'!A:A,A63)&gt;0,COUNTIF('SO2'!A:A,A63)&gt;0,COUNTIF(Kendaraan!A:A,A63))</f>
        <v>1</v>
      </c>
    </row>
    <row r="64" spans="1:9" x14ac:dyDescent="0.45">
      <c r="A64" s="4">
        <v>45447</v>
      </c>
      <c r="B64" t="s">
        <v>686</v>
      </c>
      <c r="C64" t="s">
        <v>380</v>
      </c>
      <c r="D64" t="s">
        <v>687</v>
      </c>
      <c r="E64" t="s">
        <v>688</v>
      </c>
      <c r="F64" t="s">
        <v>689</v>
      </c>
      <c r="G64" s="1">
        <v>7038</v>
      </c>
      <c r="H64">
        <v>24</v>
      </c>
      <c r="I64" t="b">
        <f>AND(COUNTIF(CO!A:A,A64)&gt;0,COUNTIF('O3'!A:A,A64)&gt;0,COUNTIF('PM10'!A:A,A64)&gt;0,COUNTIF('PM2.5'!A:A,A64)&gt;0,COUNTIF('SO2'!A:A,A64)&gt;0,COUNTIF(Kendaraan!A:A,A64))</f>
        <v>1</v>
      </c>
    </row>
    <row r="65" spans="1:9" x14ac:dyDescent="0.45">
      <c r="A65" s="4">
        <v>45448</v>
      </c>
      <c r="B65" t="s">
        <v>690</v>
      </c>
      <c r="C65" t="s">
        <v>691</v>
      </c>
      <c r="D65" t="s">
        <v>692</v>
      </c>
      <c r="E65" t="s">
        <v>693</v>
      </c>
      <c r="F65" t="s">
        <v>694</v>
      </c>
      <c r="G65" s="1">
        <v>11182</v>
      </c>
      <c r="H65">
        <v>23</v>
      </c>
      <c r="I65" t="b">
        <f>AND(COUNTIF(CO!A:A,A65)&gt;0,COUNTIF('O3'!A:A,A65)&gt;0,COUNTIF('PM10'!A:A,A65)&gt;0,COUNTIF('PM2.5'!A:A,A65)&gt;0,COUNTIF('SO2'!A:A,A65)&gt;0,COUNTIF(Kendaraan!A:A,A65))</f>
        <v>1</v>
      </c>
    </row>
    <row r="66" spans="1:9" x14ac:dyDescent="0.45">
      <c r="A66" s="4">
        <v>45449</v>
      </c>
      <c r="B66" t="s">
        <v>695</v>
      </c>
      <c r="C66" t="s">
        <v>696</v>
      </c>
      <c r="D66" t="s">
        <v>697</v>
      </c>
      <c r="E66" t="s">
        <v>698</v>
      </c>
      <c r="F66" t="s">
        <v>699</v>
      </c>
      <c r="G66" t="s">
        <v>700</v>
      </c>
      <c r="H66">
        <v>24</v>
      </c>
      <c r="I66" t="b">
        <f>AND(COUNTIF(CO!A:A,A66)&gt;0,COUNTIF('O3'!A:A,A66)&gt;0,COUNTIF('PM10'!A:A,A66)&gt;0,COUNTIF('PM2.5'!A:A,A66)&gt;0,COUNTIF('SO2'!A:A,A66)&gt;0,COUNTIF(Kendaraan!A:A,A66))</f>
        <v>1</v>
      </c>
    </row>
    <row r="67" spans="1:9" x14ac:dyDescent="0.45">
      <c r="A67" s="4">
        <v>45450</v>
      </c>
      <c r="B67" t="s">
        <v>701</v>
      </c>
      <c r="C67" t="s">
        <v>702</v>
      </c>
      <c r="D67" t="s">
        <v>703</v>
      </c>
      <c r="E67" t="s">
        <v>703</v>
      </c>
      <c r="F67" t="s">
        <v>695</v>
      </c>
      <c r="G67" t="s">
        <v>27</v>
      </c>
      <c r="H67">
        <v>24</v>
      </c>
      <c r="I67" t="b">
        <f>AND(COUNTIF(CO!A:A,A67)&gt;0,COUNTIF('O3'!A:A,A67)&gt;0,COUNTIF('PM10'!A:A,A67)&gt;0,COUNTIF('PM2.5'!A:A,A67)&gt;0,COUNTIF('SO2'!A:A,A67)&gt;0,COUNTIF(Kendaraan!A:A,A67))</f>
        <v>1</v>
      </c>
    </row>
    <row r="68" spans="1:9" x14ac:dyDescent="0.45">
      <c r="A68" s="4">
        <v>45451</v>
      </c>
      <c r="B68" t="s">
        <v>701</v>
      </c>
      <c r="C68" t="s">
        <v>704</v>
      </c>
      <c r="D68" t="s">
        <v>698</v>
      </c>
      <c r="E68" t="s">
        <v>702</v>
      </c>
      <c r="F68" t="s">
        <v>705</v>
      </c>
      <c r="G68" t="s">
        <v>706</v>
      </c>
      <c r="H68">
        <v>24</v>
      </c>
      <c r="I68" t="b">
        <f>AND(COUNTIF(CO!A:A,A68)&gt;0,COUNTIF('O3'!A:A,A68)&gt;0,COUNTIF('PM10'!A:A,A68)&gt;0,COUNTIF('PM2.5'!A:A,A68)&gt;0,COUNTIF('SO2'!A:A,A68)&gt;0,COUNTIF(Kendaraan!A:A,A68))</f>
        <v>1</v>
      </c>
    </row>
    <row r="69" spans="1:9" x14ac:dyDescent="0.45">
      <c r="A69" s="4">
        <v>45452</v>
      </c>
      <c r="B69" t="s">
        <v>707</v>
      </c>
      <c r="C69" t="s">
        <v>708</v>
      </c>
      <c r="D69" t="s">
        <v>697</v>
      </c>
      <c r="E69" t="s">
        <v>707</v>
      </c>
      <c r="F69" t="s">
        <v>704</v>
      </c>
      <c r="G69" t="s">
        <v>53</v>
      </c>
      <c r="H69">
        <v>24</v>
      </c>
      <c r="I69" t="b">
        <f>AND(COUNTIF(CO!A:A,A69)&gt;0,COUNTIF('O3'!A:A,A69)&gt;0,COUNTIF('PM10'!A:A,A69)&gt;0,COUNTIF('PM2.5'!A:A,A69)&gt;0,COUNTIF('SO2'!A:A,A69)&gt;0,COUNTIF(Kendaraan!A:A,A69))</f>
        <v>1</v>
      </c>
    </row>
    <row r="70" spans="1:9" x14ac:dyDescent="0.45">
      <c r="A70" s="4">
        <v>45453</v>
      </c>
      <c r="B70" t="s">
        <v>709</v>
      </c>
      <c r="C70" t="s">
        <v>708</v>
      </c>
      <c r="D70" t="s">
        <v>710</v>
      </c>
      <c r="E70" t="s">
        <v>711</v>
      </c>
      <c r="F70" t="s">
        <v>712</v>
      </c>
      <c r="G70" t="s">
        <v>53</v>
      </c>
      <c r="H70">
        <v>24</v>
      </c>
      <c r="I70" t="b">
        <f>AND(COUNTIF(CO!A:A,A70)&gt;0,COUNTIF('O3'!A:A,A70)&gt;0,COUNTIF('PM10'!A:A,A70)&gt;0,COUNTIF('PM2.5'!A:A,A70)&gt;0,COUNTIF('SO2'!A:A,A70)&gt;0,COUNTIF(Kendaraan!A:A,A70))</f>
        <v>1</v>
      </c>
    </row>
    <row r="71" spans="1:9" x14ac:dyDescent="0.45">
      <c r="A71" s="4">
        <v>45454</v>
      </c>
      <c r="B71" t="s">
        <v>707</v>
      </c>
      <c r="C71" t="s">
        <v>713</v>
      </c>
      <c r="D71" t="s">
        <v>714</v>
      </c>
      <c r="E71" t="s">
        <v>710</v>
      </c>
      <c r="F71" t="s">
        <v>715</v>
      </c>
      <c r="G71" t="s">
        <v>271</v>
      </c>
      <c r="H71">
        <v>24</v>
      </c>
      <c r="I71" t="b">
        <f>AND(COUNTIF(CO!A:A,A71)&gt;0,COUNTIF('O3'!A:A,A71)&gt;0,COUNTIF('PM10'!A:A,A71)&gt;0,COUNTIF('PM2.5'!A:A,A71)&gt;0,COUNTIF('SO2'!A:A,A71)&gt;0,COUNTIF(Kendaraan!A:A,A71))</f>
        <v>1</v>
      </c>
    </row>
    <row r="72" spans="1:9" x14ac:dyDescent="0.45">
      <c r="A72" s="4">
        <v>45455</v>
      </c>
      <c r="B72" t="s">
        <v>710</v>
      </c>
      <c r="C72" t="s">
        <v>716</v>
      </c>
      <c r="D72" t="s">
        <v>717</v>
      </c>
      <c r="E72" t="s">
        <v>718</v>
      </c>
      <c r="F72" t="s">
        <v>719</v>
      </c>
      <c r="G72" t="s">
        <v>211</v>
      </c>
      <c r="H72">
        <v>24</v>
      </c>
      <c r="I72" t="b">
        <f>AND(COUNTIF(CO!A:A,A72)&gt;0,COUNTIF('O3'!A:A,A72)&gt;0,COUNTIF('PM10'!A:A,A72)&gt;0,COUNTIF('PM2.5'!A:A,A72)&gt;0,COUNTIF('SO2'!A:A,A72)&gt;0,COUNTIF(Kendaraan!A:A,A72))</f>
        <v>1</v>
      </c>
    </row>
    <row r="73" spans="1:9" x14ac:dyDescent="0.45">
      <c r="A73" s="4">
        <v>45456</v>
      </c>
      <c r="B73" t="s">
        <v>705</v>
      </c>
      <c r="C73" t="s">
        <v>708</v>
      </c>
      <c r="D73" t="s">
        <v>454</v>
      </c>
      <c r="E73" t="s">
        <v>709</v>
      </c>
      <c r="F73" t="s">
        <v>704</v>
      </c>
      <c r="G73" t="s">
        <v>125</v>
      </c>
      <c r="H73">
        <v>24</v>
      </c>
      <c r="I73" t="b">
        <f>AND(COUNTIF(CO!A:A,A73)&gt;0,COUNTIF('O3'!A:A,A73)&gt;0,COUNTIF('PM10'!A:A,A73)&gt;0,COUNTIF('PM2.5'!A:A,A73)&gt;0,COUNTIF('SO2'!A:A,A73)&gt;0,COUNTIF(Kendaraan!A:A,A73))</f>
        <v>1</v>
      </c>
    </row>
    <row r="74" spans="1:9" x14ac:dyDescent="0.45">
      <c r="A74" s="4">
        <v>45457</v>
      </c>
      <c r="B74" t="s">
        <v>709</v>
      </c>
      <c r="C74" t="s">
        <v>720</v>
      </c>
      <c r="D74" t="s">
        <v>710</v>
      </c>
      <c r="E74" t="s">
        <v>721</v>
      </c>
      <c r="F74" t="s">
        <v>708</v>
      </c>
      <c r="G74" t="s">
        <v>91</v>
      </c>
      <c r="H74">
        <v>19</v>
      </c>
      <c r="I74" t="b">
        <f>AND(COUNTIF(CO!A:A,A74)&gt;0,COUNTIF('O3'!A:A,A74)&gt;0,COUNTIF('PM10'!A:A,A74)&gt;0,COUNTIF('PM2.5'!A:A,A74)&gt;0,COUNTIF('SO2'!A:A,A74)&gt;0,COUNTIF(Kendaraan!A:A,A74))</f>
        <v>1</v>
      </c>
    </row>
    <row r="75" spans="1:9" x14ac:dyDescent="0.45">
      <c r="A75" s="4">
        <v>45458</v>
      </c>
      <c r="B75" t="s">
        <v>698</v>
      </c>
      <c r="C75" t="s">
        <v>714</v>
      </c>
      <c r="D75" t="s">
        <v>721</v>
      </c>
      <c r="E75" t="s">
        <v>707</v>
      </c>
      <c r="F75" t="s">
        <v>353</v>
      </c>
      <c r="G75" t="s">
        <v>722</v>
      </c>
      <c r="H75">
        <v>23</v>
      </c>
      <c r="I75" t="b">
        <f>AND(COUNTIF(CO!A:A,A75)&gt;0,COUNTIF('O3'!A:A,A75)&gt;0,COUNTIF('PM10'!A:A,A75)&gt;0,COUNTIF('PM2.5'!A:A,A75)&gt;0,COUNTIF('SO2'!A:A,A75)&gt;0,COUNTIF(Kendaraan!A:A,A75))</f>
        <v>1</v>
      </c>
    </row>
    <row r="76" spans="1:9" x14ac:dyDescent="0.45">
      <c r="A76" s="4">
        <v>45459</v>
      </c>
      <c r="B76" t="s">
        <v>723</v>
      </c>
      <c r="C76" t="s">
        <v>708</v>
      </c>
      <c r="D76" t="s">
        <v>698</v>
      </c>
      <c r="E76" t="s">
        <v>698</v>
      </c>
      <c r="F76" t="s">
        <v>705</v>
      </c>
      <c r="G76" t="s">
        <v>285</v>
      </c>
      <c r="H76">
        <v>24</v>
      </c>
      <c r="I76" t="b">
        <f>AND(COUNTIF(CO!A:A,A76)&gt;0,COUNTIF('O3'!A:A,A76)&gt;0,COUNTIF('PM10'!A:A,A76)&gt;0,COUNTIF('PM2.5'!A:A,A76)&gt;0,COUNTIF('SO2'!A:A,A76)&gt;0,COUNTIF(Kendaraan!A:A,A76))</f>
        <v>1</v>
      </c>
    </row>
    <row r="77" spans="1:9" x14ac:dyDescent="0.45">
      <c r="A77" s="4">
        <v>45460</v>
      </c>
      <c r="B77" t="s">
        <v>353</v>
      </c>
      <c r="C77" t="s">
        <v>716</v>
      </c>
      <c r="D77" t="s">
        <v>724</v>
      </c>
      <c r="E77" t="s">
        <v>353</v>
      </c>
      <c r="F77" t="s">
        <v>719</v>
      </c>
      <c r="G77" t="s">
        <v>95</v>
      </c>
      <c r="H77">
        <v>24</v>
      </c>
      <c r="I77" t="b">
        <f>AND(COUNTIF(CO!A:A,A77)&gt;0,COUNTIF('O3'!A:A,A77)&gt;0,COUNTIF('PM10'!A:A,A77)&gt;0,COUNTIF('PM2.5'!A:A,A77)&gt;0,COUNTIF('SO2'!A:A,A77)&gt;0,COUNTIF(Kendaraan!A:A,A77))</f>
        <v>1</v>
      </c>
    </row>
    <row r="78" spans="1:9" x14ac:dyDescent="0.45">
      <c r="A78" s="4">
        <v>45461</v>
      </c>
      <c r="B78" t="s">
        <v>714</v>
      </c>
      <c r="C78" t="s">
        <v>715</v>
      </c>
      <c r="D78" t="s">
        <v>725</v>
      </c>
      <c r="E78" t="s">
        <v>726</v>
      </c>
      <c r="F78" t="s">
        <v>719</v>
      </c>
      <c r="G78" t="s">
        <v>42</v>
      </c>
      <c r="H78">
        <v>24</v>
      </c>
      <c r="I78" t="b">
        <f>AND(COUNTIF(CO!A:A,A78)&gt;0,COUNTIF('O3'!A:A,A78)&gt;0,COUNTIF('PM10'!A:A,A78)&gt;0,COUNTIF('PM2.5'!A:A,A78)&gt;0,COUNTIF('SO2'!A:A,A78)&gt;0,COUNTIF(Kendaraan!A:A,A78))</f>
        <v>1</v>
      </c>
    </row>
    <row r="79" spans="1:9" x14ac:dyDescent="0.45">
      <c r="A79" s="4">
        <v>45462</v>
      </c>
      <c r="B79" t="s">
        <v>719</v>
      </c>
      <c r="C79" t="s">
        <v>727</v>
      </c>
      <c r="D79" t="s">
        <v>728</v>
      </c>
      <c r="E79" t="s">
        <v>715</v>
      </c>
      <c r="F79" t="s">
        <v>729</v>
      </c>
      <c r="G79" t="s">
        <v>243</v>
      </c>
      <c r="H79">
        <v>24</v>
      </c>
      <c r="I79" t="b">
        <f>AND(COUNTIF(CO!A:A,A79)&gt;0,COUNTIF('O3'!A:A,A79)&gt;0,COUNTIF('PM10'!A:A,A79)&gt;0,COUNTIF('PM2.5'!A:A,A79)&gt;0,COUNTIF('SO2'!A:A,A79)&gt;0,COUNTIF(Kendaraan!A:A,A79))</f>
        <v>1</v>
      </c>
    </row>
    <row r="80" spans="1:9" x14ac:dyDescent="0.45">
      <c r="A80" s="4">
        <v>45463</v>
      </c>
      <c r="B80" t="s">
        <v>727</v>
      </c>
      <c r="C80" t="s">
        <v>730</v>
      </c>
      <c r="D80" t="s">
        <v>731</v>
      </c>
      <c r="E80" t="s">
        <v>732</v>
      </c>
      <c r="F80" t="s">
        <v>733</v>
      </c>
      <c r="G80" t="s">
        <v>144</v>
      </c>
      <c r="H80">
        <v>24</v>
      </c>
      <c r="I80" t="b">
        <f>AND(COUNTIF(CO!A:A,A80)&gt;0,COUNTIF('O3'!A:A,A80)&gt;0,COUNTIF('PM10'!A:A,A80)&gt;0,COUNTIF('PM2.5'!A:A,A80)&gt;0,COUNTIF('SO2'!A:A,A80)&gt;0,COUNTIF(Kendaraan!A:A,A80))</f>
        <v>1</v>
      </c>
    </row>
    <row r="81" spans="1:9" x14ac:dyDescent="0.45">
      <c r="A81" s="4">
        <v>45464</v>
      </c>
      <c r="B81" t="s">
        <v>729</v>
      </c>
      <c r="C81" t="s">
        <v>734</v>
      </c>
      <c r="D81" t="s">
        <v>735</v>
      </c>
      <c r="E81" t="s">
        <v>727</v>
      </c>
      <c r="F81" t="s">
        <v>736</v>
      </c>
      <c r="G81" t="s">
        <v>176</v>
      </c>
      <c r="H81">
        <v>24</v>
      </c>
      <c r="I81" t="b">
        <f>AND(COUNTIF(CO!A:A,A81)&gt;0,COUNTIF('O3'!A:A,A81)&gt;0,COUNTIF('PM10'!A:A,A81)&gt;0,COUNTIF('PM2.5'!A:A,A81)&gt;0,COUNTIF('SO2'!A:A,A81)&gt;0,COUNTIF(Kendaraan!A:A,A81))</f>
        <v>1</v>
      </c>
    </row>
    <row r="82" spans="1:9" x14ac:dyDescent="0.45">
      <c r="A82" s="4">
        <v>45465</v>
      </c>
      <c r="B82" t="s">
        <v>737</v>
      </c>
      <c r="C82" t="s">
        <v>699</v>
      </c>
      <c r="D82" t="s">
        <v>738</v>
      </c>
      <c r="E82" t="s">
        <v>738</v>
      </c>
      <c r="F82" t="s">
        <v>729</v>
      </c>
      <c r="G82" t="s">
        <v>179</v>
      </c>
      <c r="H82">
        <v>24</v>
      </c>
      <c r="I82" t="b">
        <f>AND(COUNTIF(CO!A:A,A82)&gt;0,COUNTIF('O3'!A:A,A82)&gt;0,COUNTIF('PM10'!A:A,A82)&gt;0,COUNTIF('PM2.5'!A:A,A82)&gt;0,COUNTIF('SO2'!A:A,A82)&gt;0,COUNTIF(Kendaraan!A:A,A82))</f>
        <v>1</v>
      </c>
    </row>
    <row r="83" spans="1:9" x14ac:dyDescent="0.45">
      <c r="A83" s="4">
        <v>45466</v>
      </c>
      <c r="B83" t="s">
        <v>737</v>
      </c>
      <c r="C83" t="s">
        <v>699</v>
      </c>
      <c r="D83" t="s">
        <v>727</v>
      </c>
      <c r="E83" t="s">
        <v>729</v>
      </c>
      <c r="F83" t="s">
        <v>699</v>
      </c>
      <c r="G83" t="s">
        <v>63</v>
      </c>
      <c r="H83">
        <v>24</v>
      </c>
      <c r="I83" t="b">
        <f>AND(COUNTIF(CO!A:A,A83)&gt;0,COUNTIF('O3'!A:A,A83)&gt;0,COUNTIF('PM10'!A:A,A83)&gt;0,COUNTIF('PM2.5'!A:A,A83)&gt;0,COUNTIF('SO2'!A:A,A83)&gt;0,COUNTIF(Kendaraan!A:A,A83))</f>
        <v>1</v>
      </c>
    </row>
    <row r="84" spans="1:9" x14ac:dyDescent="0.45">
      <c r="A84" s="4">
        <v>45467</v>
      </c>
      <c r="B84" t="s">
        <v>699</v>
      </c>
      <c r="C84" t="s">
        <v>733</v>
      </c>
      <c r="D84" t="s">
        <v>734</v>
      </c>
      <c r="E84" t="s">
        <v>734</v>
      </c>
      <c r="F84" t="s">
        <v>734</v>
      </c>
      <c r="G84" t="s">
        <v>31</v>
      </c>
      <c r="H84">
        <v>24</v>
      </c>
      <c r="I84" t="b">
        <f>AND(COUNTIF(CO!A:A,A84)&gt;0,COUNTIF('O3'!A:A,A84)&gt;0,COUNTIF('PM10'!A:A,A84)&gt;0,COUNTIF('PM2.5'!A:A,A84)&gt;0,COUNTIF('SO2'!A:A,A84)&gt;0,COUNTIF(Kendaraan!A:A,A84))</f>
        <v>1</v>
      </c>
    </row>
    <row r="85" spans="1:9" x14ac:dyDescent="0.45">
      <c r="A85" s="4">
        <v>45468</v>
      </c>
      <c r="B85" t="s">
        <v>715</v>
      </c>
      <c r="C85" t="s">
        <v>734</v>
      </c>
      <c r="D85" t="s">
        <v>739</v>
      </c>
      <c r="E85" t="s">
        <v>713</v>
      </c>
      <c r="F85" t="s">
        <v>727</v>
      </c>
      <c r="G85" t="s">
        <v>71</v>
      </c>
      <c r="H85">
        <v>24</v>
      </c>
      <c r="I85" t="b">
        <f>AND(COUNTIF(CO!A:A,A85)&gt;0,COUNTIF('O3'!A:A,A85)&gt;0,COUNTIF('PM10'!A:A,A85)&gt;0,COUNTIF('PM2.5'!A:A,A85)&gt;0,COUNTIF('SO2'!A:A,A85)&gt;0,COUNTIF(Kendaraan!A:A,A85))</f>
        <v>1</v>
      </c>
    </row>
    <row r="86" spans="1:9" x14ac:dyDescent="0.45">
      <c r="A86" s="4">
        <v>45469</v>
      </c>
      <c r="B86" t="s">
        <v>715</v>
      </c>
      <c r="C86" t="s">
        <v>731</v>
      </c>
      <c r="D86" t="s">
        <v>740</v>
      </c>
      <c r="E86" t="s">
        <v>741</v>
      </c>
      <c r="F86" t="s">
        <v>736</v>
      </c>
      <c r="G86" t="s">
        <v>742</v>
      </c>
      <c r="H86">
        <v>24</v>
      </c>
      <c r="I86" t="b">
        <f>AND(COUNTIF(CO!A:A,A86)&gt;0,COUNTIF('O3'!A:A,A86)&gt;0,COUNTIF('PM10'!A:A,A86)&gt;0,COUNTIF('PM2.5'!A:A,A86)&gt;0,COUNTIF('SO2'!A:A,A86)&gt;0,COUNTIF(Kendaraan!A:A,A86))</f>
        <v>1</v>
      </c>
    </row>
    <row r="87" spans="1:9" x14ac:dyDescent="0.45">
      <c r="A87" s="4">
        <v>45470</v>
      </c>
      <c r="B87" t="s">
        <v>743</v>
      </c>
      <c r="C87" t="s">
        <v>744</v>
      </c>
      <c r="D87" t="s">
        <v>745</v>
      </c>
      <c r="E87" t="s">
        <v>729</v>
      </c>
      <c r="F87" t="s">
        <v>746</v>
      </c>
      <c r="G87" s="1">
        <v>23578</v>
      </c>
      <c r="H87">
        <v>23</v>
      </c>
      <c r="I87" t="b">
        <f>AND(COUNTIF(CO!A:A,A87)&gt;0,COUNTIF('O3'!A:A,A87)&gt;0,COUNTIF('PM10'!A:A,A87)&gt;0,COUNTIF('PM2.5'!A:A,A87)&gt;0,COUNTIF('SO2'!A:A,A87)&gt;0,COUNTIF(Kendaraan!A:A,A87))</f>
        <v>1</v>
      </c>
    </row>
    <row r="88" spans="1:9" x14ac:dyDescent="0.45">
      <c r="A88" s="4">
        <v>45471</v>
      </c>
      <c r="B88" t="s">
        <v>747</v>
      </c>
      <c r="C88" t="s">
        <v>748</v>
      </c>
      <c r="D88" t="s">
        <v>749</v>
      </c>
      <c r="E88" t="s">
        <v>750</v>
      </c>
      <c r="F88" t="s">
        <v>751</v>
      </c>
      <c r="G88" t="s">
        <v>752</v>
      </c>
      <c r="H88">
        <v>23</v>
      </c>
      <c r="I88" t="b">
        <f>AND(COUNTIF(CO!A:A,A88)&gt;0,COUNTIF('O3'!A:A,A88)&gt;0,COUNTIF('PM10'!A:A,A88)&gt;0,COUNTIF('PM2.5'!A:A,A88)&gt;0,COUNTIF('SO2'!A:A,A88)&gt;0,COUNTIF(Kendaraan!A:A,A88))</f>
        <v>1</v>
      </c>
    </row>
    <row r="89" spans="1:9" x14ac:dyDescent="0.45">
      <c r="A89" s="4">
        <v>45472</v>
      </c>
      <c r="B89" t="s">
        <v>753</v>
      </c>
      <c r="C89" t="s">
        <v>754</v>
      </c>
      <c r="D89" t="s">
        <v>755</v>
      </c>
      <c r="E89" t="s">
        <v>756</v>
      </c>
      <c r="F89" t="s">
        <v>757</v>
      </c>
      <c r="G89" s="1">
        <v>1944</v>
      </c>
      <c r="H89">
        <v>24</v>
      </c>
      <c r="I89" t="b">
        <f>AND(COUNTIF(CO!A:A,A89)&gt;0,COUNTIF('O3'!A:A,A89)&gt;0,COUNTIF('PM10'!A:A,A89)&gt;0,COUNTIF('PM2.5'!A:A,A89)&gt;0,COUNTIF('SO2'!A:A,A89)&gt;0,COUNTIF(Kendaraan!A:A,A89))</f>
        <v>1</v>
      </c>
    </row>
    <row r="90" spans="1:9" x14ac:dyDescent="0.45">
      <c r="A90" s="4">
        <v>45473</v>
      </c>
      <c r="B90" t="s">
        <v>758</v>
      </c>
      <c r="C90" t="s">
        <v>759</v>
      </c>
      <c r="D90" t="s">
        <v>760</v>
      </c>
      <c r="E90" t="s">
        <v>761</v>
      </c>
      <c r="F90" t="s">
        <v>762</v>
      </c>
      <c r="G90" t="s">
        <v>763</v>
      </c>
      <c r="H90">
        <v>24</v>
      </c>
      <c r="I90" t="b">
        <f>AND(COUNTIF(CO!A:A,A90)&gt;0,COUNTIF('O3'!A:A,A90)&gt;0,COUNTIF('PM10'!A:A,A90)&gt;0,COUNTIF('PM2.5'!A:A,A90)&gt;0,COUNTIF('SO2'!A:A,A90)&gt;0,COUNTIF(Kendaraan!A:A,A90))</f>
        <v>1</v>
      </c>
    </row>
    <row r="91" spans="1:9" x14ac:dyDescent="0.45">
      <c r="A91" s="4">
        <v>45474</v>
      </c>
      <c r="B91" t="s">
        <v>764</v>
      </c>
      <c r="C91" t="s">
        <v>765</v>
      </c>
      <c r="D91" t="s">
        <v>766</v>
      </c>
      <c r="E91" t="s">
        <v>767</v>
      </c>
      <c r="F91" t="s">
        <v>768</v>
      </c>
      <c r="G91" t="s">
        <v>769</v>
      </c>
      <c r="H91">
        <v>24</v>
      </c>
      <c r="I91" t="b">
        <f>AND(COUNTIF(CO!A:A,A91)&gt;0,COUNTIF('O3'!A:A,A91)&gt;0,COUNTIF('PM10'!A:A,A91)&gt;0,COUNTIF('PM2.5'!A:A,A91)&gt;0,COUNTIF('SO2'!A:A,A91)&gt;0,COUNTIF(Kendaraan!A:A,A91))</f>
        <v>1</v>
      </c>
    </row>
    <row r="92" spans="1:9" x14ac:dyDescent="0.45">
      <c r="A92" s="4">
        <v>45475</v>
      </c>
      <c r="B92" t="s">
        <v>770</v>
      </c>
      <c r="C92" t="s">
        <v>771</v>
      </c>
      <c r="D92" t="s">
        <v>772</v>
      </c>
      <c r="E92" t="s">
        <v>773</v>
      </c>
      <c r="F92" t="s">
        <v>774</v>
      </c>
      <c r="G92" t="s">
        <v>775</v>
      </c>
      <c r="H92">
        <v>24</v>
      </c>
      <c r="I92" t="b">
        <f>AND(COUNTIF(CO!A:A,A92)&gt;0,COUNTIF('O3'!A:A,A92)&gt;0,COUNTIF('PM10'!A:A,A92)&gt;0,COUNTIF('PM2.5'!A:A,A92)&gt;0,COUNTIF('SO2'!A:A,A92)&gt;0,COUNTIF(Kendaraan!A:A,A92))</f>
        <v>1</v>
      </c>
    </row>
    <row r="93" spans="1:9" x14ac:dyDescent="0.45">
      <c r="A93" s="4">
        <v>45476</v>
      </c>
      <c r="B93" t="s">
        <v>776</v>
      </c>
      <c r="C93" t="s">
        <v>777</v>
      </c>
      <c r="D93" t="s">
        <v>778</v>
      </c>
      <c r="E93" t="s">
        <v>779</v>
      </c>
      <c r="F93" t="s">
        <v>780</v>
      </c>
      <c r="G93" t="s">
        <v>259</v>
      </c>
      <c r="H93">
        <v>23</v>
      </c>
      <c r="I93" t="b">
        <f>AND(COUNTIF(CO!A:A,A93)&gt;0,COUNTIF('O3'!A:A,A93)&gt;0,COUNTIF('PM10'!A:A,A93)&gt;0,COUNTIF('PM2.5'!A:A,A93)&gt;0,COUNTIF('SO2'!A:A,A93)&gt;0,COUNTIF(Kendaraan!A:A,A93))</f>
        <v>1</v>
      </c>
    </row>
    <row r="94" spans="1:9" x14ac:dyDescent="0.45">
      <c r="A94" s="4">
        <v>45477</v>
      </c>
      <c r="B94" t="s">
        <v>755</v>
      </c>
      <c r="C94" t="s">
        <v>781</v>
      </c>
      <c r="D94" t="s">
        <v>782</v>
      </c>
      <c r="E94" t="s">
        <v>783</v>
      </c>
      <c r="F94" t="s">
        <v>784</v>
      </c>
      <c r="G94" t="s">
        <v>384</v>
      </c>
      <c r="H94">
        <v>24</v>
      </c>
      <c r="I94" t="b">
        <f>AND(COUNTIF(CO!A:A,A94)&gt;0,COUNTIF('O3'!A:A,A94)&gt;0,COUNTIF('PM10'!A:A,A94)&gt;0,COUNTIF('PM2.5'!A:A,A94)&gt;0,COUNTIF('SO2'!A:A,A94)&gt;0,COUNTIF(Kendaraan!A:A,A94))</f>
        <v>1</v>
      </c>
    </row>
    <row r="95" spans="1:9" x14ac:dyDescent="0.45">
      <c r="A95" s="4">
        <v>45478</v>
      </c>
      <c r="B95" t="s">
        <v>785</v>
      </c>
      <c r="C95" t="s">
        <v>786</v>
      </c>
      <c r="D95" t="s">
        <v>787</v>
      </c>
      <c r="E95" t="s">
        <v>788</v>
      </c>
      <c r="F95" t="s">
        <v>789</v>
      </c>
      <c r="G95" t="s">
        <v>790</v>
      </c>
      <c r="H95">
        <v>24</v>
      </c>
      <c r="I95" t="b">
        <f>AND(COUNTIF(CO!A:A,A95)&gt;0,COUNTIF('O3'!A:A,A95)&gt;0,COUNTIF('PM10'!A:A,A95)&gt;0,COUNTIF('PM2.5'!A:A,A95)&gt;0,COUNTIF('SO2'!A:A,A95)&gt;0,COUNTIF(Kendaraan!A:A,A95))</f>
        <v>1</v>
      </c>
    </row>
    <row r="96" spans="1:9" x14ac:dyDescent="0.45">
      <c r="A96" s="4">
        <v>45479</v>
      </c>
      <c r="B96" t="s">
        <v>791</v>
      </c>
      <c r="C96" t="s">
        <v>792</v>
      </c>
      <c r="D96" t="s">
        <v>793</v>
      </c>
      <c r="E96" t="s">
        <v>794</v>
      </c>
      <c r="F96" t="s">
        <v>795</v>
      </c>
      <c r="G96" t="s">
        <v>796</v>
      </c>
      <c r="H96">
        <v>24</v>
      </c>
      <c r="I96" t="b">
        <f>AND(COUNTIF(CO!A:A,A96)&gt;0,COUNTIF('O3'!A:A,A96)&gt;0,COUNTIF('PM10'!A:A,A96)&gt;0,COUNTIF('PM2.5'!A:A,A96)&gt;0,COUNTIF('SO2'!A:A,A96)&gt;0,COUNTIF(Kendaraan!A:A,A96))</f>
        <v>1</v>
      </c>
    </row>
    <row r="97" spans="1:9" x14ac:dyDescent="0.45">
      <c r="A97" s="4">
        <v>45480</v>
      </c>
      <c r="B97" t="s">
        <v>797</v>
      </c>
      <c r="C97" t="s">
        <v>798</v>
      </c>
      <c r="D97" t="s">
        <v>799</v>
      </c>
      <c r="E97" t="s">
        <v>800</v>
      </c>
      <c r="F97" t="s">
        <v>801</v>
      </c>
      <c r="G97" t="s">
        <v>802</v>
      </c>
      <c r="H97">
        <v>24</v>
      </c>
      <c r="I97" t="b">
        <f>AND(COUNTIF(CO!A:A,A97)&gt;0,COUNTIF('O3'!A:A,A97)&gt;0,COUNTIF('PM10'!A:A,A97)&gt;0,COUNTIF('PM2.5'!A:A,A97)&gt;0,COUNTIF('SO2'!A:A,A97)&gt;0,COUNTIF(Kendaraan!A:A,A97))</f>
        <v>1</v>
      </c>
    </row>
    <row r="98" spans="1:9" x14ac:dyDescent="0.45">
      <c r="A98" s="4">
        <v>45481</v>
      </c>
      <c r="B98" t="s">
        <v>803</v>
      </c>
      <c r="C98" t="s">
        <v>804</v>
      </c>
      <c r="D98" t="s">
        <v>805</v>
      </c>
      <c r="E98" t="s">
        <v>806</v>
      </c>
      <c r="F98" t="s">
        <v>807</v>
      </c>
      <c r="G98" t="s">
        <v>808</v>
      </c>
      <c r="H98">
        <v>24</v>
      </c>
      <c r="I98" t="b">
        <f>AND(COUNTIF(CO!A:A,A98)&gt;0,COUNTIF('O3'!A:A,A98)&gt;0,COUNTIF('PM10'!A:A,A98)&gt;0,COUNTIF('PM2.5'!A:A,A98)&gt;0,COUNTIF('SO2'!A:A,A98)&gt;0,COUNTIF(Kendaraan!A:A,A98))</f>
        <v>1</v>
      </c>
    </row>
    <row r="99" spans="1:9" x14ac:dyDescent="0.45">
      <c r="A99" s="4">
        <v>45482</v>
      </c>
      <c r="B99" t="s">
        <v>809</v>
      </c>
      <c r="C99" t="s">
        <v>799</v>
      </c>
      <c r="D99" t="s">
        <v>810</v>
      </c>
      <c r="E99" t="s">
        <v>811</v>
      </c>
      <c r="F99" t="s">
        <v>812</v>
      </c>
      <c r="G99" t="s">
        <v>813</v>
      </c>
      <c r="H99">
        <v>24</v>
      </c>
      <c r="I99" t="b">
        <f>AND(COUNTIF(CO!A:A,A99)&gt;0,COUNTIF('O3'!A:A,A99)&gt;0,COUNTIF('PM10'!A:A,A99)&gt;0,COUNTIF('PM2.5'!A:A,A99)&gt;0,COUNTIF('SO2'!A:A,A99)&gt;0,COUNTIF(Kendaraan!A:A,A99))</f>
        <v>1</v>
      </c>
    </row>
    <row r="100" spans="1:9" x14ac:dyDescent="0.45">
      <c r="A100" s="4">
        <v>45483</v>
      </c>
      <c r="B100" t="s">
        <v>814</v>
      </c>
      <c r="C100" t="s">
        <v>815</v>
      </c>
      <c r="D100" t="s">
        <v>816</v>
      </c>
      <c r="E100" t="s">
        <v>817</v>
      </c>
      <c r="F100" t="s">
        <v>818</v>
      </c>
      <c r="G100" t="s">
        <v>115</v>
      </c>
      <c r="H100">
        <v>15</v>
      </c>
      <c r="I100" t="b">
        <f>AND(COUNTIF(CO!A:A,A100)&gt;0,COUNTIF('O3'!A:A,A100)&gt;0,COUNTIF('PM10'!A:A,A100)&gt;0,COUNTIF('PM2.5'!A:A,A100)&gt;0,COUNTIF('SO2'!A:A,A100)&gt;0,COUNTIF(Kendaraan!A:A,A100))</f>
        <v>1</v>
      </c>
    </row>
    <row r="101" spans="1:9" x14ac:dyDescent="0.45">
      <c r="A101" s="4">
        <v>45484</v>
      </c>
      <c r="B101" t="s">
        <v>819</v>
      </c>
      <c r="C101" t="s">
        <v>819</v>
      </c>
      <c r="D101" t="s">
        <v>819</v>
      </c>
      <c r="E101" t="s">
        <v>819</v>
      </c>
      <c r="F101" t="s">
        <v>819</v>
      </c>
      <c r="G101">
        <v>0</v>
      </c>
      <c r="H101">
        <v>1</v>
      </c>
      <c r="I101" t="b">
        <f>AND(COUNTIF(CO!A:A,A101)&gt;0,COUNTIF('O3'!A:A,A101)&gt;0,COUNTIF('PM10'!A:A,A101)&gt;0,COUNTIF('PM2.5'!A:A,A101)&gt;0,COUNTIF('SO2'!A:A,A101)&gt;0,COUNTIF(Kendaraan!A:A,A101))</f>
        <v>1</v>
      </c>
    </row>
    <row r="102" spans="1:9" x14ac:dyDescent="0.45">
      <c r="A102" s="4">
        <v>45485</v>
      </c>
      <c r="B102" t="s">
        <v>487</v>
      </c>
      <c r="C102" t="s">
        <v>820</v>
      </c>
      <c r="D102" t="s">
        <v>821</v>
      </c>
      <c r="E102" t="s">
        <v>582</v>
      </c>
      <c r="F102" t="s">
        <v>565</v>
      </c>
      <c r="G102" t="s">
        <v>822</v>
      </c>
      <c r="H102">
        <v>24</v>
      </c>
      <c r="I102" t="b">
        <f>AND(COUNTIF(CO!A:A,A102)&gt;0,COUNTIF('O3'!A:A,A102)&gt;0,COUNTIF('PM10'!A:A,A102)&gt;0,COUNTIF('PM2.5'!A:A,A102)&gt;0,COUNTIF('SO2'!A:A,A102)&gt;0,COUNTIF(Kendaraan!A:A,A102))</f>
        <v>1</v>
      </c>
    </row>
    <row r="103" spans="1:9" x14ac:dyDescent="0.45">
      <c r="A103" s="4">
        <v>45486</v>
      </c>
      <c r="B103" t="s">
        <v>366</v>
      </c>
      <c r="C103" t="s">
        <v>482</v>
      </c>
      <c r="D103" t="s">
        <v>596</v>
      </c>
      <c r="E103" t="s">
        <v>823</v>
      </c>
      <c r="F103" t="s">
        <v>824</v>
      </c>
      <c r="G103" t="s">
        <v>825</v>
      </c>
      <c r="H103">
        <v>24</v>
      </c>
      <c r="I103" t="b">
        <f>AND(COUNTIF(CO!A:A,A103)&gt;0,COUNTIF('O3'!A:A,A103)&gt;0,COUNTIF('PM10'!A:A,A103)&gt;0,COUNTIF('PM2.5'!A:A,A103)&gt;0,COUNTIF('SO2'!A:A,A103)&gt;0,COUNTIF(Kendaraan!A:A,A103))</f>
        <v>1</v>
      </c>
    </row>
    <row r="104" spans="1:9" x14ac:dyDescent="0.45">
      <c r="A104" s="4">
        <v>45487</v>
      </c>
      <c r="B104" t="s">
        <v>675</v>
      </c>
      <c r="C104" t="s">
        <v>657</v>
      </c>
      <c r="D104" t="s">
        <v>826</v>
      </c>
      <c r="E104" t="s">
        <v>607</v>
      </c>
      <c r="F104" t="s">
        <v>827</v>
      </c>
      <c r="G104" t="s">
        <v>828</v>
      </c>
      <c r="H104">
        <v>24</v>
      </c>
      <c r="I104" t="b">
        <f>AND(COUNTIF(CO!A:A,A104)&gt;0,COUNTIF('O3'!A:A,A104)&gt;0,COUNTIF('PM10'!A:A,A104)&gt;0,COUNTIF('PM2.5'!A:A,A104)&gt;0,COUNTIF('SO2'!A:A,A104)&gt;0,COUNTIF(Kendaraan!A:A,A104))</f>
        <v>1</v>
      </c>
    </row>
    <row r="105" spans="1:9" x14ac:dyDescent="0.45">
      <c r="A105" s="4">
        <v>45488</v>
      </c>
      <c r="B105" t="s">
        <v>631</v>
      </c>
      <c r="C105" t="s">
        <v>824</v>
      </c>
      <c r="D105" t="s">
        <v>584</v>
      </c>
      <c r="E105" t="s">
        <v>829</v>
      </c>
      <c r="F105" t="s">
        <v>592</v>
      </c>
      <c r="G105" t="s">
        <v>291</v>
      </c>
      <c r="H105">
        <v>24</v>
      </c>
      <c r="I105" t="b">
        <f>AND(COUNTIF(CO!A:A,A105)&gt;0,COUNTIF('O3'!A:A,A105)&gt;0,COUNTIF('PM10'!A:A,A105)&gt;0,COUNTIF('PM2.5'!A:A,A105)&gt;0,COUNTIF('SO2'!A:A,A105)&gt;0,COUNTIF(Kendaraan!A:A,A105))</f>
        <v>1</v>
      </c>
    </row>
    <row r="106" spans="1:9" x14ac:dyDescent="0.45">
      <c r="A106" s="4">
        <v>45489</v>
      </c>
      <c r="B106" t="s">
        <v>489</v>
      </c>
      <c r="C106" t="s">
        <v>568</v>
      </c>
      <c r="D106" t="s">
        <v>597</v>
      </c>
      <c r="E106" t="s">
        <v>633</v>
      </c>
      <c r="F106" t="s">
        <v>523</v>
      </c>
      <c r="G106" t="s">
        <v>79</v>
      </c>
      <c r="H106">
        <v>24</v>
      </c>
      <c r="I106" t="b">
        <f>AND(COUNTIF(CO!A:A,A106)&gt;0,COUNTIF('O3'!A:A,A106)&gt;0,COUNTIF('PM10'!A:A,A106)&gt;0,COUNTIF('PM2.5'!A:A,A106)&gt;0,COUNTIF('SO2'!A:A,A106)&gt;0,COUNTIF(Kendaraan!A:A,A106))</f>
        <v>1</v>
      </c>
    </row>
    <row r="107" spans="1:9" x14ac:dyDescent="0.45">
      <c r="A107" s="4">
        <v>45490</v>
      </c>
      <c r="B107" t="s">
        <v>558</v>
      </c>
      <c r="C107" t="s">
        <v>830</v>
      </c>
      <c r="D107" t="s">
        <v>533</v>
      </c>
      <c r="E107" t="s">
        <v>566</v>
      </c>
      <c r="F107" t="s">
        <v>831</v>
      </c>
      <c r="G107" t="s">
        <v>832</v>
      </c>
      <c r="H107">
        <v>24</v>
      </c>
      <c r="I107" t="b">
        <f>AND(COUNTIF(CO!A:A,A107)&gt;0,COUNTIF('O3'!A:A,A107)&gt;0,COUNTIF('PM10'!A:A,A107)&gt;0,COUNTIF('PM2.5'!A:A,A107)&gt;0,COUNTIF('SO2'!A:A,A107)&gt;0,COUNTIF(Kendaraan!A:A,A107))</f>
        <v>1</v>
      </c>
    </row>
    <row r="108" spans="1:9" x14ac:dyDescent="0.45">
      <c r="A108" s="4">
        <v>45491</v>
      </c>
      <c r="B108" t="s">
        <v>833</v>
      </c>
      <c r="C108" t="s">
        <v>834</v>
      </c>
      <c r="D108" t="s">
        <v>835</v>
      </c>
      <c r="E108" t="s">
        <v>836</v>
      </c>
      <c r="F108" t="s">
        <v>837</v>
      </c>
      <c r="G108" s="1">
        <v>1014</v>
      </c>
      <c r="H108">
        <v>24</v>
      </c>
      <c r="I108" t="b">
        <f>AND(COUNTIF(CO!A:A,A108)&gt;0,COUNTIF('O3'!A:A,A108)&gt;0,COUNTIF('PM10'!A:A,A108)&gt;0,COUNTIF('PM2.5'!A:A,A108)&gt;0,COUNTIF('SO2'!A:A,A108)&gt;0,COUNTIF(Kendaraan!A:A,A108))</f>
        <v>1</v>
      </c>
    </row>
    <row r="109" spans="1:9" x14ac:dyDescent="0.45">
      <c r="A109" s="4">
        <v>45492</v>
      </c>
      <c r="B109" t="s">
        <v>838</v>
      </c>
      <c r="C109" t="s">
        <v>839</v>
      </c>
      <c r="D109" t="s">
        <v>840</v>
      </c>
      <c r="E109" t="s">
        <v>841</v>
      </c>
      <c r="F109" t="s">
        <v>842</v>
      </c>
      <c r="G109" s="1">
        <v>1302</v>
      </c>
      <c r="H109">
        <v>24</v>
      </c>
      <c r="I109" t="b">
        <f>AND(COUNTIF(CO!A:A,A109)&gt;0,COUNTIF('O3'!A:A,A109)&gt;0,COUNTIF('PM10'!A:A,A109)&gt;0,COUNTIF('PM2.5'!A:A,A109)&gt;0,COUNTIF('SO2'!A:A,A109)&gt;0,COUNTIF(Kendaraan!A:A,A109))</f>
        <v>1</v>
      </c>
    </row>
    <row r="110" spans="1:9" x14ac:dyDescent="0.45">
      <c r="A110" s="4">
        <v>45493</v>
      </c>
      <c r="B110" t="s">
        <v>537</v>
      </c>
      <c r="C110" t="s">
        <v>843</v>
      </c>
      <c r="D110">
        <v>28</v>
      </c>
      <c r="E110" t="s">
        <v>844</v>
      </c>
      <c r="F110" t="s">
        <v>845</v>
      </c>
      <c r="G110" t="s">
        <v>50</v>
      </c>
      <c r="H110">
        <v>24</v>
      </c>
      <c r="I110" t="b">
        <f>AND(COUNTIF(CO!A:A,A110)&gt;0,COUNTIF('O3'!A:A,A110)&gt;0,COUNTIF('PM10'!A:A,A110)&gt;0,COUNTIF('PM2.5'!A:A,A110)&gt;0,COUNTIF('SO2'!A:A,A110)&gt;0,COUNTIF(Kendaraan!A:A,A110))</f>
        <v>1</v>
      </c>
    </row>
    <row r="111" spans="1:9" x14ac:dyDescent="0.45">
      <c r="A111" s="4">
        <v>45494</v>
      </c>
      <c r="B111" t="s">
        <v>406</v>
      </c>
      <c r="C111" t="s">
        <v>846</v>
      </c>
      <c r="D111" t="s">
        <v>847</v>
      </c>
      <c r="E111" t="s">
        <v>521</v>
      </c>
      <c r="F111" t="s">
        <v>575</v>
      </c>
      <c r="G111" t="s">
        <v>848</v>
      </c>
      <c r="H111">
        <v>23</v>
      </c>
      <c r="I111" t="b">
        <f>AND(COUNTIF(CO!A:A,A111)&gt;0,COUNTIF('O3'!A:A,A111)&gt;0,COUNTIF('PM10'!A:A,A111)&gt;0,COUNTIF('PM2.5'!A:A,A111)&gt;0,COUNTIF('SO2'!A:A,A111)&gt;0,COUNTIF(Kendaraan!A:A,A111))</f>
        <v>1</v>
      </c>
    </row>
    <row r="112" spans="1:9" x14ac:dyDescent="0.45">
      <c r="A112" s="4">
        <v>45495</v>
      </c>
      <c r="B112" t="s">
        <v>490</v>
      </c>
      <c r="C112" t="s">
        <v>563</v>
      </c>
      <c r="D112" t="s">
        <v>551</v>
      </c>
      <c r="E112" t="s">
        <v>603</v>
      </c>
      <c r="F112" t="s">
        <v>581</v>
      </c>
      <c r="G112" t="s">
        <v>288</v>
      </c>
      <c r="H112">
        <v>24</v>
      </c>
      <c r="I112" t="b">
        <f>AND(COUNTIF(CO!A:A,A112)&gt;0,COUNTIF('O3'!A:A,A112)&gt;0,COUNTIF('PM10'!A:A,A112)&gt;0,COUNTIF('PM2.5'!A:A,A112)&gt;0,COUNTIF('SO2'!A:A,A112)&gt;0,COUNTIF(Kendaraan!A:A,A112))</f>
        <v>1</v>
      </c>
    </row>
    <row r="113" spans="1:9" x14ac:dyDescent="0.45">
      <c r="A113" s="4">
        <v>45496</v>
      </c>
      <c r="B113" t="s">
        <v>849</v>
      </c>
      <c r="C113" t="s">
        <v>850</v>
      </c>
      <c r="D113" t="s">
        <v>851</v>
      </c>
      <c r="E113" t="s">
        <v>529</v>
      </c>
      <c r="F113" t="s">
        <v>852</v>
      </c>
      <c r="G113" t="s">
        <v>853</v>
      </c>
      <c r="H113">
        <v>24</v>
      </c>
      <c r="I113" t="b">
        <f>AND(COUNTIF(CO!A:A,A113)&gt;0,COUNTIF('O3'!A:A,A113)&gt;0,COUNTIF('PM10'!A:A,A113)&gt;0,COUNTIF('PM2.5'!A:A,A113)&gt;0,COUNTIF('SO2'!A:A,A113)&gt;0,COUNTIF(Kendaraan!A:A,A113))</f>
        <v>1</v>
      </c>
    </row>
    <row r="114" spans="1:9" x14ac:dyDescent="0.45">
      <c r="A114" s="4">
        <v>45497</v>
      </c>
      <c r="B114" t="s">
        <v>485</v>
      </c>
      <c r="C114" t="s">
        <v>854</v>
      </c>
      <c r="D114" t="s">
        <v>855</v>
      </c>
      <c r="E114" t="s">
        <v>583</v>
      </c>
      <c r="F114" t="s">
        <v>856</v>
      </c>
      <c r="G114" t="s">
        <v>857</v>
      </c>
      <c r="H114">
        <v>24</v>
      </c>
      <c r="I114" t="b">
        <f>AND(COUNTIF(CO!A:A,A114)&gt;0,COUNTIF('O3'!A:A,A114)&gt;0,COUNTIF('PM10'!A:A,A114)&gt;0,COUNTIF('PM2.5'!A:A,A114)&gt;0,COUNTIF('SO2'!A:A,A114)&gt;0,COUNTIF(Kendaraan!A:A,A114))</f>
        <v>1</v>
      </c>
    </row>
    <row r="115" spans="1:9" x14ac:dyDescent="0.45">
      <c r="A115" s="4">
        <v>45498</v>
      </c>
      <c r="B115" t="s">
        <v>858</v>
      </c>
      <c r="C115" t="s">
        <v>859</v>
      </c>
      <c r="D115" t="s">
        <v>860</v>
      </c>
      <c r="E115" t="s">
        <v>538</v>
      </c>
      <c r="F115" t="s">
        <v>861</v>
      </c>
      <c r="G115" t="s">
        <v>862</v>
      </c>
      <c r="H115">
        <v>24</v>
      </c>
      <c r="I115" t="b">
        <f>AND(COUNTIF(CO!A:A,A115)&gt;0,COUNTIF('O3'!A:A,A115)&gt;0,COUNTIF('PM10'!A:A,A115)&gt;0,COUNTIF('PM2.5'!A:A,A115)&gt;0,COUNTIF('SO2'!A:A,A115)&gt;0,COUNTIF(Kendaraan!A:A,A115))</f>
        <v>1</v>
      </c>
    </row>
    <row r="116" spans="1:9" x14ac:dyDescent="0.45">
      <c r="A116" s="4">
        <v>45499</v>
      </c>
      <c r="B116" t="s">
        <v>863</v>
      </c>
      <c r="C116" t="s">
        <v>864</v>
      </c>
      <c r="D116" t="s">
        <v>535</v>
      </c>
      <c r="E116" t="s">
        <v>591</v>
      </c>
      <c r="F116" t="s">
        <v>399</v>
      </c>
      <c r="G116" s="1">
        <v>2139</v>
      </c>
      <c r="H116">
        <v>24</v>
      </c>
      <c r="I116" t="b">
        <f>AND(COUNTIF(CO!A:A,A116)&gt;0,COUNTIF('O3'!A:A,A116)&gt;0,COUNTIF('PM10'!A:A,A116)&gt;0,COUNTIF('PM2.5'!A:A,A116)&gt;0,COUNTIF('SO2'!A:A,A116)&gt;0,COUNTIF(Kendaraan!A:A,A116))</f>
        <v>1</v>
      </c>
    </row>
    <row r="117" spans="1:9" x14ac:dyDescent="0.45">
      <c r="A117" s="4">
        <v>45500</v>
      </c>
      <c r="B117" t="s">
        <v>865</v>
      </c>
      <c r="C117" t="s">
        <v>428</v>
      </c>
      <c r="D117" t="s">
        <v>866</v>
      </c>
      <c r="E117" t="s">
        <v>867</v>
      </c>
      <c r="F117" t="s">
        <v>868</v>
      </c>
      <c r="G117" t="s">
        <v>55</v>
      </c>
      <c r="H117">
        <v>24</v>
      </c>
      <c r="I117" t="b">
        <f>AND(COUNTIF(CO!A:A,A117)&gt;0,COUNTIF('O3'!A:A,A117)&gt;0,COUNTIF('PM10'!A:A,A117)&gt;0,COUNTIF('PM2.5'!A:A,A117)&gt;0,COUNTIF('SO2'!A:A,A117)&gt;0,COUNTIF(Kendaraan!A:A,A117))</f>
        <v>1</v>
      </c>
    </row>
    <row r="118" spans="1:9" x14ac:dyDescent="0.45">
      <c r="A118" s="4">
        <v>45501</v>
      </c>
      <c r="B118" t="s">
        <v>865</v>
      </c>
      <c r="C118" t="s">
        <v>869</v>
      </c>
      <c r="D118" t="s">
        <v>444</v>
      </c>
      <c r="E118" t="s">
        <v>870</v>
      </c>
      <c r="F118" t="s">
        <v>871</v>
      </c>
      <c r="G118" t="s">
        <v>872</v>
      </c>
      <c r="H118">
        <v>24</v>
      </c>
      <c r="I118" t="b">
        <f>AND(COUNTIF(CO!A:A,A118)&gt;0,COUNTIF('O3'!A:A,A118)&gt;0,COUNTIF('PM10'!A:A,A118)&gt;0,COUNTIF('PM2.5'!A:A,A118)&gt;0,COUNTIF('SO2'!A:A,A118)&gt;0,COUNTIF(Kendaraan!A:A,A118))</f>
        <v>1</v>
      </c>
    </row>
    <row r="119" spans="1:9" x14ac:dyDescent="0.45">
      <c r="A119" s="4">
        <v>45502</v>
      </c>
      <c r="B119" t="s">
        <v>873</v>
      </c>
      <c r="C119" t="s">
        <v>874</v>
      </c>
      <c r="D119" t="s">
        <v>875</v>
      </c>
      <c r="E119" t="s">
        <v>876</v>
      </c>
      <c r="F119" t="s">
        <v>877</v>
      </c>
      <c r="G119" t="s">
        <v>878</v>
      </c>
      <c r="H119">
        <v>24</v>
      </c>
      <c r="I119" t="b">
        <f>AND(COUNTIF(CO!A:A,A119)&gt;0,COUNTIF('O3'!A:A,A119)&gt;0,COUNTIF('PM10'!A:A,A119)&gt;0,COUNTIF('PM2.5'!A:A,A119)&gt;0,COUNTIF('SO2'!A:A,A119)&gt;0,COUNTIF(Kendaraan!A:A,A119))</f>
        <v>1</v>
      </c>
    </row>
    <row r="120" spans="1:9" x14ac:dyDescent="0.45">
      <c r="A120" s="4">
        <v>45503</v>
      </c>
      <c r="B120" t="s">
        <v>879</v>
      </c>
      <c r="C120" t="s">
        <v>446</v>
      </c>
      <c r="D120" t="s">
        <v>873</v>
      </c>
      <c r="E120" t="s">
        <v>880</v>
      </c>
      <c r="F120" t="s">
        <v>868</v>
      </c>
      <c r="G120" t="s">
        <v>277</v>
      </c>
      <c r="H120">
        <v>24</v>
      </c>
      <c r="I120" t="b">
        <f>AND(COUNTIF(CO!A:A,A120)&gt;0,COUNTIF('O3'!A:A,A120)&gt;0,COUNTIF('PM10'!A:A,A120)&gt;0,COUNTIF('PM2.5'!A:A,A120)&gt;0,COUNTIF('SO2'!A:A,A120)&gt;0,COUNTIF(Kendaraan!A:A,A120))</f>
        <v>1</v>
      </c>
    </row>
    <row r="121" spans="1:9" x14ac:dyDescent="0.45">
      <c r="A121" s="4">
        <v>45504</v>
      </c>
      <c r="B121" t="s">
        <v>881</v>
      </c>
      <c r="C121" t="s">
        <v>442</v>
      </c>
      <c r="D121" t="s">
        <v>882</v>
      </c>
      <c r="E121" t="s">
        <v>883</v>
      </c>
      <c r="F121" t="s">
        <v>873</v>
      </c>
      <c r="G121" t="s">
        <v>884</v>
      </c>
      <c r="H121">
        <v>24</v>
      </c>
      <c r="I121" t="b">
        <f>AND(COUNTIF(CO!A:A,A121)&gt;0,COUNTIF('O3'!A:A,A121)&gt;0,COUNTIF('PM10'!A:A,A121)&gt;0,COUNTIF('PM2.5'!A:A,A121)&gt;0,COUNTIF('SO2'!A:A,A121)&gt;0,COUNTIF(Kendaraan!A:A,A121))</f>
        <v>1</v>
      </c>
    </row>
    <row r="122" spans="1:9" x14ac:dyDescent="0.45">
      <c r="A122" s="4">
        <v>45505</v>
      </c>
      <c r="B122" t="s">
        <v>885</v>
      </c>
      <c r="C122" t="s">
        <v>886</v>
      </c>
      <c r="D122" t="s">
        <v>879</v>
      </c>
      <c r="E122" t="s">
        <v>887</v>
      </c>
      <c r="F122" t="s">
        <v>615</v>
      </c>
      <c r="G122" t="s">
        <v>888</v>
      </c>
      <c r="H122">
        <v>24</v>
      </c>
      <c r="I122" t="b">
        <f>AND(COUNTIF(CO!A:A,A122)&gt;0,COUNTIF('O3'!A:A,A122)&gt;0,COUNTIF('PM10'!A:A,A122)&gt;0,COUNTIF('PM2.5'!A:A,A122)&gt;0,COUNTIF('SO2'!A:A,A122)&gt;0,COUNTIF(Kendaraan!A:A,A122))</f>
        <v>1</v>
      </c>
    </row>
    <row r="123" spans="1:9" x14ac:dyDescent="0.45">
      <c r="A123" s="4">
        <v>45506</v>
      </c>
      <c r="B123" t="s">
        <v>889</v>
      </c>
      <c r="C123" t="s">
        <v>426</v>
      </c>
      <c r="D123" t="s">
        <v>443</v>
      </c>
      <c r="E123" t="s">
        <v>621</v>
      </c>
      <c r="F123" t="s">
        <v>890</v>
      </c>
      <c r="G123" t="s">
        <v>891</v>
      </c>
      <c r="H123">
        <v>24</v>
      </c>
      <c r="I123" t="b">
        <f>AND(COUNTIF(CO!A:A,A123)&gt;0,COUNTIF('O3'!A:A,A123)&gt;0,COUNTIF('PM10'!A:A,A123)&gt;0,COUNTIF('PM2.5'!A:A,A123)&gt;0,COUNTIF('SO2'!A:A,A123)&gt;0,COUNTIF(Kendaraan!A:A,A123))</f>
        <v>1</v>
      </c>
    </row>
    <row r="124" spans="1:9" x14ac:dyDescent="0.45">
      <c r="A124" s="4">
        <v>45507</v>
      </c>
      <c r="B124" t="s">
        <v>892</v>
      </c>
      <c r="C124" t="s">
        <v>443</v>
      </c>
      <c r="D124" t="s">
        <v>893</v>
      </c>
      <c r="E124" t="s">
        <v>881</v>
      </c>
      <c r="F124" t="s">
        <v>866</v>
      </c>
      <c r="G124" t="s">
        <v>894</v>
      </c>
      <c r="H124">
        <v>24</v>
      </c>
      <c r="I124" t="b">
        <f>AND(COUNTIF(CO!A:A,A124)&gt;0,COUNTIF('O3'!A:A,A124)&gt;0,COUNTIF('PM10'!A:A,A124)&gt;0,COUNTIF('PM2.5'!A:A,A124)&gt;0,COUNTIF('SO2'!A:A,A124)&gt;0,COUNTIF(Kendaraan!A:A,A124))</f>
        <v>1</v>
      </c>
    </row>
    <row r="125" spans="1:9" x14ac:dyDescent="0.45">
      <c r="A125" s="4">
        <v>45508</v>
      </c>
      <c r="B125" t="s">
        <v>895</v>
      </c>
      <c r="C125" t="s">
        <v>896</v>
      </c>
      <c r="D125" t="s">
        <v>897</v>
      </c>
      <c r="E125" t="s">
        <v>898</v>
      </c>
      <c r="F125" t="s">
        <v>899</v>
      </c>
      <c r="G125" t="s">
        <v>128</v>
      </c>
      <c r="H125">
        <v>24</v>
      </c>
      <c r="I125" t="b">
        <f>AND(COUNTIF(CO!A:A,A125)&gt;0,COUNTIF('O3'!A:A,A125)&gt;0,COUNTIF('PM10'!A:A,A125)&gt;0,COUNTIF('PM2.5'!A:A,A125)&gt;0,COUNTIF('SO2'!A:A,A125)&gt;0,COUNTIF(Kendaraan!A:A,A125))</f>
        <v>1</v>
      </c>
    </row>
    <row r="126" spans="1:9" x14ac:dyDescent="0.45">
      <c r="A126" s="4">
        <v>45509</v>
      </c>
      <c r="B126" t="s">
        <v>462</v>
      </c>
      <c r="C126" t="s">
        <v>900</v>
      </c>
      <c r="D126" t="s">
        <v>901</v>
      </c>
      <c r="E126" t="s">
        <v>496</v>
      </c>
      <c r="F126" t="s">
        <v>433</v>
      </c>
      <c r="G126" t="s">
        <v>902</v>
      </c>
      <c r="H126">
        <v>24</v>
      </c>
      <c r="I126" t="b">
        <f>AND(COUNTIF(CO!A:A,A126)&gt;0,COUNTIF('O3'!A:A,A126)&gt;0,COUNTIF('PM10'!A:A,A126)&gt;0,COUNTIF('PM2.5'!A:A,A126)&gt;0,COUNTIF('SO2'!A:A,A126)&gt;0,COUNTIF(Kendaraan!A:A,A126))</f>
        <v>1</v>
      </c>
    </row>
    <row r="127" spans="1:9" x14ac:dyDescent="0.45">
      <c r="A127" s="4">
        <v>45510</v>
      </c>
      <c r="B127" t="s">
        <v>665</v>
      </c>
      <c r="C127" t="s">
        <v>903</v>
      </c>
      <c r="D127" t="s">
        <v>416</v>
      </c>
      <c r="E127" t="s">
        <v>904</v>
      </c>
      <c r="F127" t="s">
        <v>905</v>
      </c>
      <c r="G127" t="s">
        <v>906</v>
      </c>
      <c r="H127">
        <v>24</v>
      </c>
      <c r="I127" t="b">
        <f>AND(COUNTIF(CO!A:A,A127)&gt;0,COUNTIF('O3'!A:A,A127)&gt;0,COUNTIF('PM10'!A:A,A127)&gt;0,COUNTIF('PM2.5'!A:A,A127)&gt;0,COUNTIF('SO2'!A:A,A127)&gt;0,COUNTIF(Kendaraan!A:A,A127))</f>
        <v>1</v>
      </c>
    </row>
    <row r="128" spans="1:9" x14ac:dyDescent="0.45">
      <c r="A128" s="4">
        <v>45511</v>
      </c>
      <c r="B128" t="s">
        <v>907</v>
      </c>
      <c r="C128" t="s">
        <v>653</v>
      </c>
      <c r="D128" t="s">
        <v>908</v>
      </c>
      <c r="E128" t="s">
        <v>608</v>
      </c>
      <c r="F128" t="s">
        <v>909</v>
      </c>
      <c r="G128" t="s">
        <v>47</v>
      </c>
      <c r="H128">
        <v>24</v>
      </c>
      <c r="I128" t="b">
        <f>AND(COUNTIF(CO!A:A,A128)&gt;0,COUNTIF('O3'!A:A,A128)&gt;0,COUNTIF('PM10'!A:A,A128)&gt;0,COUNTIF('PM2.5'!A:A,A128)&gt;0,COUNTIF('SO2'!A:A,A128)&gt;0,COUNTIF(Kendaraan!A:A,A128))</f>
        <v>1</v>
      </c>
    </row>
    <row r="129" spans="1:9" x14ac:dyDescent="0.45">
      <c r="A129" s="4">
        <v>45512</v>
      </c>
      <c r="B129" t="s">
        <v>877</v>
      </c>
      <c r="C129" t="s">
        <v>640</v>
      </c>
      <c r="D129" t="s">
        <v>910</v>
      </c>
      <c r="E129" t="s">
        <v>874</v>
      </c>
      <c r="F129" t="s">
        <v>911</v>
      </c>
      <c r="G129" t="s">
        <v>912</v>
      </c>
      <c r="H129">
        <v>24</v>
      </c>
      <c r="I129" t="b">
        <f>AND(COUNTIF(CO!A:A,A129)&gt;0,COUNTIF('O3'!A:A,A129)&gt;0,COUNTIF('PM10'!A:A,A129)&gt;0,COUNTIF('PM2.5'!A:A,A129)&gt;0,COUNTIF('SO2'!A:A,A129)&gt;0,COUNTIF(Kendaraan!A:A,A129))</f>
        <v>1</v>
      </c>
    </row>
    <row r="130" spans="1:9" x14ac:dyDescent="0.45">
      <c r="A130" s="4">
        <v>45513</v>
      </c>
      <c r="B130" t="s">
        <v>913</v>
      </c>
      <c r="C130" t="s">
        <v>914</v>
      </c>
      <c r="D130" t="s">
        <v>915</v>
      </c>
      <c r="E130" t="s">
        <v>916</v>
      </c>
      <c r="F130" t="s">
        <v>496</v>
      </c>
      <c r="G130" t="s">
        <v>917</v>
      </c>
      <c r="H130">
        <v>24</v>
      </c>
      <c r="I130" t="b">
        <f>AND(COUNTIF(CO!A:A,A130)&gt;0,COUNTIF('O3'!A:A,A130)&gt;0,COUNTIF('PM10'!A:A,A130)&gt;0,COUNTIF('PM2.5'!A:A,A130)&gt;0,COUNTIF('SO2'!A:A,A130)&gt;0,COUNTIF(Kendaraan!A:A,A130))</f>
        <v>1</v>
      </c>
    </row>
    <row r="131" spans="1:9" x14ac:dyDescent="0.45">
      <c r="A131" s="4">
        <v>45514</v>
      </c>
      <c r="B131" t="s">
        <v>914</v>
      </c>
      <c r="C131">
        <v>25</v>
      </c>
      <c r="D131" t="s">
        <v>918</v>
      </c>
      <c r="E131" t="s">
        <v>914</v>
      </c>
      <c r="F131">
        <v>25</v>
      </c>
      <c r="G131" t="s">
        <v>919</v>
      </c>
      <c r="H131">
        <v>2</v>
      </c>
      <c r="I131" t="b">
        <f>AND(COUNTIF(CO!A:A,A131)&gt;0,COUNTIF('O3'!A:A,A131)&gt;0,COUNTIF('PM10'!A:A,A131)&gt;0,COUNTIF('PM2.5'!A:A,A131)&gt;0,COUNTIF('SO2'!A:A,A131)&gt;0,COUNTIF(Kendaraan!A:A,A131))</f>
        <v>1</v>
      </c>
    </row>
    <row r="132" spans="1:9" x14ac:dyDescent="0.45">
      <c r="A132" s="4">
        <v>45516</v>
      </c>
      <c r="B132" t="s">
        <v>920</v>
      </c>
      <c r="C132">
        <v>20</v>
      </c>
      <c r="D132" t="s">
        <v>921</v>
      </c>
      <c r="E132" t="s">
        <v>922</v>
      </c>
      <c r="F132">
        <v>20</v>
      </c>
      <c r="G132" t="s">
        <v>923</v>
      </c>
      <c r="H132">
        <v>9</v>
      </c>
      <c r="I132" t="b">
        <f>AND(COUNTIF(CO!A:A,A132)&gt;0,COUNTIF('O3'!A:A,A132)&gt;0,COUNTIF('PM10'!A:A,A132)&gt;0,COUNTIF('PM2.5'!A:A,A132)&gt;0,COUNTIF('SO2'!A:A,A132)&gt;0,COUNTIF(Kendaraan!A:A,A132))</f>
        <v>1</v>
      </c>
    </row>
    <row r="133" spans="1:9" x14ac:dyDescent="0.45">
      <c r="A133" s="4">
        <v>45517</v>
      </c>
      <c r="B133" t="s">
        <v>924</v>
      </c>
      <c r="C133" t="s">
        <v>924</v>
      </c>
      <c r="D133" t="s">
        <v>924</v>
      </c>
      <c r="E133" t="s">
        <v>924</v>
      </c>
      <c r="F133" t="s">
        <v>924</v>
      </c>
      <c r="G133" t="s">
        <v>33</v>
      </c>
      <c r="H133">
        <v>5</v>
      </c>
      <c r="I133" t="b">
        <f>AND(COUNTIF(CO!A:A,A133)&gt;0,COUNTIF('O3'!A:A,A133)&gt;0,COUNTIF('PM10'!A:A,A133)&gt;0,COUNTIF('PM2.5'!A:A,A133)&gt;0,COUNTIF('SO2'!A:A,A133)&gt;0,COUNTIF(Kendaraan!A:A,A133))</f>
        <v>1</v>
      </c>
    </row>
    <row r="134" spans="1:9" x14ac:dyDescent="0.45">
      <c r="A134" s="4">
        <v>45518</v>
      </c>
      <c r="B134" t="s">
        <v>924</v>
      </c>
      <c r="C134" t="s">
        <v>925</v>
      </c>
      <c r="D134" t="s">
        <v>925</v>
      </c>
      <c r="E134" t="s">
        <v>925</v>
      </c>
      <c r="F134" t="s">
        <v>925</v>
      </c>
      <c r="G134" t="s">
        <v>24</v>
      </c>
      <c r="H134">
        <v>24</v>
      </c>
      <c r="I134" t="b">
        <f>AND(COUNTIF(CO!A:A,A134)&gt;0,COUNTIF('O3'!A:A,A134)&gt;0,COUNTIF('PM10'!A:A,A134)&gt;0,COUNTIF('PM2.5'!A:A,A134)&gt;0,COUNTIF('SO2'!A:A,A134)&gt;0,COUNTIF(Kendaraan!A:A,A134))</f>
        <v>1</v>
      </c>
    </row>
    <row r="135" spans="1:9" x14ac:dyDescent="0.45">
      <c r="A135" s="4">
        <v>45519</v>
      </c>
      <c r="B135" t="s">
        <v>924</v>
      </c>
      <c r="C135" t="s">
        <v>925</v>
      </c>
      <c r="D135" t="s">
        <v>924</v>
      </c>
      <c r="E135" t="s">
        <v>924</v>
      </c>
      <c r="F135" t="s">
        <v>924</v>
      </c>
      <c r="G135" t="s">
        <v>36</v>
      </c>
      <c r="H135">
        <v>15</v>
      </c>
      <c r="I135" t="b">
        <f>AND(COUNTIF(CO!A:A,A135)&gt;0,COUNTIF('O3'!A:A,A135)&gt;0,COUNTIF('PM10'!A:A,A135)&gt;0,COUNTIF('PM2.5'!A:A,A135)&gt;0,COUNTIF('SO2'!A:A,A135)&gt;0,COUNTIF(Kendaraan!A:A,A135))</f>
        <v>1</v>
      </c>
    </row>
    <row r="136" spans="1:9" x14ac:dyDescent="0.45">
      <c r="A136" s="4">
        <v>45521</v>
      </c>
      <c r="B136">
        <v>17</v>
      </c>
      <c r="C136" t="s">
        <v>926</v>
      </c>
      <c r="D136">
        <v>17</v>
      </c>
      <c r="E136">
        <v>17</v>
      </c>
      <c r="F136" t="s">
        <v>927</v>
      </c>
      <c r="G136" t="s">
        <v>928</v>
      </c>
      <c r="H136">
        <v>24</v>
      </c>
      <c r="I136" t="b">
        <f>AND(COUNTIF(CO!A:A,A136)&gt;0,COUNTIF('O3'!A:A,A136)&gt;0,COUNTIF('PM10'!A:A,A136)&gt;0,COUNTIF('PM2.5'!A:A,A136)&gt;0,COUNTIF('SO2'!A:A,A136)&gt;0,COUNTIF(Kendaraan!A:A,A136))</f>
        <v>1</v>
      </c>
    </row>
    <row r="137" spans="1:9" x14ac:dyDescent="0.45">
      <c r="A137" s="4">
        <v>45522</v>
      </c>
      <c r="B137">
        <v>17</v>
      </c>
      <c r="C137">
        <v>17</v>
      </c>
      <c r="D137">
        <v>17</v>
      </c>
      <c r="E137">
        <v>17</v>
      </c>
      <c r="F137">
        <v>17</v>
      </c>
      <c r="G137">
        <v>0</v>
      </c>
      <c r="H137">
        <v>24</v>
      </c>
      <c r="I137" t="b">
        <f>AND(COUNTIF(CO!A:A,A137)&gt;0,COUNTIF('O3'!A:A,A137)&gt;0,COUNTIF('PM10'!A:A,A137)&gt;0,COUNTIF('PM2.5'!A:A,A137)&gt;0,COUNTIF('SO2'!A:A,A137)&gt;0,COUNTIF(Kendaraan!A:A,A137))</f>
        <v>1</v>
      </c>
    </row>
    <row r="138" spans="1:9" x14ac:dyDescent="0.45">
      <c r="A138" s="4">
        <v>45523</v>
      </c>
      <c r="B138">
        <v>17</v>
      </c>
      <c r="C138">
        <v>17</v>
      </c>
      <c r="D138">
        <v>17</v>
      </c>
      <c r="E138">
        <v>17</v>
      </c>
      <c r="F138">
        <v>17</v>
      </c>
      <c r="G138">
        <v>0</v>
      </c>
      <c r="H138">
        <v>24</v>
      </c>
      <c r="I138" t="b">
        <f>AND(COUNTIF(CO!A:A,A138)&gt;0,COUNTIF('O3'!A:A,A138)&gt;0,COUNTIF('PM10'!A:A,A138)&gt;0,COUNTIF('PM2.5'!A:A,A138)&gt;0,COUNTIF('SO2'!A:A,A138)&gt;0,COUNTIF(Kendaraan!A:A,A138))</f>
        <v>1</v>
      </c>
    </row>
    <row r="139" spans="1:9" x14ac:dyDescent="0.45">
      <c r="A139" s="4">
        <v>45524</v>
      </c>
      <c r="B139">
        <v>17</v>
      </c>
      <c r="C139">
        <v>17</v>
      </c>
      <c r="D139">
        <v>17</v>
      </c>
      <c r="E139">
        <v>17</v>
      </c>
      <c r="F139">
        <v>17</v>
      </c>
      <c r="G139">
        <v>0</v>
      </c>
      <c r="H139">
        <v>22</v>
      </c>
      <c r="I139" t="b">
        <f>AND(COUNTIF(CO!A:A,A139)&gt;0,COUNTIF('O3'!A:A,A139)&gt;0,COUNTIF('PM10'!A:A,A139)&gt;0,COUNTIF('PM2.5'!A:A,A139)&gt;0,COUNTIF('SO2'!A:A,A139)&gt;0,COUNTIF(Kendaraan!A:A,A139))</f>
        <v>1</v>
      </c>
    </row>
    <row r="140" spans="1:9" x14ac:dyDescent="0.45">
      <c r="A140" s="4">
        <v>45525</v>
      </c>
      <c r="B140">
        <v>17</v>
      </c>
      <c r="C140">
        <v>17</v>
      </c>
      <c r="D140">
        <v>17</v>
      </c>
      <c r="E140">
        <v>17</v>
      </c>
      <c r="F140">
        <v>17</v>
      </c>
      <c r="G140">
        <v>0</v>
      </c>
      <c r="H140">
        <v>24</v>
      </c>
      <c r="I140" t="b">
        <f>AND(COUNTIF(CO!A:A,A140)&gt;0,COUNTIF('O3'!A:A,A140)&gt;0,COUNTIF('PM10'!A:A,A140)&gt;0,COUNTIF('PM2.5'!A:A,A140)&gt;0,COUNTIF('SO2'!A:A,A140)&gt;0,COUNTIF(Kendaraan!A:A,A140))</f>
        <v>1</v>
      </c>
    </row>
    <row r="141" spans="1:9" x14ac:dyDescent="0.45">
      <c r="A141" s="4">
        <v>45526</v>
      </c>
      <c r="B141">
        <v>17</v>
      </c>
      <c r="C141">
        <v>17</v>
      </c>
      <c r="D141">
        <v>17</v>
      </c>
      <c r="E141">
        <v>17</v>
      </c>
      <c r="F141">
        <v>17</v>
      </c>
      <c r="G141">
        <v>0</v>
      </c>
      <c r="H141">
        <v>24</v>
      </c>
      <c r="I141" t="b">
        <f>AND(COUNTIF(CO!A:A,A141)&gt;0,COUNTIF('O3'!A:A,A141)&gt;0,COUNTIF('PM10'!A:A,A141)&gt;0,COUNTIF('PM2.5'!A:A,A141)&gt;0,COUNTIF('SO2'!A:A,A141)&gt;0,COUNTIF(Kendaraan!A:A,A141))</f>
        <v>1</v>
      </c>
    </row>
    <row r="142" spans="1:9" x14ac:dyDescent="0.45">
      <c r="A142" s="4">
        <v>45527</v>
      </c>
      <c r="B142">
        <v>17</v>
      </c>
      <c r="C142" t="s">
        <v>929</v>
      </c>
      <c r="D142" t="s">
        <v>930</v>
      </c>
      <c r="E142" t="s">
        <v>931</v>
      </c>
      <c r="F142" t="s">
        <v>932</v>
      </c>
      <c r="G142" t="s">
        <v>933</v>
      </c>
      <c r="H142">
        <v>24</v>
      </c>
      <c r="I142" t="b">
        <f>AND(COUNTIF(CO!A:A,A142)&gt;0,COUNTIF('O3'!A:A,A142)&gt;0,COUNTIF('PM10'!A:A,A142)&gt;0,COUNTIF('PM2.5'!A:A,A142)&gt;0,COUNTIF('SO2'!A:A,A142)&gt;0,COUNTIF(Kendaraan!A:A,A142))</f>
        <v>1</v>
      </c>
    </row>
    <row r="143" spans="1:9" x14ac:dyDescent="0.45">
      <c r="A143" s="4">
        <v>45528</v>
      </c>
      <c r="B143" t="s">
        <v>934</v>
      </c>
      <c r="C143">
        <v>18</v>
      </c>
      <c r="D143" t="s">
        <v>935</v>
      </c>
      <c r="E143" t="s">
        <v>936</v>
      </c>
      <c r="F143" t="s">
        <v>937</v>
      </c>
      <c r="G143" t="s">
        <v>642</v>
      </c>
      <c r="H143">
        <v>24</v>
      </c>
      <c r="I143" t="b">
        <f>AND(COUNTIF(CO!A:A,A143)&gt;0,COUNTIF('O3'!A:A,A143)&gt;0,COUNTIF('PM10'!A:A,A143)&gt;0,COUNTIF('PM2.5'!A:A,A143)&gt;0,COUNTIF('SO2'!A:A,A143)&gt;0,COUNTIF(Kendaraan!A:A,A143))</f>
        <v>1</v>
      </c>
    </row>
    <row r="144" spans="1:9" x14ac:dyDescent="0.45">
      <c r="A144" s="4">
        <v>45529</v>
      </c>
      <c r="B144" t="s">
        <v>938</v>
      </c>
      <c r="C144" t="s">
        <v>939</v>
      </c>
      <c r="D144" t="s">
        <v>940</v>
      </c>
      <c r="E144" t="s">
        <v>941</v>
      </c>
      <c r="F144" t="s">
        <v>942</v>
      </c>
      <c r="G144" s="1">
        <v>2163</v>
      </c>
      <c r="H144">
        <v>24</v>
      </c>
      <c r="I144" t="b">
        <f>AND(COUNTIF(CO!A:A,A144)&gt;0,COUNTIF('O3'!A:A,A144)&gt;0,COUNTIF('PM10'!A:A,A144)&gt;0,COUNTIF('PM2.5'!A:A,A144)&gt;0,COUNTIF('SO2'!A:A,A144)&gt;0,COUNTIF(Kendaraan!A:A,A144))</f>
        <v>1</v>
      </c>
    </row>
    <row r="145" spans="1:9" x14ac:dyDescent="0.45">
      <c r="A145" s="4">
        <v>45530</v>
      </c>
      <c r="B145" t="s">
        <v>943</v>
      </c>
      <c r="C145" t="s">
        <v>938</v>
      </c>
      <c r="D145" t="s">
        <v>738</v>
      </c>
      <c r="E145" t="s">
        <v>726</v>
      </c>
      <c r="F145" t="s">
        <v>451</v>
      </c>
      <c r="G145" t="s">
        <v>944</v>
      </c>
      <c r="H145">
        <v>24</v>
      </c>
      <c r="I145" t="b">
        <f>AND(COUNTIF(CO!A:A,A145)&gt;0,COUNTIF('O3'!A:A,A145)&gt;0,COUNTIF('PM10'!A:A,A145)&gt;0,COUNTIF('PM2.5'!A:A,A145)&gt;0,COUNTIF('SO2'!A:A,A145)&gt;0,COUNTIF(Kendaraan!A:A,A145))</f>
        <v>1</v>
      </c>
    </row>
    <row r="146" spans="1:9" x14ac:dyDescent="0.45">
      <c r="A146" s="4">
        <v>45531</v>
      </c>
      <c r="B146" t="s">
        <v>945</v>
      </c>
      <c r="C146" t="s">
        <v>946</v>
      </c>
      <c r="D146" t="s">
        <v>947</v>
      </c>
      <c r="E146" t="s">
        <v>945</v>
      </c>
      <c r="F146" t="s">
        <v>948</v>
      </c>
      <c r="G146" t="s">
        <v>949</v>
      </c>
      <c r="H146">
        <v>24</v>
      </c>
      <c r="I146" t="b">
        <f>AND(COUNTIF(CO!A:A,A146)&gt;0,COUNTIF('O3'!A:A,A146)&gt;0,COUNTIF('PM10'!A:A,A146)&gt;0,COUNTIF('PM2.5'!A:A,A146)&gt;0,COUNTIF('SO2'!A:A,A146)&gt;0,COUNTIF(Kendaraan!A:A,A146))</f>
        <v>1</v>
      </c>
    </row>
    <row r="147" spans="1:9" x14ac:dyDescent="0.45">
      <c r="A147" s="4">
        <v>45532</v>
      </c>
      <c r="B147" t="s">
        <v>731</v>
      </c>
      <c r="C147" t="s">
        <v>950</v>
      </c>
      <c r="D147" t="s">
        <v>951</v>
      </c>
      <c r="E147" t="s">
        <v>731</v>
      </c>
      <c r="F147" t="s">
        <v>451</v>
      </c>
      <c r="G147" t="s">
        <v>176</v>
      </c>
      <c r="H147">
        <v>24</v>
      </c>
      <c r="I147" t="b">
        <f>AND(COUNTIF(CO!A:A,A147)&gt;0,COUNTIF('O3'!A:A,A147)&gt;0,COUNTIF('PM10'!A:A,A147)&gt;0,COUNTIF('PM2.5'!A:A,A147)&gt;0,COUNTIF('SO2'!A:A,A147)&gt;0,COUNTIF(Kendaraan!A:A,A147))</f>
        <v>1</v>
      </c>
    </row>
    <row r="148" spans="1:9" x14ac:dyDescent="0.45">
      <c r="A148" s="4">
        <v>45533</v>
      </c>
      <c r="B148" t="s">
        <v>451</v>
      </c>
      <c r="C148" t="s">
        <v>952</v>
      </c>
      <c r="D148" t="s">
        <v>950</v>
      </c>
      <c r="E148">
        <v>10</v>
      </c>
      <c r="F148" t="s">
        <v>947</v>
      </c>
      <c r="G148" t="s">
        <v>217</v>
      </c>
      <c r="H148">
        <v>24</v>
      </c>
      <c r="I148" t="b">
        <f>AND(COUNTIF(CO!A:A,A148)&gt;0,COUNTIF('O3'!A:A,A148)&gt;0,COUNTIF('PM10'!A:A,A148)&gt;0,COUNTIF('PM2.5'!A:A,A148)&gt;0,COUNTIF('SO2'!A:A,A148)&gt;0,COUNTIF(Kendaraan!A:A,A148))</f>
        <v>1</v>
      </c>
    </row>
    <row r="149" spans="1:9" x14ac:dyDescent="0.45">
      <c r="A149" s="4">
        <v>45534</v>
      </c>
      <c r="B149" t="s">
        <v>714</v>
      </c>
      <c r="C149" t="s">
        <v>945</v>
      </c>
      <c r="D149">
        <v>10</v>
      </c>
      <c r="E149" t="s">
        <v>741</v>
      </c>
      <c r="F149" t="s">
        <v>945</v>
      </c>
      <c r="G149" t="s">
        <v>953</v>
      </c>
      <c r="H149">
        <v>24</v>
      </c>
      <c r="I149" t="b">
        <f>AND(COUNTIF(CO!A:A,A149)&gt;0,COUNTIF('O3'!A:A,A149)&gt;0,COUNTIF('PM10'!A:A,A149)&gt;0,COUNTIF('PM2.5'!A:A,A149)&gt;0,COUNTIF('SO2'!A:A,A149)&gt;0,COUNTIF(Kendaraan!A:A,A149))</f>
        <v>1</v>
      </c>
    </row>
    <row r="150" spans="1:9" x14ac:dyDescent="0.45">
      <c r="A150" s="4">
        <v>45535</v>
      </c>
      <c r="B150">
        <v>9</v>
      </c>
      <c r="C150" t="s">
        <v>718</v>
      </c>
      <c r="D150">
        <v>9</v>
      </c>
      <c r="E150">
        <v>9</v>
      </c>
      <c r="F150" t="s">
        <v>954</v>
      </c>
      <c r="G150" t="s">
        <v>99</v>
      </c>
      <c r="H150">
        <v>24</v>
      </c>
      <c r="I150" t="b">
        <f>AND(COUNTIF(CO!A:A,A150)&gt;0,COUNTIF('O3'!A:A,A150)&gt;0,COUNTIF('PM10'!A:A,A150)&gt;0,COUNTIF('PM2.5'!A:A,A150)&gt;0,COUNTIF('SO2'!A:A,A150)&gt;0,COUNTIF(Kendaraan!A:A,A150))</f>
        <v>1</v>
      </c>
    </row>
    <row r="151" spans="1:9" x14ac:dyDescent="0.45">
      <c r="A151" s="4">
        <v>45536</v>
      </c>
      <c r="B151">
        <v>9</v>
      </c>
      <c r="C151">
        <v>9</v>
      </c>
      <c r="D151">
        <v>9</v>
      </c>
      <c r="E151">
        <v>9</v>
      </c>
      <c r="F151">
        <v>9</v>
      </c>
      <c r="G151">
        <v>0</v>
      </c>
      <c r="H151">
        <v>24</v>
      </c>
      <c r="I151" t="b">
        <f>AND(COUNTIF(CO!A:A,A151)&gt;0,COUNTIF('O3'!A:A,A151)&gt;0,COUNTIF('PM10'!A:A,A151)&gt;0,COUNTIF('PM2.5'!A:A,A151)&gt;0,COUNTIF('SO2'!A:A,A151)&gt;0,COUNTIF(Kendaraan!A:A,A151))</f>
        <v>1</v>
      </c>
    </row>
    <row r="152" spans="1:9" x14ac:dyDescent="0.45">
      <c r="A152" s="4">
        <v>45537</v>
      </c>
      <c r="B152">
        <v>9</v>
      </c>
      <c r="C152" t="s">
        <v>955</v>
      </c>
      <c r="D152" t="s">
        <v>956</v>
      </c>
      <c r="E152">
        <v>9</v>
      </c>
      <c r="F152" t="s">
        <v>957</v>
      </c>
      <c r="G152" s="1">
        <v>19639</v>
      </c>
      <c r="H152">
        <v>24</v>
      </c>
      <c r="I152" t="b">
        <f>AND(COUNTIF(CO!A:A,A152)&gt;0,COUNTIF('O3'!A:A,A152)&gt;0,COUNTIF('PM10'!A:A,A152)&gt;0,COUNTIF('PM2.5'!A:A,A152)&gt;0,COUNTIF('SO2'!A:A,A152)&gt;0,COUNTIF(Kendaraan!A:A,A152))</f>
        <v>1</v>
      </c>
    </row>
    <row r="153" spans="1:9" x14ac:dyDescent="0.45">
      <c r="A153" s="4">
        <v>45538</v>
      </c>
      <c r="B153" t="s">
        <v>958</v>
      </c>
      <c r="C153" t="s">
        <v>959</v>
      </c>
      <c r="D153" t="s">
        <v>960</v>
      </c>
      <c r="E153" t="s">
        <v>961</v>
      </c>
      <c r="F153" t="s">
        <v>962</v>
      </c>
      <c r="G153" s="1">
        <v>5383</v>
      </c>
      <c r="H153">
        <v>24</v>
      </c>
      <c r="I153" t="b">
        <f>AND(COUNTIF(CO!A:A,A153)&gt;0,COUNTIF('O3'!A:A,A153)&gt;0,COUNTIF('PM10'!A:A,A153)&gt;0,COUNTIF('PM2.5'!A:A,A153)&gt;0,COUNTIF('SO2'!A:A,A153)&gt;0,COUNTIF(Kendaraan!A:A,A153))</f>
        <v>1</v>
      </c>
    </row>
    <row r="154" spans="1:9" x14ac:dyDescent="0.45">
      <c r="A154" s="4">
        <v>45539</v>
      </c>
      <c r="B154" t="s">
        <v>963</v>
      </c>
      <c r="C154" t="s">
        <v>964</v>
      </c>
      <c r="D154" t="s">
        <v>965</v>
      </c>
      <c r="E154" t="s">
        <v>966</v>
      </c>
      <c r="F154" t="s">
        <v>967</v>
      </c>
      <c r="G154" t="s">
        <v>968</v>
      </c>
      <c r="H154">
        <v>24</v>
      </c>
      <c r="I154" t="b">
        <f>AND(COUNTIF(CO!A:A,A154)&gt;0,COUNTIF('O3'!A:A,A154)&gt;0,COUNTIF('PM10'!A:A,A154)&gt;0,COUNTIF('PM2.5'!A:A,A154)&gt;0,COUNTIF('SO2'!A:A,A154)&gt;0,COUNTIF(Kendaraan!A:A,A154))</f>
        <v>1</v>
      </c>
    </row>
    <row r="155" spans="1:9" x14ac:dyDescent="0.45">
      <c r="A155" s="4">
        <v>45540</v>
      </c>
      <c r="B155" t="s">
        <v>969</v>
      </c>
      <c r="C155" t="s">
        <v>307</v>
      </c>
      <c r="D155" t="s">
        <v>964</v>
      </c>
      <c r="E155" t="s">
        <v>970</v>
      </c>
      <c r="F155" t="s">
        <v>971</v>
      </c>
      <c r="G155" t="s">
        <v>242</v>
      </c>
      <c r="H155">
        <v>24</v>
      </c>
      <c r="I155" t="b">
        <f>AND(COUNTIF(CO!A:A,A155)&gt;0,COUNTIF('O3'!A:A,A155)&gt;0,COUNTIF('PM10'!A:A,A155)&gt;0,COUNTIF('PM2.5'!A:A,A155)&gt;0,COUNTIF('SO2'!A:A,A155)&gt;0,COUNTIF(Kendaraan!A:A,A155))</f>
        <v>1</v>
      </c>
    </row>
    <row r="156" spans="1:9" x14ac:dyDescent="0.45">
      <c r="A156" s="4">
        <v>45541</v>
      </c>
      <c r="B156" t="s">
        <v>972</v>
      </c>
      <c r="C156" t="s">
        <v>973</v>
      </c>
      <c r="D156" t="s">
        <v>974</v>
      </c>
      <c r="E156" t="s">
        <v>975</v>
      </c>
      <c r="F156" t="s">
        <v>976</v>
      </c>
      <c r="G156" t="s">
        <v>977</v>
      </c>
      <c r="H156">
        <v>24</v>
      </c>
      <c r="I156" t="b">
        <f>AND(COUNTIF(CO!A:A,A156)&gt;0,COUNTIF('O3'!A:A,A156)&gt;0,COUNTIF('PM10'!A:A,A156)&gt;0,COUNTIF('PM2.5'!A:A,A156)&gt;0,COUNTIF('SO2'!A:A,A156)&gt;0,COUNTIF(Kendaraan!A:A,A156))</f>
        <v>1</v>
      </c>
    </row>
    <row r="157" spans="1:9" x14ac:dyDescent="0.45">
      <c r="A157" s="4">
        <v>45542</v>
      </c>
      <c r="B157">
        <v>93</v>
      </c>
      <c r="C157" t="s">
        <v>978</v>
      </c>
      <c r="D157" t="s">
        <v>979</v>
      </c>
      <c r="E157" t="s">
        <v>980</v>
      </c>
      <c r="F157" t="s">
        <v>981</v>
      </c>
      <c r="G157" t="s">
        <v>51</v>
      </c>
      <c r="H157">
        <v>22</v>
      </c>
      <c r="I157" t="b">
        <f>AND(COUNTIF(CO!A:A,A157)&gt;0,COUNTIF('O3'!A:A,A157)&gt;0,COUNTIF('PM10'!A:A,A157)&gt;0,COUNTIF('PM2.5'!A:A,A157)&gt;0,COUNTIF('SO2'!A:A,A157)&gt;0,COUNTIF(Kendaraan!A:A,A157))</f>
        <v>1</v>
      </c>
    </row>
    <row r="158" spans="1:9" x14ac:dyDescent="0.45">
      <c r="A158" s="4">
        <v>45543</v>
      </c>
      <c r="B158" t="s">
        <v>982</v>
      </c>
      <c r="C158" t="s">
        <v>983</v>
      </c>
      <c r="D158" t="s">
        <v>370</v>
      </c>
      <c r="E158" t="s">
        <v>984</v>
      </c>
      <c r="F158" t="s">
        <v>985</v>
      </c>
      <c r="G158" s="1">
        <v>1111</v>
      </c>
      <c r="H158">
        <v>24</v>
      </c>
      <c r="I158" t="b">
        <f>AND(COUNTIF(CO!A:A,A158)&gt;0,COUNTIF('O3'!A:A,A158)&gt;0,COUNTIF('PM10'!A:A,A158)&gt;0,COUNTIF('PM2.5'!A:A,A158)&gt;0,COUNTIF('SO2'!A:A,A158)&gt;0,COUNTIF(Kendaraan!A:A,A158))</f>
        <v>1</v>
      </c>
    </row>
    <row r="159" spans="1:9" x14ac:dyDescent="0.45">
      <c r="A159" s="4">
        <v>45544</v>
      </c>
      <c r="B159" t="s">
        <v>986</v>
      </c>
      <c r="C159" t="s">
        <v>987</v>
      </c>
      <c r="D159" t="s">
        <v>988</v>
      </c>
      <c r="E159" t="s">
        <v>965</v>
      </c>
      <c r="F159" t="s">
        <v>308</v>
      </c>
      <c r="G159" t="s">
        <v>989</v>
      </c>
      <c r="H159">
        <v>24</v>
      </c>
      <c r="I159" t="b">
        <f>AND(COUNTIF(CO!A:A,A159)&gt;0,COUNTIF('O3'!A:A,A159)&gt;0,COUNTIF('PM10'!A:A,A159)&gt;0,COUNTIF('PM2.5'!A:A,A159)&gt;0,COUNTIF('SO2'!A:A,A159)&gt;0,COUNTIF(Kendaraan!A:A,A159))</f>
        <v>1</v>
      </c>
    </row>
    <row r="160" spans="1:9" x14ac:dyDescent="0.45">
      <c r="A160" s="4">
        <v>45545</v>
      </c>
      <c r="B160" t="s">
        <v>971</v>
      </c>
      <c r="C160" t="s">
        <v>980</v>
      </c>
      <c r="D160" t="s">
        <v>990</v>
      </c>
      <c r="E160" t="s">
        <v>991</v>
      </c>
      <c r="F160" t="s">
        <v>992</v>
      </c>
      <c r="G160" t="s">
        <v>993</v>
      </c>
      <c r="H160">
        <v>24</v>
      </c>
      <c r="I160" t="b">
        <f>AND(COUNTIF(CO!A:A,A160)&gt;0,COUNTIF('O3'!A:A,A160)&gt;0,COUNTIF('PM10'!A:A,A160)&gt;0,COUNTIF('PM2.5'!A:A,A160)&gt;0,COUNTIF('SO2'!A:A,A160)&gt;0,COUNTIF(Kendaraan!A:A,A160))</f>
        <v>1</v>
      </c>
    </row>
    <row r="161" spans="1:9" x14ac:dyDescent="0.45">
      <c r="A161" s="4">
        <v>45546</v>
      </c>
      <c r="B161" t="s">
        <v>994</v>
      </c>
      <c r="C161" t="s">
        <v>981</v>
      </c>
      <c r="D161" t="s">
        <v>995</v>
      </c>
      <c r="E161" t="s">
        <v>996</v>
      </c>
      <c r="F161" t="s">
        <v>330</v>
      </c>
      <c r="G161" t="s">
        <v>997</v>
      </c>
      <c r="H161">
        <v>24</v>
      </c>
      <c r="I161" t="b">
        <f>AND(COUNTIF(CO!A:A,A161)&gt;0,COUNTIF('O3'!A:A,A161)&gt;0,COUNTIF('PM10'!A:A,A161)&gt;0,COUNTIF('PM2.5'!A:A,A161)&gt;0,COUNTIF('SO2'!A:A,A161)&gt;0,COUNTIF(Kendaraan!A:A,A161))</f>
        <v>1</v>
      </c>
    </row>
    <row r="162" spans="1:9" x14ac:dyDescent="0.45">
      <c r="A162" s="4">
        <v>45547</v>
      </c>
      <c r="B162" t="s">
        <v>998</v>
      </c>
      <c r="C162" t="s">
        <v>999</v>
      </c>
      <c r="D162" t="s">
        <v>1000</v>
      </c>
      <c r="E162" t="s">
        <v>1001</v>
      </c>
      <c r="F162" t="s">
        <v>1002</v>
      </c>
      <c r="G162" t="s">
        <v>1003</v>
      </c>
      <c r="H162">
        <v>24</v>
      </c>
      <c r="I162" t="b">
        <f>AND(COUNTIF(CO!A:A,A162)&gt;0,COUNTIF('O3'!A:A,A162)&gt;0,COUNTIF('PM10'!A:A,A162)&gt;0,COUNTIF('PM2.5'!A:A,A162)&gt;0,COUNTIF('SO2'!A:A,A162)&gt;0,COUNTIF(Kendaraan!A:A,A162))</f>
        <v>1</v>
      </c>
    </row>
    <row r="163" spans="1:9" x14ac:dyDescent="0.45">
      <c r="A163" s="4">
        <v>45548</v>
      </c>
      <c r="B163" t="s">
        <v>1004</v>
      </c>
      <c r="C163" t="s">
        <v>332</v>
      </c>
      <c r="D163" t="s">
        <v>1005</v>
      </c>
      <c r="E163" t="s">
        <v>1006</v>
      </c>
      <c r="F163" t="s">
        <v>309</v>
      </c>
      <c r="G163" t="s">
        <v>1007</v>
      </c>
      <c r="H163">
        <v>24</v>
      </c>
      <c r="I163" t="b">
        <f>AND(COUNTIF(CO!A:A,A163)&gt;0,COUNTIF('O3'!A:A,A163)&gt;0,COUNTIF('PM10'!A:A,A163)&gt;0,COUNTIF('PM2.5'!A:A,A163)&gt;0,COUNTIF('SO2'!A:A,A163)&gt;0,COUNTIF(Kendaraan!A:A,A163))</f>
        <v>1</v>
      </c>
    </row>
    <row r="164" spans="1:9" x14ac:dyDescent="0.45">
      <c r="A164" s="4">
        <v>45549</v>
      </c>
      <c r="B164" t="s">
        <v>1008</v>
      </c>
      <c r="C164">
        <v>90</v>
      </c>
      <c r="D164" t="s">
        <v>1009</v>
      </c>
      <c r="E164" t="s">
        <v>1010</v>
      </c>
      <c r="F164" t="s">
        <v>1011</v>
      </c>
      <c r="G164" t="s">
        <v>1012</v>
      </c>
      <c r="H164">
        <v>24</v>
      </c>
      <c r="I164" t="b">
        <f>AND(COUNTIF(CO!A:A,A164)&gt;0,COUNTIF('O3'!A:A,A164)&gt;0,COUNTIF('PM10'!A:A,A164)&gt;0,COUNTIF('PM2.5'!A:A,A164)&gt;0,COUNTIF('SO2'!A:A,A164)&gt;0,COUNTIF(Kendaraan!A:A,A164))</f>
        <v>1</v>
      </c>
    </row>
    <row r="165" spans="1:9" x14ac:dyDescent="0.45">
      <c r="A165" s="4">
        <v>45550</v>
      </c>
      <c r="B165" t="s">
        <v>1013</v>
      </c>
      <c r="C165" t="s">
        <v>1014</v>
      </c>
      <c r="D165" t="s">
        <v>1015</v>
      </c>
      <c r="E165" t="s">
        <v>1016</v>
      </c>
      <c r="F165" t="s">
        <v>1017</v>
      </c>
      <c r="G165" t="s">
        <v>1018</v>
      </c>
      <c r="H165">
        <v>24</v>
      </c>
      <c r="I165" t="b">
        <f>AND(COUNTIF(CO!A:A,A165)&gt;0,COUNTIF('O3'!A:A,A165)&gt;0,COUNTIF('PM10'!A:A,A165)&gt;0,COUNTIF('PM2.5'!A:A,A165)&gt;0,COUNTIF('SO2'!A:A,A165)&gt;0,COUNTIF(Kendaraan!A:A,A165))</f>
        <v>1</v>
      </c>
    </row>
    <row r="166" spans="1:9" x14ac:dyDescent="0.45">
      <c r="A166" s="4">
        <v>45551</v>
      </c>
      <c r="B166" t="s">
        <v>1019</v>
      </c>
      <c r="C166" t="s">
        <v>1013</v>
      </c>
      <c r="D166" t="s">
        <v>1020</v>
      </c>
      <c r="E166" t="s">
        <v>1021</v>
      </c>
      <c r="F166" t="s">
        <v>1022</v>
      </c>
      <c r="G166" t="s">
        <v>1023</v>
      </c>
      <c r="H166">
        <v>24</v>
      </c>
      <c r="I166" t="b">
        <f>AND(COUNTIF(CO!A:A,A166)&gt;0,COUNTIF('O3'!A:A,A166)&gt;0,COUNTIF('PM10'!A:A,A166)&gt;0,COUNTIF('PM2.5'!A:A,A166)&gt;0,COUNTIF('SO2'!A:A,A166)&gt;0,COUNTIF(Kendaraan!A:A,A166))</f>
        <v>1</v>
      </c>
    </row>
    <row r="167" spans="1:9" x14ac:dyDescent="0.45">
      <c r="A167" s="4">
        <v>45552</v>
      </c>
      <c r="B167" t="s">
        <v>1024</v>
      </c>
      <c r="C167" t="s">
        <v>1025</v>
      </c>
      <c r="D167" t="s">
        <v>1026</v>
      </c>
      <c r="E167" t="s">
        <v>1027</v>
      </c>
      <c r="F167" t="s">
        <v>1028</v>
      </c>
      <c r="G167" s="1">
        <v>12529</v>
      </c>
      <c r="H167">
        <v>24</v>
      </c>
      <c r="I167" t="b">
        <f>AND(COUNTIF(CO!A:A,A167)&gt;0,COUNTIF('O3'!A:A,A167)&gt;0,COUNTIF('PM10'!A:A,A167)&gt;0,COUNTIF('PM2.5'!A:A,A167)&gt;0,COUNTIF('SO2'!A:A,A167)&gt;0,COUNTIF(Kendaraan!A:A,A167))</f>
        <v>1</v>
      </c>
    </row>
    <row r="168" spans="1:9" x14ac:dyDescent="0.45">
      <c r="A168" s="4">
        <v>45553</v>
      </c>
      <c r="B168">
        <v>43</v>
      </c>
      <c r="C168" t="s">
        <v>1029</v>
      </c>
      <c r="D168">
        <v>43</v>
      </c>
      <c r="E168">
        <v>43</v>
      </c>
      <c r="F168">
        <v>43</v>
      </c>
      <c r="G168" t="s">
        <v>1030</v>
      </c>
      <c r="H168">
        <v>24</v>
      </c>
      <c r="I168" t="b">
        <f>AND(COUNTIF(CO!A:A,A168)&gt;0,COUNTIF('O3'!A:A,A168)&gt;0,COUNTIF('PM10'!A:A,A168)&gt;0,COUNTIF('PM2.5'!A:A,A168)&gt;0,COUNTIF('SO2'!A:A,A168)&gt;0,COUNTIF(Kendaraan!A:A,A168))</f>
        <v>1</v>
      </c>
    </row>
    <row r="169" spans="1:9" x14ac:dyDescent="0.45">
      <c r="A169" s="4">
        <v>45554</v>
      </c>
      <c r="B169">
        <v>43</v>
      </c>
      <c r="C169">
        <v>43</v>
      </c>
      <c r="D169">
        <v>43</v>
      </c>
      <c r="E169">
        <v>43</v>
      </c>
      <c r="F169">
        <v>43</v>
      </c>
      <c r="G169">
        <v>0</v>
      </c>
      <c r="H169">
        <v>24</v>
      </c>
      <c r="I169" t="b">
        <f>AND(COUNTIF(CO!A:A,A169)&gt;0,COUNTIF('O3'!A:A,A169)&gt;0,COUNTIF('PM10'!A:A,A169)&gt;0,COUNTIF('PM2.5'!A:A,A169)&gt;0,COUNTIF('SO2'!A:A,A169)&gt;0,COUNTIF(Kendaraan!A:A,A169))</f>
        <v>1</v>
      </c>
    </row>
    <row r="170" spans="1:9" x14ac:dyDescent="0.45">
      <c r="A170" s="4">
        <v>45555</v>
      </c>
      <c r="B170">
        <v>43</v>
      </c>
      <c r="C170">
        <v>43</v>
      </c>
      <c r="D170">
        <v>43</v>
      </c>
      <c r="E170">
        <v>43</v>
      </c>
      <c r="F170">
        <v>43</v>
      </c>
      <c r="G170">
        <v>0</v>
      </c>
      <c r="H170">
        <v>24</v>
      </c>
      <c r="I170" t="b">
        <f>AND(COUNTIF(CO!A:A,A170)&gt;0,COUNTIF('O3'!A:A,A170)&gt;0,COUNTIF('PM10'!A:A,A170)&gt;0,COUNTIF('PM2.5'!A:A,A170)&gt;0,COUNTIF('SO2'!A:A,A170)&gt;0,COUNTIF(Kendaraan!A:A,A170))</f>
        <v>1</v>
      </c>
    </row>
    <row r="171" spans="1:9" x14ac:dyDescent="0.45">
      <c r="A171" s="4">
        <v>45556</v>
      </c>
      <c r="B171">
        <v>43</v>
      </c>
      <c r="C171">
        <v>43</v>
      </c>
      <c r="D171">
        <v>43</v>
      </c>
      <c r="E171">
        <v>43</v>
      </c>
      <c r="F171">
        <v>43</v>
      </c>
      <c r="G171">
        <v>0</v>
      </c>
      <c r="H171">
        <v>24</v>
      </c>
      <c r="I171" t="b">
        <f>AND(COUNTIF(CO!A:A,A171)&gt;0,COUNTIF('O3'!A:A,A171)&gt;0,COUNTIF('PM10'!A:A,A171)&gt;0,COUNTIF('PM2.5'!A:A,A171)&gt;0,COUNTIF('SO2'!A:A,A171)&gt;0,COUNTIF(Kendaraan!A:A,A171))</f>
        <v>1</v>
      </c>
    </row>
    <row r="172" spans="1:9" x14ac:dyDescent="0.45">
      <c r="A172" s="4">
        <v>45557</v>
      </c>
      <c r="B172">
        <v>43</v>
      </c>
      <c r="C172">
        <v>43</v>
      </c>
      <c r="D172">
        <v>43</v>
      </c>
      <c r="E172">
        <v>43</v>
      </c>
      <c r="F172">
        <v>43</v>
      </c>
      <c r="G172">
        <v>0</v>
      </c>
      <c r="H172">
        <v>24</v>
      </c>
      <c r="I172" t="b">
        <f>AND(COUNTIF(CO!A:A,A172)&gt;0,COUNTIF('O3'!A:A,A172)&gt;0,COUNTIF('PM10'!A:A,A172)&gt;0,COUNTIF('PM2.5'!A:A,A172)&gt;0,COUNTIF('SO2'!A:A,A172)&gt;0,COUNTIF(Kendaraan!A:A,A172))</f>
        <v>1</v>
      </c>
    </row>
    <row r="173" spans="1:9" x14ac:dyDescent="0.45">
      <c r="A173" s="4">
        <v>45558</v>
      </c>
      <c r="B173">
        <v>43</v>
      </c>
      <c r="C173">
        <v>43</v>
      </c>
      <c r="D173">
        <v>43</v>
      </c>
      <c r="E173">
        <v>43</v>
      </c>
      <c r="F173">
        <v>43</v>
      </c>
      <c r="G173">
        <v>0</v>
      </c>
      <c r="H173">
        <v>24</v>
      </c>
      <c r="I173" t="b">
        <f>AND(COUNTIF(CO!A:A,A173)&gt;0,COUNTIF('O3'!A:A,A173)&gt;0,COUNTIF('PM10'!A:A,A173)&gt;0,COUNTIF('PM2.5'!A:A,A173)&gt;0,COUNTIF('SO2'!A:A,A173)&gt;0,COUNTIF(Kendaraan!A:A,A173))</f>
        <v>1</v>
      </c>
    </row>
    <row r="174" spans="1:9" x14ac:dyDescent="0.45">
      <c r="A174" s="4">
        <v>45559</v>
      </c>
      <c r="B174">
        <v>43</v>
      </c>
      <c r="C174">
        <v>43</v>
      </c>
      <c r="D174">
        <v>43</v>
      </c>
      <c r="E174">
        <v>43</v>
      </c>
      <c r="F174">
        <v>43</v>
      </c>
      <c r="G174">
        <v>0</v>
      </c>
      <c r="H174">
        <v>24</v>
      </c>
      <c r="I174" t="b">
        <f>AND(COUNTIF(CO!A:A,A174)&gt;0,COUNTIF('O3'!A:A,A174)&gt;0,COUNTIF('PM10'!A:A,A174)&gt;0,COUNTIF('PM2.5'!A:A,A174)&gt;0,COUNTIF('SO2'!A:A,A174)&gt;0,COUNTIF(Kendaraan!A:A,A174))</f>
        <v>1</v>
      </c>
    </row>
    <row r="175" spans="1:9" x14ac:dyDescent="0.45">
      <c r="A175" s="4">
        <v>45560</v>
      </c>
      <c r="B175">
        <v>43</v>
      </c>
      <c r="C175">
        <v>43</v>
      </c>
      <c r="D175">
        <v>43</v>
      </c>
      <c r="E175">
        <v>43</v>
      </c>
      <c r="F175">
        <v>43</v>
      </c>
      <c r="G175">
        <v>0</v>
      </c>
      <c r="H175">
        <v>24</v>
      </c>
      <c r="I175" t="b">
        <f>AND(COUNTIF(CO!A:A,A175)&gt;0,COUNTIF('O3'!A:A,A175)&gt;0,COUNTIF('PM10'!A:A,A175)&gt;0,COUNTIF('PM2.5'!A:A,A175)&gt;0,COUNTIF('SO2'!A:A,A175)&gt;0,COUNTIF(Kendaraan!A:A,A175))</f>
        <v>1</v>
      </c>
    </row>
    <row r="176" spans="1:9" x14ac:dyDescent="0.45">
      <c r="A176" s="4">
        <v>45561</v>
      </c>
      <c r="B176">
        <v>43</v>
      </c>
      <c r="C176">
        <v>43</v>
      </c>
      <c r="D176">
        <v>43</v>
      </c>
      <c r="E176">
        <v>43</v>
      </c>
      <c r="F176">
        <v>43</v>
      </c>
      <c r="G176">
        <v>0</v>
      </c>
      <c r="H176">
        <v>24</v>
      </c>
      <c r="I176" t="b">
        <f>AND(COUNTIF(CO!A:A,A176)&gt;0,COUNTIF('O3'!A:A,A176)&gt;0,COUNTIF('PM10'!A:A,A176)&gt;0,COUNTIF('PM2.5'!A:A,A176)&gt;0,COUNTIF('SO2'!A:A,A176)&gt;0,COUNTIF(Kendaraan!A:A,A176))</f>
        <v>1</v>
      </c>
    </row>
    <row r="177" spans="1:9" x14ac:dyDescent="0.45">
      <c r="A177" s="4">
        <v>45562</v>
      </c>
      <c r="B177">
        <v>43</v>
      </c>
      <c r="C177">
        <v>43</v>
      </c>
      <c r="D177">
        <v>43</v>
      </c>
      <c r="E177">
        <v>43</v>
      </c>
      <c r="F177">
        <v>43</v>
      </c>
      <c r="G177">
        <v>0</v>
      </c>
      <c r="H177">
        <v>24</v>
      </c>
      <c r="I177" t="b">
        <f>AND(COUNTIF(CO!A:A,A177)&gt;0,COUNTIF('O3'!A:A,A177)&gt;0,COUNTIF('PM10'!A:A,A177)&gt;0,COUNTIF('PM2.5'!A:A,A177)&gt;0,COUNTIF('SO2'!A:A,A177)&gt;0,COUNTIF(Kendaraan!A:A,A177))</f>
        <v>1</v>
      </c>
    </row>
    <row r="178" spans="1:9" x14ac:dyDescent="0.45">
      <c r="A178" s="4">
        <v>45563</v>
      </c>
      <c r="B178">
        <v>43</v>
      </c>
      <c r="C178">
        <v>43</v>
      </c>
      <c r="D178">
        <v>43</v>
      </c>
      <c r="E178">
        <v>43</v>
      </c>
      <c r="F178">
        <v>43</v>
      </c>
      <c r="G178">
        <v>0</v>
      </c>
      <c r="H178">
        <v>24</v>
      </c>
      <c r="I178" t="b">
        <f>AND(COUNTIF(CO!A:A,A178)&gt;0,COUNTIF('O3'!A:A,A178)&gt;0,COUNTIF('PM10'!A:A,A178)&gt;0,COUNTIF('PM2.5'!A:A,A178)&gt;0,COUNTIF('SO2'!A:A,A178)&gt;0,COUNTIF(Kendaraan!A:A,A178))</f>
        <v>1</v>
      </c>
    </row>
    <row r="179" spans="1:9" x14ac:dyDescent="0.45">
      <c r="A179" s="4">
        <v>45564</v>
      </c>
      <c r="B179">
        <v>43</v>
      </c>
      <c r="C179">
        <v>43</v>
      </c>
      <c r="D179">
        <v>43</v>
      </c>
      <c r="E179">
        <v>43</v>
      </c>
      <c r="F179">
        <v>43</v>
      </c>
      <c r="G179">
        <v>0</v>
      </c>
      <c r="H179">
        <v>24</v>
      </c>
      <c r="I179" t="b">
        <f>AND(COUNTIF(CO!A:A,A179)&gt;0,COUNTIF('O3'!A:A,A179)&gt;0,COUNTIF('PM10'!A:A,A179)&gt;0,COUNTIF('PM2.5'!A:A,A179)&gt;0,COUNTIF('SO2'!A:A,A179)&gt;0,COUNTIF(Kendaraan!A:A,A179))</f>
        <v>1</v>
      </c>
    </row>
    <row r="180" spans="1:9" x14ac:dyDescent="0.45">
      <c r="A180" s="4">
        <v>45565</v>
      </c>
      <c r="B180">
        <v>43</v>
      </c>
      <c r="C180">
        <v>43</v>
      </c>
      <c r="D180">
        <v>43</v>
      </c>
      <c r="E180">
        <v>43</v>
      </c>
      <c r="F180">
        <v>43</v>
      </c>
      <c r="G180">
        <v>0</v>
      </c>
      <c r="H180">
        <v>24</v>
      </c>
      <c r="I180" t="b">
        <f>AND(COUNTIF(CO!A:A,A180)&gt;0,COUNTIF('O3'!A:A,A180)&gt;0,COUNTIF('PM10'!A:A,A180)&gt;0,COUNTIF('PM2.5'!A:A,A180)&gt;0,COUNTIF('SO2'!A:A,A180)&gt;0,COUNTIF(Kendaraan!A:A,A180))</f>
        <v>1</v>
      </c>
    </row>
    <row r="181" spans="1:9" x14ac:dyDescent="0.45">
      <c r="A181" s="4">
        <v>45566</v>
      </c>
      <c r="B181">
        <v>43</v>
      </c>
      <c r="C181">
        <v>43</v>
      </c>
      <c r="D181">
        <v>43</v>
      </c>
      <c r="E181">
        <v>43</v>
      </c>
      <c r="F181">
        <v>43</v>
      </c>
      <c r="G181">
        <v>0</v>
      </c>
      <c r="H181">
        <v>24</v>
      </c>
      <c r="I181" t="b">
        <f>AND(COUNTIF(CO!A:A,A181)&gt;0,COUNTIF('O3'!A:A,A181)&gt;0,COUNTIF('PM10'!A:A,A181)&gt;0,COUNTIF('PM2.5'!A:A,A181)&gt;0,COUNTIF('SO2'!A:A,A181)&gt;0,COUNTIF(Kendaraan!A:A,A181))</f>
        <v>1</v>
      </c>
    </row>
    <row r="182" spans="1:9" x14ac:dyDescent="0.45">
      <c r="A182" s="4">
        <v>45567</v>
      </c>
      <c r="B182">
        <v>43</v>
      </c>
      <c r="C182">
        <v>43</v>
      </c>
      <c r="D182">
        <v>43</v>
      </c>
      <c r="E182">
        <v>43</v>
      </c>
      <c r="F182">
        <v>43</v>
      </c>
      <c r="G182">
        <v>0</v>
      </c>
      <c r="H182">
        <v>24</v>
      </c>
      <c r="I182" t="b">
        <f>AND(COUNTIF(CO!A:A,A182)&gt;0,COUNTIF('O3'!A:A,A182)&gt;0,COUNTIF('PM10'!A:A,A182)&gt;0,COUNTIF('PM2.5'!A:A,A182)&gt;0,COUNTIF('SO2'!A:A,A182)&gt;0,COUNTIF(Kendaraan!A:A,A182))</f>
        <v>1</v>
      </c>
    </row>
    <row r="183" spans="1:9" x14ac:dyDescent="0.45">
      <c r="A183" s="4">
        <v>45568</v>
      </c>
      <c r="B183">
        <v>43</v>
      </c>
      <c r="C183">
        <v>43</v>
      </c>
      <c r="D183">
        <v>43</v>
      </c>
      <c r="E183">
        <v>43</v>
      </c>
      <c r="F183">
        <v>43</v>
      </c>
      <c r="G183">
        <v>0</v>
      </c>
      <c r="H183">
        <v>24</v>
      </c>
      <c r="I183" t="b">
        <f>AND(COUNTIF(CO!A:A,A183)&gt;0,COUNTIF('O3'!A:A,A183)&gt;0,COUNTIF('PM10'!A:A,A183)&gt;0,COUNTIF('PM2.5'!A:A,A183)&gt;0,COUNTIF('SO2'!A:A,A183)&gt;0,COUNTIF(Kendaraan!A:A,A183))</f>
        <v>1</v>
      </c>
    </row>
    <row r="184" spans="1:9" x14ac:dyDescent="0.45">
      <c r="A184" s="4">
        <v>45569</v>
      </c>
      <c r="B184">
        <v>43</v>
      </c>
      <c r="C184">
        <v>43</v>
      </c>
      <c r="D184">
        <v>43</v>
      </c>
      <c r="E184">
        <v>43</v>
      </c>
      <c r="F184">
        <v>43</v>
      </c>
      <c r="G184">
        <v>0</v>
      </c>
      <c r="H184">
        <v>24</v>
      </c>
      <c r="I184" t="b">
        <f>AND(COUNTIF(CO!A:A,A184)&gt;0,COUNTIF('O3'!A:A,A184)&gt;0,COUNTIF('PM10'!A:A,A184)&gt;0,COUNTIF('PM2.5'!A:A,A184)&gt;0,COUNTIF('SO2'!A:A,A184)&gt;0,COUNTIF(Kendaraan!A:A,A184))</f>
        <v>1</v>
      </c>
    </row>
    <row r="185" spans="1:9" x14ac:dyDescent="0.45">
      <c r="A185" s="4">
        <v>45570</v>
      </c>
      <c r="B185">
        <v>43</v>
      </c>
      <c r="C185">
        <v>43</v>
      </c>
      <c r="D185">
        <v>43</v>
      </c>
      <c r="E185">
        <v>43</v>
      </c>
      <c r="F185">
        <v>43</v>
      </c>
      <c r="G185">
        <v>0</v>
      </c>
      <c r="H185">
        <v>24</v>
      </c>
      <c r="I185" t="b">
        <f>AND(COUNTIF(CO!A:A,A185)&gt;0,COUNTIF('O3'!A:A,A185)&gt;0,COUNTIF('PM10'!A:A,A185)&gt;0,COUNTIF('PM2.5'!A:A,A185)&gt;0,COUNTIF('SO2'!A:A,A185)&gt;0,COUNTIF(Kendaraan!A:A,A185))</f>
        <v>1</v>
      </c>
    </row>
    <row r="186" spans="1:9" x14ac:dyDescent="0.45">
      <c r="A186" s="4">
        <v>45571</v>
      </c>
      <c r="B186">
        <v>43</v>
      </c>
      <c r="C186">
        <v>43</v>
      </c>
      <c r="D186">
        <v>43</v>
      </c>
      <c r="E186">
        <v>43</v>
      </c>
      <c r="F186">
        <v>43</v>
      </c>
      <c r="G186">
        <v>0</v>
      </c>
      <c r="H186">
        <v>14</v>
      </c>
      <c r="I186" t="b">
        <f>AND(COUNTIF(CO!A:A,A186)&gt;0,COUNTIF('O3'!A:A,A186)&gt;0,COUNTIF('PM10'!A:A,A186)&gt;0,COUNTIF('PM2.5'!A:A,A186)&gt;0,COUNTIF('SO2'!A:A,A186)&gt;0,COUNTIF(Kendaraan!A:A,A186))</f>
        <v>1</v>
      </c>
    </row>
    <row r="187" spans="1:9" x14ac:dyDescent="0.45">
      <c r="A187" s="4">
        <v>45572</v>
      </c>
      <c r="B187" t="s">
        <v>1031</v>
      </c>
      <c r="C187" t="s">
        <v>1032</v>
      </c>
      <c r="D187" t="s">
        <v>1033</v>
      </c>
      <c r="E187" t="s">
        <v>1034</v>
      </c>
      <c r="F187" t="s">
        <v>1035</v>
      </c>
      <c r="G187" t="s">
        <v>1036</v>
      </c>
      <c r="H187">
        <v>5</v>
      </c>
      <c r="I187" t="b">
        <f>AND(COUNTIF(CO!A:A,A187)&gt;0,COUNTIF('O3'!A:A,A187)&gt;0,COUNTIF('PM10'!A:A,A187)&gt;0,COUNTIF('PM2.5'!A:A,A187)&gt;0,COUNTIF('SO2'!A:A,A187)&gt;0,COUNTIF(Kendaraan!A:A,A187))</f>
        <v>1</v>
      </c>
    </row>
    <row r="188" spans="1:9" x14ac:dyDescent="0.45">
      <c r="A188" s="4">
        <v>45573</v>
      </c>
      <c r="B188" t="s">
        <v>1037</v>
      </c>
      <c r="C188" t="s">
        <v>1038</v>
      </c>
      <c r="D188" t="s">
        <v>1038</v>
      </c>
      <c r="E188" t="s">
        <v>1039</v>
      </c>
      <c r="F188" t="s">
        <v>1038</v>
      </c>
      <c r="G188" s="1">
        <v>1192</v>
      </c>
      <c r="H188">
        <v>24</v>
      </c>
      <c r="I188" t="b">
        <f>AND(COUNTIF(CO!A:A,A188)&gt;0,COUNTIF('O3'!A:A,A188)&gt;0,COUNTIF('PM10'!A:A,A188)&gt;0,COUNTIF('PM2.5'!A:A,A188)&gt;0,COUNTIF('SO2'!A:A,A188)&gt;0,COUNTIF(Kendaraan!A:A,A188))</f>
        <v>1</v>
      </c>
    </row>
    <row r="189" spans="1:9" x14ac:dyDescent="0.45">
      <c r="A189" s="4">
        <v>45574</v>
      </c>
      <c r="B189" t="s">
        <v>1038</v>
      </c>
      <c r="C189">
        <v>43</v>
      </c>
      <c r="D189">
        <v>43</v>
      </c>
      <c r="E189">
        <v>43</v>
      </c>
      <c r="F189">
        <v>43</v>
      </c>
      <c r="G189" t="s">
        <v>1040</v>
      </c>
      <c r="H189">
        <v>24</v>
      </c>
      <c r="I189" t="b">
        <f>AND(COUNTIF(CO!A:A,A189)&gt;0,COUNTIF('O3'!A:A,A189)&gt;0,COUNTIF('PM10'!A:A,A189)&gt;0,COUNTIF('PM2.5'!A:A,A189)&gt;0,COUNTIF('SO2'!A:A,A189)&gt;0,COUNTIF(Kendaraan!A:A,A189))</f>
        <v>1</v>
      </c>
    </row>
    <row r="190" spans="1:9" x14ac:dyDescent="0.45">
      <c r="A190" s="4">
        <v>45575</v>
      </c>
      <c r="B190">
        <v>43</v>
      </c>
      <c r="C190">
        <v>43</v>
      </c>
      <c r="D190">
        <v>43</v>
      </c>
      <c r="E190">
        <v>43</v>
      </c>
      <c r="F190">
        <v>43</v>
      </c>
      <c r="G190">
        <v>0</v>
      </c>
      <c r="H190">
        <v>24</v>
      </c>
      <c r="I190" t="b">
        <f>AND(COUNTIF(CO!A:A,A190)&gt;0,COUNTIF('O3'!A:A,A190)&gt;0,COUNTIF('PM10'!A:A,A190)&gt;0,COUNTIF('PM2.5'!A:A,A190)&gt;0,COUNTIF('SO2'!A:A,A190)&gt;0,COUNTIF(Kendaraan!A:A,A190))</f>
        <v>1</v>
      </c>
    </row>
    <row r="191" spans="1:9" x14ac:dyDescent="0.45">
      <c r="A191" s="4">
        <v>45576</v>
      </c>
      <c r="B191">
        <v>43</v>
      </c>
      <c r="C191">
        <v>43</v>
      </c>
      <c r="D191">
        <v>43</v>
      </c>
      <c r="E191">
        <v>43</v>
      </c>
      <c r="F191">
        <v>43</v>
      </c>
      <c r="G191">
        <v>0</v>
      </c>
      <c r="H191">
        <v>24</v>
      </c>
      <c r="I191" t="b">
        <f>AND(COUNTIF(CO!A:A,A191)&gt;0,COUNTIF('O3'!A:A,A191)&gt;0,COUNTIF('PM10'!A:A,A191)&gt;0,COUNTIF('PM2.5'!A:A,A191)&gt;0,COUNTIF('SO2'!A:A,A191)&gt;0,COUNTIF(Kendaraan!A:A,A191))</f>
        <v>1</v>
      </c>
    </row>
    <row r="192" spans="1:9" x14ac:dyDescent="0.45">
      <c r="A192" s="4">
        <v>45577</v>
      </c>
      <c r="B192">
        <v>43</v>
      </c>
      <c r="C192">
        <v>43</v>
      </c>
      <c r="D192">
        <v>43</v>
      </c>
      <c r="E192">
        <v>43</v>
      </c>
      <c r="F192">
        <v>43</v>
      </c>
      <c r="G192">
        <v>0</v>
      </c>
      <c r="H192">
        <v>24</v>
      </c>
      <c r="I192" t="b">
        <f>AND(COUNTIF(CO!A:A,A192)&gt;0,COUNTIF('O3'!A:A,A192)&gt;0,COUNTIF('PM10'!A:A,A192)&gt;0,COUNTIF('PM2.5'!A:A,A192)&gt;0,COUNTIF('SO2'!A:A,A192)&gt;0,COUNTIF(Kendaraan!A:A,A192))</f>
        <v>1</v>
      </c>
    </row>
    <row r="193" spans="1:9" x14ac:dyDescent="0.45">
      <c r="A193" s="4">
        <v>45578</v>
      </c>
      <c r="B193">
        <v>43</v>
      </c>
      <c r="C193">
        <v>43</v>
      </c>
      <c r="D193">
        <v>43</v>
      </c>
      <c r="E193">
        <v>43</v>
      </c>
      <c r="F193">
        <v>43</v>
      </c>
      <c r="G193">
        <v>0</v>
      </c>
      <c r="H193">
        <v>24</v>
      </c>
      <c r="I193" t="b">
        <f>AND(COUNTIF(CO!A:A,A193)&gt;0,COUNTIF('O3'!A:A,A193)&gt;0,COUNTIF('PM10'!A:A,A193)&gt;0,COUNTIF('PM2.5'!A:A,A193)&gt;0,COUNTIF('SO2'!A:A,A193)&gt;0,COUNTIF(Kendaraan!A:A,A193))</f>
        <v>1</v>
      </c>
    </row>
    <row r="194" spans="1:9" x14ac:dyDescent="0.45">
      <c r="A194" s="4">
        <v>45579</v>
      </c>
      <c r="B194">
        <v>43</v>
      </c>
      <c r="C194">
        <v>43</v>
      </c>
      <c r="D194">
        <v>43</v>
      </c>
      <c r="E194">
        <v>43</v>
      </c>
      <c r="F194">
        <v>43</v>
      </c>
      <c r="G194">
        <v>0</v>
      </c>
      <c r="H194">
        <v>24</v>
      </c>
      <c r="I194" t="b">
        <f>AND(COUNTIF(CO!A:A,A194)&gt;0,COUNTIF('O3'!A:A,A194)&gt;0,COUNTIF('PM10'!A:A,A194)&gt;0,COUNTIF('PM2.5'!A:A,A194)&gt;0,COUNTIF('SO2'!A:A,A194)&gt;0,COUNTIF(Kendaraan!A:A,A194))</f>
        <v>1</v>
      </c>
    </row>
    <row r="195" spans="1:9" x14ac:dyDescent="0.45">
      <c r="A195" s="4">
        <v>45580</v>
      </c>
      <c r="B195" t="s">
        <v>1041</v>
      </c>
      <c r="C195">
        <v>43</v>
      </c>
      <c r="D195" t="s">
        <v>1042</v>
      </c>
      <c r="E195" t="s">
        <v>487</v>
      </c>
      <c r="F195" t="s">
        <v>1043</v>
      </c>
      <c r="G195" s="1">
        <v>8113</v>
      </c>
      <c r="H195">
        <v>24</v>
      </c>
      <c r="I195" t="b">
        <f>AND(COUNTIF(CO!A:A,A195)&gt;0,COUNTIF('O3'!A:A,A195)&gt;0,COUNTIF('PM10'!A:A,A195)&gt;0,COUNTIF('PM2.5'!A:A,A195)&gt;0,COUNTIF('SO2'!A:A,A195)&gt;0,COUNTIF(Kendaraan!A:A,A195))</f>
        <v>1</v>
      </c>
    </row>
    <row r="196" spans="1:9" x14ac:dyDescent="0.45">
      <c r="A196" s="4">
        <v>45581</v>
      </c>
      <c r="B196" t="s">
        <v>1044</v>
      </c>
      <c r="C196" t="s">
        <v>1045</v>
      </c>
      <c r="D196" t="s">
        <v>938</v>
      </c>
      <c r="E196" t="s">
        <v>1046</v>
      </c>
      <c r="F196" t="s">
        <v>1047</v>
      </c>
      <c r="G196" s="1">
        <v>2134</v>
      </c>
      <c r="H196">
        <v>24</v>
      </c>
      <c r="I196" t="b">
        <f>AND(COUNTIF(CO!A:A,A196)&gt;0,COUNTIF('O3'!A:A,A196)&gt;0,COUNTIF('PM10'!A:A,A196)&gt;0,COUNTIF('PM2.5'!A:A,A196)&gt;0,COUNTIF('SO2'!A:A,A196)&gt;0,COUNTIF(Kendaraan!A:A,A196))</f>
        <v>1</v>
      </c>
    </row>
    <row r="197" spans="1:9" x14ac:dyDescent="0.45">
      <c r="A197" s="4">
        <v>45582</v>
      </c>
      <c r="B197" t="s">
        <v>1044</v>
      </c>
      <c r="C197" t="s">
        <v>1048</v>
      </c>
      <c r="D197" t="s">
        <v>1044</v>
      </c>
      <c r="E197" t="s">
        <v>1044</v>
      </c>
      <c r="F197" t="s">
        <v>1049</v>
      </c>
      <c r="G197" t="s">
        <v>231</v>
      </c>
      <c r="H197">
        <v>24</v>
      </c>
      <c r="I197" t="b">
        <f>AND(COUNTIF(CO!A:A,A197)&gt;0,COUNTIF('O3'!A:A,A197)&gt;0,COUNTIF('PM10'!A:A,A197)&gt;0,COUNTIF('PM2.5'!A:A,A197)&gt;0,COUNTIF('SO2'!A:A,A197)&gt;0,COUNTIF(Kendaraan!A:A,A197))</f>
        <v>1</v>
      </c>
    </row>
    <row r="198" spans="1:9" x14ac:dyDescent="0.45">
      <c r="A198" s="4">
        <v>45583</v>
      </c>
      <c r="B198" t="s">
        <v>1050</v>
      </c>
      <c r="C198" t="s">
        <v>1051</v>
      </c>
      <c r="D198" t="s">
        <v>1052</v>
      </c>
      <c r="E198" t="s">
        <v>1052</v>
      </c>
      <c r="F198" t="s">
        <v>1052</v>
      </c>
      <c r="G198" t="s">
        <v>125</v>
      </c>
      <c r="H198">
        <v>24</v>
      </c>
      <c r="I198" t="b">
        <f>AND(COUNTIF(CO!A:A,A198)&gt;0,COUNTIF('O3'!A:A,A198)&gt;0,COUNTIF('PM10'!A:A,A198)&gt;0,COUNTIF('PM2.5'!A:A,A198)&gt;0,COUNTIF('SO2'!A:A,A198)&gt;0,COUNTIF(Kendaraan!A:A,A198))</f>
        <v>1</v>
      </c>
    </row>
    <row r="199" spans="1:9" x14ac:dyDescent="0.45">
      <c r="A199" s="4">
        <v>45584</v>
      </c>
      <c r="B199" t="s">
        <v>1053</v>
      </c>
      <c r="C199" t="s">
        <v>1054</v>
      </c>
      <c r="D199" t="s">
        <v>1054</v>
      </c>
      <c r="E199" t="s">
        <v>1051</v>
      </c>
      <c r="F199" t="s">
        <v>1054</v>
      </c>
      <c r="G199" t="s">
        <v>212</v>
      </c>
      <c r="H199">
        <v>21</v>
      </c>
      <c r="I199" t="b">
        <f>AND(COUNTIF(CO!A:A,A199)&gt;0,COUNTIF('O3'!A:A,A199)&gt;0,COUNTIF('PM10'!A:A,A199)&gt;0,COUNTIF('PM2.5'!A:A,A199)&gt;0,COUNTIF('SO2'!A:A,A199)&gt;0,COUNTIF(Kendaraan!A:A,A199))</f>
        <v>1</v>
      </c>
    </row>
    <row r="200" spans="1:9" x14ac:dyDescent="0.45">
      <c r="A200" s="4">
        <v>45585</v>
      </c>
      <c r="B200" t="s">
        <v>947</v>
      </c>
      <c r="C200" t="s">
        <v>1055</v>
      </c>
      <c r="D200" t="s">
        <v>1056</v>
      </c>
      <c r="E200" t="s">
        <v>938</v>
      </c>
      <c r="F200" t="s">
        <v>1052</v>
      </c>
      <c r="G200" t="s">
        <v>1057</v>
      </c>
      <c r="H200">
        <v>24</v>
      </c>
      <c r="I200" t="b">
        <f>AND(COUNTIF(CO!A:A,A200)&gt;0,COUNTIF('O3'!A:A,A200)&gt;0,COUNTIF('PM10'!A:A,A200)&gt;0,COUNTIF('PM2.5'!A:A,A200)&gt;0,COUNTIF('SO2'!A:A,A200)&gt;0,COUNTIF(Kendaraan!A:A,A200))</f>
        <v>1</v>
      </c>
    </row>
    <row r="201" spans="1:9" x14ac:dyDescent="0.45">
      <c r="A201" s="4">
        <v>45586</v>
      </c>
      <c r="B201" t="s">
        <v>947</v>
      </c>
      <c r="C201" t="s">
        <v>1048</v>
      </c>
      <c r="D201" t="s">
        <v>1058</v>
      </c>
      <c r="E201" t="s">
        <v>947</v>
      </c>
      <c r="F201" t="s">
        <v>1059</v>
      </c>
      <c r="G201" t="s">
        <v>1060</v>
      </c>
      <c r="H201">
        <v>24</v>
      </c>
      <c r="I201" t="b">
        <f>AND(COUNTIF(CO!A:A,A201)&gt;0,COUNTIF('O3'!A:A,A201)&gt;0,COUNTIF('PM10'!A:A,A201)&gt;0,COUNTIF('PM2.5'!A:A,A201)&gt;0,COUNTIF('SO2'!A:A,A201)&gt;0,COUNTIF(Kendaraan!A:A,A201))</f>
        <v>1</v>
      </c>
    </row>
    <row r="202" spans="1:9" x14ac:dyDescent="0.45">
      <c r="A202" s="4">
        <v>45587</v>
      </c>
      <c r="B202" t="s">
        <v>1059</v>
      </c>
      <c r="C202" t="s">
        <v>1052</v>
      </c>
      <c r="D202" t="s">
        <v>1048</v>
      </c>
      <c r="E202" t="s">
        <v>1050</v>
      </c>
      <c r="F202" t="s">
        <v>1052</v>
      </c>
      <c r="G202" t="s">
        <v>63</v>
      </c>
      <c r="H202">
        <v>24</v>
      </c>
      <c r="I202" t="b">
        <f>AND(COUNTIF(CO!A:A,A202)&gt;0,COUNTIF('O3'!A:A,A202)&gt;0,COUNTIF('PM10'!A:A,A202)&gt;0,COUNTIF('PM2.5'!A:A,A202)&gt;0,COUNTIF('SO2'!A:A,A202)&gt;0,COUNTIF(Kendaraan!A:A,A202))</f>
        <v>1</v>
      </c>
    </row>
    <row r="203" spans="1:9" x14ac:dyDescent="0.45">
      <c r="A203" s="4">
        <v>45588</v>
      </c>
      <c r="B203" t="s">
        <v>1061</v>
      </c>
      <c r="C203" t="s">
        <v>1062</v>
      </c>
      <c r="D203" t="s">
        <v>1050</v>
      </c>
      <c r="E203" t="s">
        <v>1063</v>
      </c>
      <c r="F203" t="s">
        <v>1048</v>
      </c>
      <c r="G203" t="s">
        <v>247</v>
      </c>
      <c r="H203">
        <v>24</v>
      </c>
      <c r="I203" t="b">
        <f>AND(COUNTIF(CO!A:A,A203)&gt;0,COUNTIF('O3'!A:A,A203)&gt;0,COUNTIF('PM10'!A:A,A203)&gt;0,COUNTIF('PM2.5'!A:A,A203)&gt;0,COUNTIF('SO2'!A:A,A203)&gt;0,COUNTIF(Kendaraan!A:A,A203))</f>
        <v>1</v>
      </c>
    </row>
    <row r="204" spans="1:9" x14ac:dyDescent="0.45">
      <c r="A204" s="4">
        <v>45589</v>
      </c>
      <c r="B204">
        <v>10</v>
      </c>
      <c r="C204" t="s">
        <v>1064</v>
      </c>
      <c r="D204" t="s">
        <v>1065</v>
      </c>
      <c r="E204" t="s">
        <v>1066</v>
      </c>
      <c r="F204" t="s">
        <v>1067</v>
      </c>
      <c r="G204" s="1">
        <v>3049</v>
      </c>
      <c r="H204">
        <v>24</v>
      </c>
      <c r="I204" t="b">
        <f>AND(COUNTIF(CO!A:A,A204)&gt;0,COUNTIF('O3'!A:A,A204)&gt;0,COUNTIF('PM10'!A:A,A204)&gt;0,COUNTIF('PM2.5'!A:A,A204)&gt;0,COUNTIF('SO2'!A:A,A204)&gt;0,COUNTIF(Kendaraan!A:A,A204))</f>
        <v>1</v>
      </c>
    </row>
    <row r="205" spans="1:9" x14ac:dyDescent="0.45">
      <c r="A205" s="4">
        <v>45590</v>
      </c>
      <c r="B205" t="s">
        <v>1068</v>
      </c>
      <c r="C205" t="s">
        <v>1064</v>
      </c>
      <c r="D205" t="s">
        <v>1069</v>
      </c>
      <c r="E205" t="s">
        <v>1070</v>
      </c>
      <c r="F205" t="s">
        <v>1071</v>
      </c>
      <c r="G205" t="s">
        <v>1072</v>
      </c>
      <c r="H205">
        <v>24</v>
      </c>
      <c r="I205" t="b">
        <f>AND(COUNTIF(CO!A:A,A205)&gt;0,COUNTIF('O3'!A:A,A205)&gt;0,COUNTIF('PM10'!A:A,A205)&gt;0,COUNTIF('PM2.5'!A:A,A205)&gt;0,COUNTIF('SO2'!A:A,A205)&gt;0,COUNTIF(Kendaraan!A:A,A205))</f>
        <v>1</v>
      </c>
    </row>
    <row r="206" spans="1:9" x14ac:dyDescent="0.45">
      <c r="A206" s="4">
        <v>45591</v>
      </c>
      <c r="B206" t="s">
        <v>1073</v>
      </c>
      <c r="C206" t="s">
        <v>1074</v>
      </c>
      <c r="D206" t="s">
        <v>1075</v>
      </c>
      <c r="E206" t="s">
        <v>1076</v>
      </c>
      <c r="F206" t="s">
        <v>1077</v>
      </c>
      <c r="G206" t="s">
        <v>473</v>
      </c>
      <c r="H206">
        <v>24</v>
      </c>
      <c r="I206" t="b">
        <f>AND(COUNTIF(CO!A:A,A206)&gt;0,COUNTIF('O3'!A:A,A206)&gt;0,COUNTIF('PM10'!A:A,A206)&gt;0,COUNTIF('PM2.5'!A:A,A206)&gt;0,COUNTIF('SO2'!A:A,A206)&gt;0,COUNTIF(Kendaraan!A:A,A206))</f>
        <v>1</v>
      </c>
    </row>
    <row r="207" spans="1:9" x14ac:dyDescent="0.45">
      <c r="A207" s="4">
        <v>45592</v>
      </c>
      <c r="B207" t="s">
        <v>1078</v>
      </c>
      <c r="C207" t="s">
        <v>1079</v>
      </c>
      <c r="D207" t="s">
        <v>1080</v>
      </c>
      <c r="E207" t="s">
        <v>1081</v>
      </c>
      <c r="F207" t="s">
        <v>1082</v>
      </c>
      <c r="G207" t="s">
        <v>260</v>
      </c>
      <c r="H207">
        <v>24</v>
      </c>
      <c r="I207" t="b">
        <f>AND(COUNTIF(CO!A:A,A207)&gt;0,COUNTIF('O3'!A:A,A207)&gt;0,COUNTIF('PM10'!A:A,A207)&gt;0,COUNTIF('PM2.5'!A:A,A207)&gt;0,COUNTIF('SO2'!A:A,A207)&gt;0,COUNTIF(Kendaraan!A:A,A207))</f>
        <v>1</v>
      </c>
    </row>
    <row r="208" spans="1:9" x14ac:dyDescent="0.45">
      <c r="A208" s="4">
        <v>45593</v>
      </c>
      <c r="B208" t="s">
        <v>1083</v>
      </c>
      <c r="C208" t="s">
        <v>1084</v>
      </c>
      <c r="D208" t="s">
        <v>1085</v>
      </c>
      <c r="E208" t="s">
        <v>1075</v>
      </c>
      <c r="F208" t="s">
        <v>1086</v>
      </c>
      <c r="G208" t="s">
        <v>1087</v>
      </c>
      <c r="H208">
        <v>24</v>
      </c>
      <c r="I208" t="b">
        <f>AND(COUNTIF(CO!A:A,A208)&gt;0,COUNTIF('O3'!A:A,A208)&gt;0,COUNTIF('PM10'!A:A,A208)&gt;0,COUNTIF('PM2.5'!A:A,A208)&gt;0,COUNTIF('SO2'!A:A,A208)&gt;0,COUNTIF(Kendaraan!A:A,A208))</f>
        <v>1</v>
      </c>
    </row>
    <row r="209" spans="1:9" x14ac:dyDescent="0.45">
      <c r="A209" s="4">
        <v>45594</v>
      </c>
      <c r="B209" t="s">
        <v>1088</v>
      </c>
      <c r="C209" t="s">
        <v>1089</v>
      </c>
      <c r="D209" t="s">
        <v>1090</v>
      </c>
      <c r="E209">
        <v>16</v>
      </c>
      <c r="F209" t="s">
        <v>1091</v>
      </c>
      <c r="G209" t="s">
        <v>287</v>
      </c>
      <c r="H209">
        <v>24</v>
      </c>
      <c r="I209" t="b">
        <f>AND(COUNTIF(CO!A:A,A209)&gt;0,COUNTIF('O3'!A:A,A209)&gt;0,COUNTIF('PM10'!A:A,A209)&gt;0,COUNTIF('PM2.5'!A:A,A209)&gt;0,COUNTIF('SO2'!A:A,A209)&gt;0,COUNTIF(Kendaraan!A:A,A209))</f>
        <v>1</v>
      </c>
    </row>
    <row r="210" spans="1:9" x14ac:dyDescent="0.45">
      <c r="A210" s="4">
        <v>45595</v>
      </c>
      <c r="B210" t="s">
        <v>1068</v>
      </c>
      <c r="C210" t="s">
        <v>1092</v>
      </c>
      <c r="D210">
        <v>16</v>
      </c>
      <c r="E210" t="s">
        <v>1093</v>
      </c>
      <c r="F210" t="s">
        <v>1065</v>
      </c>
      <c r="G210" t="s">
        <v>1094</v>
      </c>
      <c r="H210">
        <v>24</v>
      </c>
      <c r="I210" t="b">
        <f>AND(COUNTIF(CO!A:A,A210)&gt;0,COUNTIF('O3'!A:A,A210)&gt;0,COUNTIF('PM10'!A:A,A210)&gt;0,COUNTIF('PM2.5'!A:A,A210)&gt;0,COUNTIF('SO2'!A:A,A210)&gt;0,COUNTIF(Kendaraan!A:A,A210))</f>
        <v>1</v>
      </c>
    </row>
    <row r="211" spans="1:9" x14ac:dyDescent="0.45">
      <c r="A211" s="4">
        <v>45596</v>
      </c>
      <c r="B211" t="s">
        <v>1095</v>
      </c>
      <c r="C211" t="s">
        <v>1096</v>
      </c>
      <c r="D211" t="s">
        <v>1092</v>
      </c>
      <c r="E211" t="s">
        <v>1090</v>
      </c>
      <c r="F211" t="s">
        <v>1097</v>
      </c>
      <c r="G211" t="s">
        <v>1098</v>
      </c>
      <c r="H211">
        <v>24</v>
      </c>
      <c r="I211" t="b">
        <f>AND(COUNTIF(CO!A:A,A211)&gt;0,COUNTIF('O3'!A:A,A211)&gt;0,COUNTIF('PM10'!A:A,A211)&gt;0,COUNTIF('PM2.5'!A:A,A211)&gt;0,COUNTIF('SO2'!A:A,A211)&gt;0,COUNTIF(Kendaraan!A:A,A211))</f>
        <v>1</v>
      </c>
    </row>
    <row r="212" spans="1:9" x14ac:dyDescent="0.45">
      <c r="A212" s="4">
        <v>45597</v>
      </c>
      <c r="B212" t="s">
        <v>1099</v>
      </c>
      <c r="C212" t="s">
        <v>1100</v>
      </c>
      <c r="D212" t="s">
        <v>1101</v>
      </c>
      <c r="E212" t="s">
        <v>1102</v>
      </c>
      <c r="F212" t="s">
        <v>1045</v>
      </c>
      <c r="G212" t="s">
        <v>425</v>
      </c>
      <c r="H212">
        <v>24</v>
      </c>
      <c r="I212" t="b">
        <f>AND(COUNTIF(CO!A:A,A212)&gt;0,COUNTIF('O3'!A:A,A212)&gt;0,COUNTIF('PM10'!A:A,A212)&gt;0,COUNTIF('PM2.5'!A:A,A212)&gt;0,COUNTIF('SO2'!A:A,A212)&gt;0,COUNTIF(Kendaraan!A:A,A212))</f>
        <v>1</v>
      </c>
    </row>
    <row r="213" spans="1:9" x14ac:dyDescent="0.45">
      <c r="A213" s="4">
        <v>45598</v>
      </c>
      <c r="B213" t="s">
        <v>937</v>
      </c>
      <c r="C213" t="s">
        <v>1100</v>
      </c>
      <c r="D213" t="s">
        <v>1102</v>
      </c>
      <c r="E213">
        <v>17</v>
      </c>
      <c r="F213" t="s">
        <v>1103</v>
      </c>
      <c r="G213" t="s">
        <v>1104</v>
      </c>
      <c r="H213">
        <v>24</v>
      </c>
      <c r="I213" t="b">
        <f>AND(COUNTIF(CO!A:A,A213)&gt;0,COUNTIF('O3'!A:A,A213)&gt;0,COUNTIF('PM10'!A:A,A213)&gt;0,COUNTIF('PM2.5'!A:A,A213)&gt;0,COUNTIF('SO2'!A:A,A213)&gt;0,COUNTIF(Kendaraan!A:A,A213))</f>
        <v>1</v>
      </c>
    </row>
    <row r="214" spans="1:9" x14ac:dyDescent="0.45">
      <c r="A214" s="4">
        <v>45599</v>
      </c>
      <c r="B214" t="s">
        <v>939</v>
      </c>
      <c r="C214" t="s">
        <v>1103</v>
      </c>
      <c r="D214" t="s">
        <v>1105</v>
      </c>
      <c r="E214" t="s">
        <v>1106</v>
      </c>
      <c r="F214" t="s">
        <v>1107</v>
      </c>
      <c r="G214" t="s">
        <v>1108</v>
      </c>
      <c r="H214">
        <v>24</v>
      </c>
      <c r="I214" t="b">
        <f>AND(COUNTIF(CO!A:A,A214)&gt;0,COUNTIF('O3'!A:A,A214)&gt;0,COUNTIF('PM10'!A:A,A214)&gt;0,COUNTIF('PM2.5'!A:A,A214)&gt;0,COUNTIF('SO2'!A:A,A214)&gt;0,COUNTIF(Kendaraan!A:A,A214))</f>
        <v>1</v>
      </c>
    </row>
    <row r="215" spans="1:9" x14ac:dyDescent="0.45">
      <c r="A215" s="4">
        <v>45600</v>
      </c>
      <c r="B215" t="s">
        <v>1074</v>
      </c>
      <c r="C215" t="s">
        <v>1099</v>
      </c>
      <c r="D215">
        <v>16</v>
      </c>
      <c r="E215" t="s">
        <v>1068</v>
      </c>
      <c r="F215" t="s">
        <v>1109</v>
      </c>
      <c r="G215" t="s">
        <v>1110</v>
      </c>
      <c r="H215">
        <v>24</v>
      </c>
      <c r="I215" t="b">
        <f>AND(COUNTIF(CO!A:A,A215)&gt;0,COUNTIF('O3'!A:A,A215)&gt;0,COUNTIF('PM10'!A:A,A215)&gt;0,COUNTIF('PM2.5'!A:A,A215)&gt;0,COUNTIF('SO2'!A:A,A215)&gt;0,COUNTIF(Kendaraan!A:A,A215))</f>
        <v>1</v>
      </c>
    </row>
    <row r="216" spans="1:9" x14ac:dyDescent="0.45">
      <c r="A216" s="4">
        <v>45601</v>
      </c>
      <c r="B216" t="s">
        <v>344</v>
      </c>
      <c r="C216" t="s">
        <v>1111</v>
      </c>
      <c r="D216" t="s">
        <v>1091</v>
      </c>
      <c r="E216" t="s">
        <v>1112</v>
      </c>
      <c r="F216" t="s">
        <v>1113</v>
      </c>
      <c r="G216" t="s">
        <v>1114</v>
      </c>
      <c r="H216">
        <v>24</v>
      </c>
      <c r="I216" t="b">
        <f>AND(COUNTIF(CO!A:A,A216)&gt;0,COUNTIF('O3'!A:A,A216)&gt;0,COUNTIF('PM10'!A:A,A216)&gt;0,COUNTIF('PM2.5'!A:A,A216)&gt;0,COUNTIF('SO2'!A:A,A216)&gt;0,COUNTIF(Kendaraan!A:A,A216))</f>
        <v>1</v>
      </c>
    </row>
    <row r="217" spans="1:9" x14ac:dyDescent="0.45">
      <c r="A217" s="4">
        <v>45602</v>
      </c>
      <c r="B217" t="s">
        <v>1115</v>
      </c>
      <c r="C217" t="s">
        <v>1116</v>
      </c>
      <c r="D217" t="s">
        <v>1117</v>
      </c>
      <c r="E217" t="s">
        <v>1118</v>
      </c>
      <c r="F217" t="s">
        <v>1103</v>
      </c>
      <c r="G217" t="s">
        <v>1119</v>
      </c>
      <c r="H217">
        <v>24</v>
      </c>
      <c r="I217" t="b">
        <f>AND(COUNTIF(CO!A:A,A217)&gt;0,COUNTIF('O3'!A:A,A217)&gt;0,COUNTIF('PM10'!A:A,A217)&gt;0,COUNTIF('PM2.5'!A:A,A217)&gt;0,COUNTIF('SO2'!A:A,A217)&gt;0,COUNTIF(Kendaraan!A:A,A217))</f>
        <v>1</v>
      </c>
    </row>
    <row r="218" spans="1:9" x14ac:dyDescent="0.45">
      <c r="A218" s="4">
        <v>45603</v>
      </c>
      <c r="B218" t="s">
        <v>1120</v>
      </c>
      <c r="C218" t="s">
        <v>1121</v>
      </c>
      <c r="D218" t="s">
        <v>1122</v>
      </c>
      <c r="E218" t="s">
        <v>1123</v>
      </c>
      <c r="F218" t="s">
        <v>342</v>
      </c>
      <c r="G218" t="s">
        <v>1124</v>
      </c>
      <c r="H218">
        <v>24</v>
      </c>
      <c r="I218" t="b">
        <f>AND(COUNTIF(CO!A:A,A218)&gt;0,COUNTIF('O3'!A:A,A218)&gt;0,COUNTIF('PM10'!A:A,A218)&gt;0,COUNTIF('PM2.5'!A:A,A218)&gt;0,COUNTIF('SO2'!A:A,A218)&gt;0,COUNTIF(Kendaraan!A:A,A218))</f>
        <v>1</v>
      </c>
    </row>
    <row r="219" spans="1:9" x14ac:dyDescent="0.45">
      <c r="A219" s="4">
        <v>45604</v>
      </c>
      <c r="B219" t="s">
        <v>1081</v>
      </c>
      <c r="C219" t="s">
        <v>1086</v>
      </c>
      <c r="D219" t="s">
        <v>1125</v>
      </c>
      <c r="E219" t="s">
        <v>1076</v>
      </c>
      <c r="F219" t="s">
        <v>1126</v>
      </c>
      <c r="G219" t="s">
        <v>297</v>
      </c>
      <c r="H219">
        <v>24</v>
      </c>
      <c r="I219" t="b">
        <f>AND(COUNTIF(CO!A:A,A219)&gt;0,COUNTIF('O3'!A:A,A219)&gt;0,COUNTIF('PM10'!A:A,A219)&gt;0,COUNTIF('PM2.5'!A:A,A219)&gt;0,COUNTIF('SO2'!A:A,A219)&gt;0,COUNTIF(Kendaraan!A:A,A219))</f>
        <v>1</v>
      </c>
    </row>
    <row r="220" spans="1:9" x14ac:dyDescent="0.45">
      <c r="A220" s="4">
        <v>45605</v>
      </c>
      <c r="B220" t="s">
        <v>1090</v>
      </c>
      <c r="C220" t="s">
        <v>1127</v>
      </c>
      <c r="D220" t="s">
        <v>1128</v>
      </c>
      <c r="E220" t="s">
        <v>340</v>
      </c>
      <c r="F220" t="s">
        <v>1129</v>
      </c>
      <c r="G220" t="s">
        <v>51</v>
      </c>
      <c r="H220">
        <v>24</v>
      </c>
      <c r="I220" t="b">
        <f>AND(COUNTIF(CO!A:A,A220)&gt;0,COUNTIF('O3'!A:A,A220)&gt;0,COUNTIF('PM10'!A:A,A220)&gt;0,COUNTIF('PM2.5'!A:A,A220)&gt;0,COUNTIF('SO2'!A:A,A220)&gt;0,COUNTIF(Kendaraan!A:A,A220))</f>
        <v>1</v>
      </c>
    </row>
    <row r="221" spans="1:9" x14ac:dyDescent="0.45">
      <c r="A221" s="4">
        <v>45606</v>
      </c>
      <c r="B221" t="s">
        <v>1130</v>
      </c>
      <c r="C221" t="s">
        <v>1131</v>
      </c>
      <c r="D221" t="s">
        <v>1132</v>
      </c>
      <c r="E221" t="s">
        <v>1133</v>
      </c>
      <c r="F221" t="s">
        <v>1117</v>
      </c>
      <c r="G221" t="s">
        <v>1134</v>
      </c>
      <c r="H221">
        <v>24</v>
      </c>
      <c r="I221" t="b">
        <f>AND(COUNTIF(CO!A:A,A221)&gt;0,COUNTIF('O3'!A:A,A221)&gt;0,COUNTIF('PM10'!A:A,A221)&gt;0,COUNTIF('PM2.5'!A:A,A221)&gt;0,COUNTIF('SO2'!A:A,A221)&gt;0,COUNTIF(Kendaraan!A:A,A221))</f>
        <v>1</v>
      </c>
    </row>
    <row r="222" spans="1:9" x14ac:dyDescent="0.45">
      <c r="A222" s="4">
        <v>45607</v>
      </c>
      <c r="B222" t="s">
        <v>1074</v>
      </c>
      <c r="C222" t="s">
        <v>1135</v>
      </c>
      <c r="D222" t="s">
        <v>1084</v>
      </c>
      <c r="E222" t="s">
        <v>1136</v>
      </c>
      <c r="F222" t="s">
        <v>340</v>
      </c>
      <c r="G222" t="s">
        <v>1137</v>
      </c>
      <c r="H222">
        <v>24</v>
      </c>
      <c r="I222" t="b">
        <f>AND(COUNTIF(CO!A:A,A222)&gt;0,COUNTIF('O3'!A:A,A222)&gt;0,COUNTIF('PM10'!A:A,A222)&gt;0,COUNTIF('PM2.5'!A:A,A222)&gt;0,COUNTIF('SO2'!A:A,A222)&gt;0,COUNTIF(Kendaraan!A:A,A222))</f>
        <v>1</v>
      </c>
    </row>
    <row r="223" spans="1:9" x14ac:dyDescent="0.45">
      <c r="A223" s="4">
        <v>45608</v>
      </c>
      <c r="B223" t="s">
        <v>1138</v>
      </c>
      <c r="C223" t="s">
        <v>1139</v>
      </c>
      <c r="D223" t="s">
        <v>1140</v>
      </c>
      <c r="E223" t="s">
        <v>1073</v>
      </c>
      <c r="F223" t="s">
        <v>1141</v>
      </c>
      <c r="G223" t="s">
        <v>1142</v>
      </c>
      <c r="H223">
        <v>24</v>
      </c>
      <c r="I223" t="b">
        <f>AND(COUNTIF(CO!A:A,A223)&gt;0,COUNTIF('O3'!A:A,A223)&gt;0,COUNTIF('PM10'!A:A,A223)&gt;0,COUNTIF('PM2.5'!A:A,A223)&gt;0,COUNTIF('SO2'!A:A,A223)&gt;0,COUNTIF(Kendaraan!A:A,A223))</f>
        <v>1</v>
      </c>
    </row>
    <row r="224" spans="1:9" x14ac:dyDescent="0.45">
      <c r="A224" s="4">
        <v>45609</v>
      </c>
      <c r="B224" t="s">
        <v>1143</v>
      </c>
      <c r="C224" t="s">
        <v>1144</v>
      </c>
      <c r="D224" t="s">
        <v>1145</v>
      </c>
      <c r="E224" t="s">
        <v>1146</v>
      </c>
      <c r="F224" t="s">
        <v>932</v>
      </c>
      <c r="G224" t="s">
        <v>1147</v>
      </c>
      <c r="H224">
        <v>24</v>
      </c>
      <c r="I224" t="b">
        <f>AND(COUNTIF(CO!A:A,A224)&gt;0,COUNTIF('O3'!A:A,A224)&gt;0,COUNTIF('PM10'!A:A,A224)&gt;0,COUNTIF('PM2.5'!A:A,A224)&gt;0,COUNTIF('SO2'!A:A,A224)&gt;0,COUNTIF(Kendaraan!A:A,A224))</f>
        <v>1</v>
      </c>
    </row>
    <row r="225" spans="1:9" x14ac:dyDescent="0.45">
      <c r="A225" s="4">
        <v>45610</v>
      </c>
      <c r="B225" t="s">
        <v>1148</v>
      </c>
      <c r="C225" t="s">
        <v>1149</v>
      </c>
      <c r="D225" t="s">
        <v>1150</v>
      </c>
      <c r="E225" t="s">
        <v>1151</v>
      </c>
      <c r="F225" t="s">
        <v>1152</v>
      </c>
      <c r="G225" t="s">
        <v>1153</v>
      </c>
      <c r="H225">
        <v>24</v>
      </c>
      <c r="I225" t="b">
        <f>AND(COUNTIF(CO!A:A,A225)&gt;0,COUNTIF('O3'!A:A,A225)&gt;0,COUNTIF('PM10'!A:A,A225)&gt;0,COUNTIF('PM2.5'!A:A,A225)&gt;0,COUNTIF('SO2'!A:A,A225)&gt;0,COUNTIF(Kendaraan!A:A,A225))</f>
        <v>1</v>
      </c>
    </row>
    <row r="226" spans="1:9" x14ac:dyDescent="0.45">
      <c r="A226" s="4">
        <v>45611</v>
      </c>
      <c r="B226" t="s">
        <v>1107</v>
      </c>
      <c r="C226" t="s">
        <v>1154</v>
      </c>
      <c r="D226" t="s">
        <v>1155</v>
      </c>
      <c r="E226" t="s">
        <v>931</v>
      </c>
      <c r="F226" t="s">
        <v>1156</v>
      </c>
      <c r="G226" t="s">
        <v>1157</v>
      </c>
      <c r="H226">
        <v>24</v>
      </c>
      <c r="I226" t="b">
        <f>AND(COUNTIF(CO!A:A,A226)&gt;0,COUNTIF('O3'!A:A,A226)&gt;0,COUNTIF('PM10'!A:A,A226)&gt;0,COUNTIF('PM2.5'!A:A,A226)&gt;0,COUNTIF('SO2'!A:A,A226)&gt;0,COUNTIF(Kendaraan!A:A,A226))</f>
        <v>1</v>
      </c>
    </row>
    <row r="227" spans="1:9" x14ac:dyDescent="0.45">
      <c r="A227" s="4">
        <v>45612</v>
      </c>
      <c r="B227" t="s">
        <v>1158</v>
      </c>
      <c r="C227" t="s">
        <v>616</v>
      </c>
      <c r="D227" t="s">
        <v>1159</v>
      </c>
      <c r="E227" t="s">
        <v>1160</v>
      </c>
      <c r="F227" t="s">
        <v>1161</v>
      </c>
      <c r="G227" t="s">
        <v>1162</v>
      </c>
      <c r="H227">
        <v>24</v>
      </c>
      <c r="I227" t="b">
        <f>AND(COUNTIF(CO!A:A,A227)&gt;0,COUNTIF('O3'!A:A,A227)&gt;0,COUNTIF('PM10'!A:A,A227)&gt;0,COUNTIF('PM2.5'!A:A,A227)&gt;0,COUNTIF('SO2'!A:A,A227)&gt;0,COUNTIF(Kendaraan!A:A,A227))</f>
        <v>1</v>
      </c>
    </row>
    <row r="228" spans="1:9" x14ac:dyDescent="0.45">
      <c r="A228" s="4">
        <v>45613</v>
      </c>
      <c r="B228" t="s">
        <v>1163</v>
      </c>
      <c r="C228" t="s">
        <v>1164</v>
      </c>
      <c r="D228" t="s">
        <v>1084</v>
      </c>
      <c r="E228" t="s">
        <v>344</v>
      </c>
      <c r="F228" t="s">
        <v>1141</v>
      </c>
      <c r="G228" t="s">
        <v>1165</v>
      </c>
      <c r="H228">
        <v>24</v>
      </c>
      <c r="I228" t="b">
        <f>AND(COUNTIF(CO!A:A,A228)&gt;0,COUNTIF('O3'!A:A,A228)&gt;0,COUNTIF('PM10'!A:A,A228)&gt;0,COUNTIF('PM2.5'!A:A,A228)&gt;0,COUNTIF('SO2'!A:A,A228)&gt;0,COUNTIF(Kendaraan!A:A,A228))</f>
        <v>1</v>
      </c>
    </row>
    <row r="229" spans="1:9" x14ac:dyDescent="0.45">
      <c r="A229" s="4">
        <v>45614</v>
      </c>
      <c r="B229" t="s">
        <v>1109</v>
      </c>
      <c r="C229" t="s">
        <v>1103</v>
      </c>
      <c r="D229" t="s">
        <v>1166</v>
      </c>
      <c r="E229" t="s">
        <v>1167</v>
      </c>
      <c r="F229" t="s">
        <v>1168</v>
      </c>
      <c r="G229" t="s">
        <v>1169</v>
      </c>
      <c r="H229">
        <v>24</v>
      </c>
      <c r="I229" t="b">
        <f>AND(COUNTIF(CO!A:A,A229)&gt;0,COUNTIF('O3'!A:A,A229)&gt;0,COUNTIF('PM10'!A:A,A229)&gt;0,COUNTIF('PM2.5'!A:A,A229)&gt;0,COUNTIF('SO2'!A:A,A229)&gt;0,COUNTIF(Kendaraan!A:A,A229))</f>
        <v>1</v>
      </c>
    </row>
    <row r="230" spans="1:9" x14ac:dyDescent="0.45">
      <c r="A230" s="4">
        <v>45615</v>
      </c>
      <c r="B230" t="s">
        <v>1170</v>
      </c>
      <c r="C230" t="s">
        <v>1130</v>
      </c>
      <c r="D230" t="s">
        <v>1086</v>
      </c>
      <c r="E230" t="s">
        <v>1171</v>
      </c>
      <c r="F230" t="s">
        <v>1092</v>
      </c>
      <c r="G230" t="s">
        <v>1172</v>
      </c>
      <c r="H230">
        <v>24</v>
      </c>
      <c r="I230" t="b">
        <f>AND(COUNTIF(CO!A:A,A230)&gt;0,COUNTIF('O3'!A:A,A230)&gt;0,COUNTIF('PM10'!A:A,A230)&gt;0,COUNTIF('PM2.5'!A:A,A230)&gt;0,COUNTIF('SO2'!A:A,A230)&gt;0,COUNTIF(Kendaraan!A:A,A230))</f>
        <v>1</v>
      </c>
    </row>
    <row r="231" spans="1:9" x14ac:dyDescent="0.45">
      <c r="A231" s="4">
        <v>45616</v>
      </c>
      <c r="B231" t="s">
        <v>1173</v>
      </c>
      <c r="C231" t="s">
        <v>1065</v>
      </c>
      <c r="D231" t="s">
        <v>1174</v>
      </c>
      <c r="E231" t="s">
        <v>1125</v>
      </c>
      <c r="F231" t="s">
        <v>1171</v>
      </c>
      <c r="G231" t="s">
        <v>1175</v>
      </c>
      <c r="H231">
        <v>24</v>
      </c>
      <c r="I231" t="b">
        <f>AND(COUNTIF(CO!A:A,A231)&gt;0,COUNTIF('O3'!A:A,A231)&gt;0,COUNTIF('PM10'!A:A,A231)&gt;0,COUNTIF('PM2.5'!A:A,A231)&gt;0,COUNTIF('SO2'!A:A,A231)&gt;0,COUNTIF(Kendaraan!A:A,A231))</f>
        <v>1</v>
      </c>
    </row>
    <row r="232" spans="1:9" x14ac:dyDescent="0.45">
      <c r="A232" s="4">
        <v>45617</v>
      </c>
      <c r="B232" t="s">
        <v>1126</v>
      </c>
      <c r="C232" t="s">
        <v>1176</v>
      </c>
      <c r="D232" t="s">
        <v>1177</v>
      </c>
      <c r="E232" t="s">
        <v>1088</v>
      </c>
      <c r="F232" t="s">
        <v>1178</v>
      </c>
      <c r="G232" t="s">
        <v>1179</v>
      </c>
      <c r="H232">
        <v>24</v>
      </c>
      <c r="I232" t="b">
        <f>AND(COUNTIF(CO!A:A,A232)&gt;0,COUNTIF('O3'!A:A,A232)&gt;0,COUNTIF('PM10'!A:A,A232)&gt;0,COUNTIF('PM2.5'!A:A,A232)&gt;0,COUNTIF('SO2'!A:A,A232)&gt;0,COUNTIF(Kendaraan!A:A,A232))</f>
        <v>1</v>
      </c>
    </row>
    <row r="233" spans="1:9" x14ac:dyDescent="0.45">
      <c r="A233" s="4">
        <v>45618</v>
      </c>
      <c r="B233" t="s">
        <v>1180</v>
      </c>
      <c r="C233" t="s">
        <v>1181</v>
      </c>
      <c r="D233" t="s">
        <v>1182</v>
      </c>
      <c r="E233" t="s">
        <v>1183</v>
      </c>
      <c r="F233" t="s">
        <v>1184</v>
      </c>
      <c r="G233" t="s">
        <v>1185</v>
      </c>
      <c r="H233">
        <v>24</v>
      </c>
      <c r="I233" t="b">
        <f>AND(COUNTIF(CO!A:A,A233)&gt;0,COUNTIF('O3'!A:A,A233)&gt;0,COUNTIF('PM10'!A:A,A233)&gt;0,COUNTIF('PM2.5'!A:A,A233)&gt;0,COUNTIF('SO2'!A:A,A233)&gt;0,COUNTIF(Kendaraan!A:A,A233))</f>
        <v>1</v>
      </c>
    </row>
    <row r="234" spans="1:9" x14ac:dyDescent="0.45">
      <c r="A234" s="4">
        <v>45619</v>
      </c>
      <c r="B234" t="s">
        <v>1186</v>
      </c>
      <c r="C234" t="s">
        <v>340</v>
      </c>
      <c r="D234" t="s">
        <v>1187</v>
      </c>
      <c r="E234" t="s">
        <v>1188</v>
      </c>
      <c r="F234" t="s">
        <v>1112</v>
      </c>
      <c r="G234" t="s">
        <v>1189</v>
      </c>
      <c r="H234">
        <v>24</v>
      </c>
      <c r="I234" t="b">
        <f>AND(COUNTIF(CO!A:A,A234)&gt;0,COUNTIF('O3'!A:A,A234)&gt;0,COUNTIF('PM10'!A:A,A234)&gt;0,COUNTIF('PM2.5'!A:A,A234)&gt;0,COUNTIF('SO2'!A:A,A234)&gt;0,COUNTIF(Kendaraan!A:A,A234))</f>
        <v>1</v>
      </c>
    </row>
    <row r="235" spans="1:9" x14ac:dyDescent="0.45">
      <c r="A235" s="4">
        <v>45620</v>
      </c>
      <c r="B235" t="s">
        <v>1190</v>
      </c>
      <c r="C235" t="s">
        <v>1088</v>
      </c>
      <c r="D235" t="s">
        <v>1191</v>
      </c>
      <c r="E235" t="s">
        <v>1140</v>
      </c>
      <c r="F235" t="s">
        <v>1093</v>
      </c>
      <c r="G235" t="s">
        <v>1192</v>
      </c>
      <c r="H235">
        <v>24</v>
      </c>
      <c r="I235" t="b">
        <f>AND(COUNTIF(CO!A:A,A235)&gt;0,COUNTIF('O3'!A:A,A235)&gt;0,COUNTIF('PM10'!A:A,A235)&gt;0,COUNTIF('PM2.5'!A:A,A235)&gt;0,COUNTIF('SO2'!A:A,A235)&gt;0,COUNTIF(Kendaraan!A:A,A235))</f>
        <v>1</v>
      </c>
    </row>
    <row r="236" spans="1:9" x14ac:dyDescent="0.45">
      <c r="A236" s="4">
        <v>45621</v>
      </c>
      <c r="B236" t="s">
        <v>1193</v>
      </c>
      <c r="C236" t="s">
        <v>1194</v>
      </c>
      <c r="D236" t="s">
        <v>1195</v>
      </c>
      <c r="E236" t="s">
        <v>1128</v>
      </c>
      <c r="F236" t="s">
        <v>1196</v>
      </c>
      <c r="G236" s="1">
        <v>1473</v>
      </c>
      <c r="H236">
        <v>21</v>
      </c>
      <c r="I236" t="b">
        <f>AND(COUNTIF(CO!A:A,A236)&gt;0,COUNTIF('O3'!A:A,A236)&gt;0,COUNTIF('PM10'!A:A,A236)&gt;0,COUNTIF('PM2.5'!A:A,A236)&gt;0,COUNTIF('SO2'!A:A,A236)&gt;0,COUNTIF(Kendaraan!A:A,A236))</f>
        <v>1</v>
      </c>
    </row>
    <row r="237" spans="1:9" x14ac:dyDescent="0.45">
      <c r="A237" s="4">
        <v>45622</v>
      </c>
      <c r="B237" t="s">
        <v>1197</v>
      </c>
      <c r="C237" t="s">
        <v>1198</v>
      </c>
      <c r="D237" t="s">
        <v>1199</v>
      </c>
      <c r="E237" t="s">
        <v>1200</v>
      </c>
      <c r="F237" t="s">
        <v>1201</v>
      </c>
      <c r="G237" t="s">
        <v>878</v>
      </c>
      <c r="H237">
        <v>24</v>
      </c>
      <c r="I237" t="b">
        <f>AND(COUNTIF(CO!A:A,A237)&gt;0,COUNTIF('O3'!A:A,A237)&gt;0,COUNTIF('PM10'!A:A,A237)&gt;0,COUNTIF('PM2.5'!A:A,A237)&gt;0,COUNTIF('SO2'!A:A,A237)&gt;0,COUNTIF(Kendaraan!A:A,A237))</f>
        <v>1</v>
      </c>
    </row>
    <row r="238" spans="1:9" x14ac:dyDescent="0.45">
      <c r="A238" s="4">
        <v>45623</v>
      </c>
      <c r="B238" t="s">
        <v>1202</v>
      </c>
      <c r="C238" t="s">
        <v>1203</v>
      </c>
      <c r="D238" t="s">
        <v>1204</v>
      </c>
      <c r="E238" t="s">
        <v>1205</v>
      </c>
      <c r="F238" t="s">
        <v>1206</v>
      </c>
      <c r="G238" t="s">
        <v>55</v>
      </c>
      <c r="H238">
        <v>24</v>
      </c>
      <c r="I238" t="b">
        <f>AND(COUNTIF(CO!A:A,A238)&gt;0,COUNTIF('O3'!A:A,A238)&gt;0,COUNTIF('PM10'!A:A,A238)&gt;0,COUNTIF('PM2.5'!A:A,A238)&gt;0,COUNTIF('SO2'!A:A,A238)&gt;0,COUNTIF(Kendaraan!A:A,A238))</f>
        <v>1</v>
      </c>
    </row>
    <row r="239" spans="1:9" x14ac:dyDescent="0.45">
      <c r="A239" s="4">
        <v>45624</v>
      </c>
      <c r="B239" t="s">
        <v>1161</v>
      </c>
      <c r="C239" t="s">
        <v>1201</v>
      </c>
      <c r="D239" t="s">
        <v>1207</v>
      </c>
      <c r="E239" t="s">
        <v>1208</v>
      </c>
      <c r="F239" t="s">
        <v>1209</v>
      </c>
      <c r="G239" t="s">
        <v>1210</v>
      </c>
      <c r="H239">
        <v>24</v>
      </c>
      <c r="I239" t="b">
        <f>AND(COUNTIF(CO!A:A,A239)&gt;0,COUNTIF('O3'!A:A,A239)&gt;0,COUNTIF('PM10'!A:A,A239)&gt;0,COUNTIF('PM2.5'!A:A,A239)&gt;0,COUNTIF('SO2'!A:A,A239)&gt;0,COUNTIF(Kendaraan!A:A,A239))</f>
        <v>1</v>
      </c>
    </row>
    <row r="240" spans="1:9" x14ac:dyDescent="0.45">
      <c r="A240" s="4">
        <v>45625</v>
      </c>
      <c r="B240" t="s">
        <v>1208</v>
      </c>
      <c r="C240" t="s">
        <v>1209</v>
      </c>
      <c r="D240" t="s">
        <v>1211</v>
      </c>
      <c r="E240" t="s">
        <v>1212</v>
      </c>
      <c r="F240">
        <v>20</v>
      </c>
      <c r="G240" t="s">
        <v>204</v>
      </c>
      <c r="H240">
        <v>24</v>
      </c>
      <c r="I240" t="b">
        <f>AND(COUNTIF(CO!A:A,A240)&gt;0,COUNTIF('O3'!A:A,A240)&gt;0,COUNTIF('PM10'!A:A,A240)&gt;0,COUNTIF('PM2.5'!A:A,A240)&gt;0,COUNTIF('SO2'!A:A,A240)&gt;0,COUNTIF(Kendaraan!A:A,A240))</f>
        <v>1</v>
      </c>
    </row>
    <row r="241" spans="1:9" x14ac:dyDescent="0.45">
      <c r="A241" s="4">
        <v>45626</v>
      </c>
      <c r="B241" t="s">
        <v>1213</v>
      </c>
      <c r="C241" t="s">
        <v>613</v>
      </c>
      <c r="D241" t="s">
        <v>1214</v>
      </c>
      <c r="E241" t="s">
        <v>1215</v>
      </c>
      <c r="F241" t="s">
        <v>1211</v>
      </c>
      <c r="G241" t="s">
        <v>221</v>
      </c>
      <c r="H241">
        <v>24</v>
      </c>
      <c r="I241" t="b">
        <f>AND(COUNTIF(CO!A:A,A241)&gt;0,COUNTIF('O3'!A:A,A241)&gt;0,COUNTIF('PM10'!A:A,A241)&gt;0,COUNTIF('PM2.5'!A:A,A241)&gt;0,COUNTIF('SO2'!A:A,A241)&gt;0,COUNTIF(Kendaraan!A:A,A241))</f>
        <v>1</v>
      </c>
    </row>
    <row r="242" spans="1:9" x14ac:dyDescent="0.45">
      <c r="A242" s="4">
        <v>45627</v>
      </c>
      <c r="B242" t="s">
        <v>1216</v>
      </c>
      <c r="C242" t="s">
        <v>1217</v>
      </c>
      <c r="D242" t="s">
        <v>1200</v>
      </c>
      <c r="E242" t="s">
        <v>1205</v>
      </c>
      <c r="F242" t="s">
        <v>1218</v>
      </c>
      <c r="G242" t="s">
        <v>580</v>
      </c>
      <c r="H242">
        <v>24</v>
      </c>
      <c r="I242" t="b">
        <f>AND(COUNTIF(CO!A:A,A242)&gt;0,COUNTIF('O3'!A:A,A242)&gt;0,COUNTIF('PM10'!A:A,A242)&gt;0,COUNTIF('PM2.5'!A:A,A242)&gt;0,COUNTIF('SO2'!A:A,A242)&gt;0,COUNTIF(Kendaraan!A:A,A242))</f>
        <v>1</v>
      </c>
    </row>
    <row r="243" spans="1:9" x14ac:dyDescent="0.45">
      <c r="A243" s="4">
        <v>45628</v>
      </c>
      <c r="B243" t="s">
        <v>1219</v>
      </c>
      <c r="C243" t="s">
        <v>437</v>
      </c>
      <c r="D243" t="s">
        <v>1198</v>
      </c>
      <c r="E243" t="s">
        <v>1220</v>
      </c>
      <c r="F243" t="s">
        <v>1221</v>
      </c>
      <c r="G243" t="s">
        <v>1222</v>
      </c>
      <c r="H243">
        <v>24</v>
      </c>
      <c r="I243" t="b">
        <f>AND(COUNTIF(CO!A:A,A243)&gt;0,COUNTIF('O3'!A:A,A243)&gt;0,COUNTIF('PM10'!A:A,A243)&gt;0,COUNTIF('PM2.5'!A:A,A243)&gt;0,COUNTIF('SO2'!A:A,A243)&gt;0,COUNTIF(Kendaraan!A:A,A243))</f>
        <v>1</v>
      </c>
    </row>
    <row r="244" spans="1:9" x14ac:dyDescent="0.45">
      <c r="A244" s="4">
        <v>45629</v>
      </c>
      <c r="B244" t="s">
        <v>1211</v>
      </c>
      <c r="C244" t="s">
        <v>873</v>
      </c>
      <c r="D244" t="s">
        <v>1223</v>
      </c>
      <c r="E244" t="s">
        <v>1224</v>
      </c>
      <c r="F244" t="s">
        <v>1221</v>
      </c>
      <c r="G244" t="s">
        <v>467</v>
      </c>
      <c r="H244">
        <v>24</v>
      </c>
      <c r="I244" t="b">
        <f>AND(COUNTIF(CO!A:A,A244)&gt;0,COUNTIF('O3'!A:A,A244)&gt;0,COUNTIF('PM10'!A:A,A244)&gt;0,COUNTIF('PM2.5'!A:A,A244)&gt;0,COUNTIF('SO2'!A:A,A244)&gt;0,COUNTIF(Kendaraan!A:A,A244))</f>
        <v>1</v>
      </c>
    </row>
    <row r="245" spans="1:9" x14ac:dyDescent="0.45">
      <c r="A245" s="4">
        <v>45630</v>
      </c>
      <c r="B245" t="s">
        <v>1225</v>
      </c>
      <c r="C245" t="s">
        <v>616</v>
      </c>
      <c r="D245" t="s">
        <v>1216</v>
      </c>
      <c r="E245" t="s">
        <v>1214</v>
      </c>
      <c r="F245" t="s">
        <v>1211</v>
      </c>
      <c r="G245" t="s">
        <v>199</v>
      </c>
      <c r="H245">
        <v>24</v>
      </c>
      <c r="I245" t="b">
        <f>AND(COUNTIF(CO!A:A,A245)&gt;0,COUNTIF('O3'!A:A,A245)&gt;0,COUNTIF('PM10'!A:A,A245)&gt;0,COUNTIF('PM2.5'!A:A,A245)&gt;0,COUNTIF('SO2'!A:A,A245)&gt;0,COUNTIF(Kendaraan!A:A,A245))</f>
        <v>1</v>
      </c>
    </row>
    <row r="246" spans="1:9" x14ac:dyDescent="0.45">
      <c r="A246" s="4">
        <v>45631</v>
      </c>
      <c r="B246" t="s">
        <v>1226</v>
      </c>
      <c r="C246" t="s">
        <v>1203</v>
      </c>
      <c r="D246" t="s">
        <v>1227</v>
      </c>
      <c r="E246" t="s">
        <v>1228</v>
      </c>
      <c r="F246" t="s">
        <v>1229</v>
      </c>
      <c r="G246" t="s">
        <v>265</v>
      </c>
      <c r="H246">
        <v>24</v>
      </c>
      <c r="I246" t="b">
        <f>AND(COUNTIF(CO!A:A,A246)&gt;0,COUNTIF('O3'!A:A,A246)&gt;0,COUNTIF('PM10'!A:A,A246)&gt;0,COUNTIF('PM2.5'!A:A,A246)&gt;0,COUNTIF('SO2'!A:A,A246)&gt;0,COUNTIF(Kendaraan!A:A,A246))</f>
        <v>1</v>
      </c>
    </row>
    <row r="247" spans="1:9" x14ac:dyDescent="0.45">
      <c r="A247" s="4">
        <v>45632</v>
      </c>
      <c r="B247" t="s">
        <v>1230</v>
      </c>
      <c r="C247" t="s">
        <v>1231</v>
      </c>
      <c r="D247" t="s">
        <v>1227</v>
      </c>
      <c r="E247" t="s">
        <v>1232</v>
      </c>
      <c r="F247" t="s">
        <v>1203</v>
      </c>
      <c r="G247" t="s">
        <v>1233</v>
      </c>
      <c r="H247">
        <v>24</v>
      </c>
      <c r="I247" t="b">
        <f>AND(COUNTIF(CO!A:A,A247)&gt;0,COUNTIF('O3'!A:A,A247)&gt;0,COUNTIF('PM10'!A:A,A247)&gt;0,COUNTIF('PM2.5'!A:A,A247)&gt;0,COUNTIF('SO2'!A:A,A247)&gt;0,COUNTIF(Kendaraan!A:A,A247))</f>
        <v>1</v>
      </c>
    </row>
    <row r="248" spans="1:9" x14ac:dyDescent="0.45">
      <c r="A248" s="4">
        <v>45633</v>
      </c>
      <c r="B248" t="s">
        <v>1234</v>
      </c>
      <c r="C248" t="s">
        <v>437</v>
      </c>
      <c r="D248" t="s">
        <v>1235</v>
      </c>
      <c r="E248" t="s">
        <v>1236</v>
      </c>
      <c r="F248" t="s">
        <v>886</v>
      </c>
      <c r="G248" t="s">
        <v>1237</v>
      </c>
      <c r="H248">
        <v>24</v>
      </c>
      <c r="I248" t="b">
        <f>AND(COUNTIF(CO!A:A,A248)&gt;0,COUNTIF('O3'!A:A,A248)&gt;0,COUNTIF('PM10'!A:A,A248)&gt;0,COUNTIF('PM2.5'!A:A,A248)&gt;0,COUNTIF('SO2'!A:A,A248)&gt;0,COUNTIF(Kendaraan!A:A,A248))</f>
        <v>1</v>
      </c>
    </row>
    <row r="249" spans="1:9" x14ac:dyDescent="0.45">
      <c r="A249" s="4">
        <v>45634</v>
      </c>
      <c r="B249" t="s">
        <v>889</v>
      </c>
      <c r="C249" t="s">
        <v>1238</v>
      </c>
      <c r="D249" t="s">
        <v>895</v>
      </c>
      <c r="E249" t="s">
        <v>1239</v>
      </c>
      <c r="F249" t="s">
        <v>1240</v>
      </c>
      <c r="G249" t="s">
        <v>1040</v>
      </c>
      <c r="H249">
        <v>24</v>
      </c>
      <c r="I249" t="b">
        <f>AND(COUNTIF(CO!A:A,A249)&gt;0,COUNTIF('O3'!A:A,A249)&gt;0,COUNTIF('PM10'!A:A,A249)&gt;0,COUNTIF('PM2.5'!A:A,A249)&gt;0,COUNTIF('SO2'!A:A,A249)&gt;0,COUNTIF(Kendaraan!A:A,A249))</f>
        <v>1</v>
      </c>
    </row>
    <row r="250" spans="1:9" x14ac:dyDescent="0.45">
      <c r="A250" s="4">
        <v>45635</v>
      </c>
      <c r="B250" t="s">
        <v>1241</v>
      </c>
      <c r="C250" t="s">
        <v>1242</v>
      </c>
      <c r="D250" t="s">
        <v>621</v>
      </c>
      <c r="E250" t="s">
        <v>1243</v>
      </c>
      <c r="F250" t="s">
        <v>1244</v>
      </c>
      <c r="G250" t="s">
        <v>1245</v>
      </c>
      <c r="H250">
        <v>24</v>
      </c>
      <c r="I250" t="b">
        <f>AND(COUNTIF(CO!A:A,A250)&gt;0,COUNTIF('O3'!A:A,A250)&gt;0,COUNTIF('PM10'!A:A,A250)&gt;0,COUNTIF('PM2.5'!A:A,A250)&gt;0,COUNTIF('SO2'!A:A,A250)&gt;0,COUNTIF(Kendaraan!A:A,A250))</f>
        <v>1</v>
      </c>
    </row>
    <row r="251" spans="1:9" x14ac:dyDescent="0.45">
      <c r="A251" s="4">
        <v>45636</v>
      </c>
      <c r="B251" t="s">
        <v>1246</v>
      </c>
      <c r="C251" t="s">
        <v>1247</v>
      </c>
      <c r="D251" t="s">
        <v>1248</v>
      </c>
      <c r="E251" t="s">
        <v>444</v>
      </c>
      <c r="F251" t="s">
        <v>1249</v>
      </c>
      <c r="G251" t="s">
        <v>1250</v>
      </c>
      <c r="H251">
        <v>24</v>
      </c>
      <c r="I251" t="b">
        <f>AND(COUNTIF(CO!A:A,A251)&gt;0,COUNTIF('O3'!A:A,A251)&gt;0,COUNTIF('PM10'!A:A,A251)&gt;0,COUNTIF('PM2.5'!A:A,A251)&gt;0,COUNTIF('SO2'!A:A,A251)&gt;0,COUNTIF(Kendaraan!A:A,A251))</f>
        <v>1</v>
      </c>
    </row>
    <row r="252" spans="1:9" x14ac:dyDescent="0.45">
      <c r="A252" s="4">
        <v>45637</v>
      </c>
      <c r="B252" t="s">
        <v>1251</v>
      </c>
      <c r="C252" t="s">
        <v>1252</v>
      </c>
      <c r="D252" t="s">
        <v>1253</v>
      </c>
      <c r="E252" t="s">
        <v>1254</v>
      </c>
      <c r="F252" t="s">
        <v>1253</v>
      </c>
      <c r="G252" t="s">
        <v>235</v>
      </c>
      <c r="H252">
        <v>24</v>
      </c>
      <c r="I252" t="b">
        <f>AND(COUNTIF(CO!A:A,A252)&gt;0,COUNTIF('O3'!A:A,A252)&gt;0,COUNTIF('PM10'!A:A,A252)&gt;0,COUNTIF('PM2.5'!A:A,A252)&gt;0,COUNTIF('SO2'!A:A,A252)&gt;0,COUNTIF(Kendaraan!A:A,A252))</f>
        <v>1</v>
      </c>
    </row>
    <row r="253" spans="1:9" x14ac:dyDescent="0.45">
      <c r="A253" s="4">
        <v>45638</v>
      </c>
      <c r="B253" t="s">
        <v>1219</v>
      </c>
      <c r="C253" t="s">
        <v>437</v>
      </c>
      <c r="D253" t="s">
        <v>1255</v>
      </c>
      <c r="E253" t="s">
        <v>1256</v>
      </c>
      <c r="F253" t="s">
        <v>1257</v>
      </c>
      <c r="G253" t="s">
        <v>195</v>
      </c>
      <c r="H253">
        <v>24</v>
      </c>
      <c r="I253" t="b">
        <f>AND(COUNTIF(CO!A:A,A253)&gt;0,COUNTIF('O3'!A:A,A253)&gt;0,COUNTIF('PM10'!A:A,A253)&gt;0,COUNTIF('PM2.5'!A:A,A253)&gt;0,COUNTIF('SO2'!A:A,A253)&gt;0,COUNTIF(Kendaraan!A:A,A253))</f>
        <v>1</v>
      </c>
    </row>
    <row r="254" spans="1:9" x14ac:dyDescent="0.45">
      <c r="A254" s="4">
        <v>45639</v>
      </c>
      <c r="B254" t="s">
        <v>1258</v>
      </c>
      <c r="C254" t="s">
        <v>1259</v>
      </c>
      <c r="D254" t="s">
        <v>1260</v>
      </c>
      <c r="E254" t="s">
        <v>1261</v>
      </c>
      <c r="F254" t="s">
        <v>673</v>
      </c>
      <c r="G254" t="s">
        <v>1262</v>
      </c>
      <c r="H254">
        <v>24</v>
      </c>
      <c r="I254" t="b">
        <f>AND(COUNTIF(CO!A:A,A254)&gt;0,COUNTIF('O3'!A:A,A254)&gt;0,COUNTIF('PM10'!A:A,A254)&gt;0,COUNTIF('PM2.5'!A:A,A254)&gt;0,COUNTIF('SO2'!A:A,A254)&gt;0,COUNTIF(Kendaraan!A:A,A254))</f>
        <v>1</v>
      </c>
    </row>
    <row r="255" spans="1:9" x14ac:dyDescent="0.45">
      <c r="A255" s="4">
        <v>45640</v>
      </c>
      <c r="B255" t="s">
        <v>874</v>
      </c>
      <c r="C255" t="s">
        <v>608</v>
      </c>
      <c r="D255" t="s">
        <v>435</v>
      </c>
      <c r="E255" t="s">
        <v>587</v>
      </c>
      <c r="F255" t="s">
        <v>1263</v>
      </c>
      <c r="G255" t="s">
        <v>302</v>
      </c>
      <c r="H255">
        <v>24</v>
      </c>
      <c r="I255" t="b">
        <f>AND(COUNTIF(CO!A:A,A255)&gt;0,COUNTIF('O3'!A:A,A255)&gt;0,COUNTIF('PM10'!A:A,A255)&gt;0,COUNTIF('PM2.5'!A:A,A255)&gt;0,COUNTIF('SO2'!A:A,A255)&gt;0,COUNTIF(Kendaraan!A:A,A255))</f>
        <v>1</v>
      </c>
    </row>
    <row r="256" spans="1:9" x14ac:dyDescent="0.45">
      <c r="A256" s="4">
        <v>45641</v>
      </c>
      <c r="B256" t="s">
        <v>1198</v>
      </c>
      <c r="C256" t="s">
        <v>869</v>
      </c>
      <c r="D256" t="s">
        <v>443</v>
      </c>
      <c r="E256" t="s">
        <v>882</v>
      </c>
      <c r="F256" t="s">
        <v>1258</v>
      </c>
      <c r="G256" t="s">
        <v>1264</v>
      </c>
      <c r="H256">
        <v>24</v>
      </c>
      <c r="I256" t="b">
        <f>AND(COUNTIF(CO!A:A,A256)&gt;0,COUNTIF('O3'!A:A,A256)&gt;0,COUNTIF('PM10'!A:A,A256)&gt;0,COUNTIF('PM2.5'!A:A,A256)&gt;0,COUNTIF('SO2'!A:A,A256)&gt;0,COUNTIF(Kendaraan!A:A,A256))</f>
        <v>1</v>
      </c>
    </row>
    <row r="257" spans="1:9" x14ac:dyDescent="0.45">
      <c r="A257" s="4">
        <v>45642</v>
      </c>
      <c r="B257" t="s">
        <v>1252</v>
      </c>
      <c r="C257" t="s">
        <v>1265</v>
      </c>
      <c r="D257" t="s">
        <v>1266</v>
      </c>
      <c r="E257" t="s">
        <v>1267</v>
      </c>
      <c r="F257" t="s">
        <v>1268</v>
      </c>
      <c r="G257" t="s">
        <v>1269</v>
      </c>
      <c r="H257">
        <v>24</v>
      </c>
      <c r="I257" t="b">
        <f>AND(COUNTIF(CO!A:A,A257)&gt;0,COUNTIF('O3'!A:A,A257)&gt;0,COUNTIF('PM10'!A:A,A257)&gt;0,COUNTIF('PM2.5'!A:A,A257)&gt;0,COUNTIF('SO2'!A:A,A257)&gt;0,COUNTIF(Kendaraan!A:A,A257))</f>
        <v>1</v>
      </c>
    </row>
    <row r="258" spans="1:9" x14ac:dyDescent="0.45">
      <c r="A258" s="4">
        <v>45643</v>
      </c>
      <c r="B258" t="s">
        <v>1270</v>
      </c>
      <c r="C258" t="s">
        <v>428</v>
      </c>
      <c r="D258" t="s">
        <v>1271</v>
      </c>
      <c r="E258" t="s">
        <v>868</v>
      </c>
      <c r="F258" t="s">
        <v>1272</v>
      </c>
      <c r="G258" t="s">
        <v>1273</v>
      </c>
      <c r="H258">
        <v>20</v>
      </c>
      <c r="I258" t="b">
        <f>AND(COUNTIF(CO!A:A,A258)&gt;0,COUNTIF('O3'!A:A,A258)&gt;0,COUNTIF('PM10'!A:A,A258)&gt;0,COUNTIF('PM2.5'!A:A,A258)&gt;0,COUNTIF('SO2'!A:A,A258)&gt;0,COUNTIF(Kendaraan!A:A,A258))</f>
        <v>1</v>
      </c>
    </row>
    <row r="259" spans="1:9" x14ac:dyDescent="0.45">
      <c r="A259" s="4">
        <v>45644</v>
      </c>
      <c r="B259" t="s">
        <v>1274</v>
      </c>
      <c r="C259" t="s">
        <v>1256</v>
      </c>
      <c r="D259" t="s">
        <v>1081</v>
      </c>
      <c r="E259" t="s">
        <v>1275</v>
      </c>
      <c r="F259" t="s">
        <v>1276</v>
      </c>
      <c r="G259" s="1">
        <v>3328</v>
      </c>
      <c r="H259">
        <v>22</v>
      </c>
      <c r="I259" t="b">
        <f>AND(COUNTIF(CO!A:A,A259)&gt;0,COUNTIF('O3'!A:A,A259)&gt;0,COUNTIF('PM10'!A:A,A259)&gt;0,COUNTIF('PM2.5'!A:A,A259)&gt;0,COUNTIF('SO2'!A:A,A259)&gt;0,COUNTIF(Kendaraan!A:A,A259))</f>
        <v>1</v>
      </c>
    </row>
    <row r="260" spans="1:9" x14ac:dyDescent="0.45">
      <c r="A260" s="4">
        <v>45645</v>
      </c>
      <c r="B260" t="s">
        <v>1277</v>
      </c>
      <c r="C260" t="s">
        <v>1278</v>
      </c>
      <c r="D260" t="s">
        <v>364</v>
      </c>
      <c r="E260" t="s">
        <v>1277</v>
      </c>
      <c r="F260" t="s">
        <v>1279</v>
      </c>
      <c r="G260" t="s">
        <v>94</v>
      </c>
      <c r="H260">
        <v>24</v>
      </c>
      <c r="I260" t="b">
        <f>AND(COUNTIF(CO!A:A,A260)&gt;0,COUNTIF('O3'!A:A,A260)&gt;0,COUNTIF('PM10'!A:A,A260)&gt;0,COUNTIF('PM2.5'!A:A,A260)&gt;0,COUNTIF('SO2'!A:A,A260)&gt;0,COUNTIF(Kendaraan!A:A,A260))</f>
        <v>1</v>
      </c>
    </row>
    <row r="261" spans="1:9" x14ac:dyDescent="0.45">
      <c r="A261" s="4">
        <v>45646</v>
      </c>
      <c r="B261" t="s">
        <v>1280</v>
      </c>
      <c r="C261" t="s">
        <v>1274</v>
      </c>
      <c r="D261" t="s">
        <v>1281</v>
      </c>
      <c r="E261" t="s">
        <v>1282</v>
      </c>
      <c r="F261" t="s">
        <v>1283</v>
      </c>
      <c r="G261" t="s">
        <v>176</v>
      </c>
      <c r="H261">
        <v>24</v>
      </c>
      <c r="I261" t="b">
        <f>AND(COUNTIF(CO!A:A,A261)&gt;0,COUNTIF('O3'!A:A,A261)&gt;0,COUNTIF('PM10'!A:A,A261)&gt;0,COUNTIF('PM2.5'!A:A,A261)&gt;0,COUNTIF('SO2'!A:A,A261)&gt;0,COUNTIF(Kendaraan!A:A,A261))</f>
        <v>1</v>
      </c>
    </row>
    <row r="262" spans="1:9" x14ac:dyDescent="0.45">
      <c r="A262" s="4">
        <v>45647</v>
      </c>
      <c r="B262" t="s">
        <v>1054</v>
      </c>
      <c r="C262" t="s">
        <v>1283</v>
      </c>
      <c r="D262" t="s">
        <v>1282</v>
      </c>
      <c r="E262" t="s">
        <v>1284</v>
      </c>
      <c r="F262" t="s">
        <v>1282</v>
      </c>
      <c r="G262" t="s">
        <v>166</v>
      </c>
      <c r="H262">
        <v>24</v>
      </c>
      <c r="I262" t="b">
        <f>AND(COUNTIF(CO!A:A,A262)&gt;0,COUNTIF('O3'!A:A,A262)&gt;0,COUNTIF('PM10'!A:A,A262)&gt;0,COUNTIF('PM2.5'!A:A,A262)&gt;0,COUNTIF('SO2'!A:A,A262)&gt;0,COUNTIF(Kendaraan!A:A,A262))</f>
        <v>1</v>
      </c>
    </row>
    <row r="263" spans="1:9" x14ac:dyDescent="0.45">
      <c r="A263" s="4">
        <v>45648</v>
      </c>
      <c r="B263" t="s">
        <v>1285</v>
      </c>
      <c r="C263" t="s">
        <v>364</v>
      </c>
      <c r="D263" t="s">
        <v>1054</v>
      </c>
      <c r="E263" t="s">
        <v>1285</v>
      </c>
      <c r="F263" t="s">
        <v>1286</v>
      </c>
      <c r="G263" t="s">
        <v>722</v>
      </c>
      <c r="H263">
        <v>24</v>
      </c>
      <c r="I263" t="b">
        <f>AND(COUNTIF(CO!A:A,A263)&gt;0,COUNTIF('O3'!A:A,A263)&gt;0,COUNTIF('PM10'!A:A,A263)&gt;0,COUNTIF('PM2.5'!A:A,A263)&gt;0,COUNTIF('SO2'!A:A,A263)&gt;0,COUNTIF(Kendaraan!A:A,A263))</f>
        <v>1</v>
      </c>
    </row>
    <row r="264" spans="1:9" x14ac:dyDescent="0.45">
      <c r="A264" s="4">
        <v>45649</v>
      </c>
      <c r="B264" t="s">
        <v>364</v>
      </c>
      <c r="C264" t="s">
        <v>1287</v>
      </c>
      <c r="D264" t="s">
        <v>1288</v>
      </c>
      <c r="E264" t="s">
        <v>1289</v>
      </c>
      <c r="F264" t="s">
        <v>1290</v>
      </c>
      <c r="G264" t="s">
        <v>74</v>
      </c>
      <c r="H264">
        <v>24</v>
      </c>
      <c r="I264" t="b">
        <f>AND(COUNTIF(CO!A:A,A264)&gt;0,COUNTIF('O3'!A:A,A264)&gt;0,COUNTIF('PM10'!A:A,A264)&gt;0,COUNTIF('PM2.5'!A:A,A264)&gt;0,COUNTIF('SO2'!A:A,A264)&gt;0,COUNTIF(Kendaraan!A:A,A264))</f>
        <v>1</v>
      </c>
    </row>
    <row r="265" spans="1:9" x14ac:dyDescent="0.45">
      <c r="A265" s="4">
        <v>45650</v>
      </c>
      <c r="B265" t="s">
        <v>345</v>
      </c>
      <c r="C265" t="s">
        <v>1290</v>
      </c>
      <c r="D265" t="s">
        <v>1291</v>
      </c>
      <c r="E265" t="s">
        <v>1286</v>
      </c>
      <c r="F265" t="s">
        <v>1292</v>
      </c>
      <c r="G265" t="s">
        <v>242</v>
      </c>
      <c r="H265">
        <v>24</v>
      </c>
      <c r="I265" t="b">
        <f>AND(COUNTIF(CO!A:A,A265)&gt;0,COUNTIF('O3'!A:A,A265)&gt;0,COUNTIF('PM10'!A:A,A265)&gt;0,COUNTIF('PM2.5'!A:A,A265)&gt;0,COUNTIF('SO2'!A:A,A265)&gt;0,COUNTIF(Kendaraan!A:A,A265))</f>
        <v>1</v>
      </c>
    </row>
    <row r="266" spans="1:9" x14ac:dyDescent="0.45">
      <c r="A266" s="4">
        <v>45651</v>
      </c>
      <c r="B266" t="s">
        <v>1277</v>
      </c>
      <c r="C266" t="s">
        <v>1288</v>
      </c>
      <c r="D266" t="s">
        <v>1293</v>
      </c>
      <c r="E266" t="s">
        <v>1281</v>
      </c>
      <c r="F266" t="s">
        <v>1294</v>
      </c>
      <c r="G266" t="s">
        <v>66</v>
      </c>
      <c r="H266">
        <v>19</v>
      </c>
      <c r="I266" t="b">
        <f>AND(COUNTIF(CO!A:A,A266)&gt;0,COUNTIF('O3'!A:A,A266)&gt;0,COUNTIF('PM10'!A:A,A266)&gt;0,COUNTIF('PM2.5'!A:A,A266)&gt;0,COUNTIF('SO2'!A:A,A266)&gt;0,COUNTIF(Kendaraan!A:A,A266))</f>
        <v>1</v>
      </c>
    </row>
    <row r="267" spans="1:9" x14ac:dyDescent="0.45">
      <c r="A267" s="4">
        <v>45657</v>
      </c>
      <c r="B267" t="s">
        <v>1295</v>
      </c>
      <c r="C267" t="s">
        <v>1127</v>
      </c>
      <c r="D267" t="s">
        <v>1180</v>
      </c>
      <c r="E267" t="s">
        <v>1296</v>
      </c>
      <c r="F267" t="s">
        <v>1117</v>
      </c>
      <c r="G267" t="s">
        <v>997</v>
      </c>
      <c r="H267">
        <v>4</v>
      </c>
      <c r="I267" t="b">
        <f>AND(COUNTIF(CO!A:A,A267)&gt;0,COUNTIF('O3'!A:A,A267)&gt;0,COUNTIF('PM10'!A:A,A267)&gt;0,COUNTIF('PM2.5'!A:A,A267)&gt;0,COUNTIF('SO2'!A:A,A267)&gt;0,COUNTIF(Kendaraan!A:A,A267))</f>
        <v>1</v>
      </c>
    </row>
    <row r="268" spans="1:9" x14ac:dyDescent="0.45">
      <c r="A268" s="4">
        <v>45658</v>
      </c>
      <c r="B268" t="s">
        <v>1297</v>
      </c>
      <c r="C268" t="s">
        <v>1298</v>
      </c>
      <c r="D268" t="s">
        <v>1299</v>
      </c>
      <c r="E268" t="s">
        <v>1300</v>
      </c>
      <c r="F268" t="s">
        <v>1301</v>
      </c>
      <c r="G268" t="s">
        <v>1302</v>
      </c>
      <c r="H268">
        <v>24</v>
      </c>
      <c r="I268" t="b">
        <f>AND(COUNTIF(CO!A:A,A268)&gt;0,COUNTIF('O3'!A:A,A268)&gt;0,COUNTIF('PM10'!A:A,A268)&gt;0,COUNTIF('PM2.5'!A:A,A268)&gt;0,COUNTIF('SO2'!A:A,A268)&gt;0,COUNTIF(Kendaraan!A:A,A268))</f>
        <v>1</v>
      </c>
    </row>
    <row r="269" spans="1:9" x14ac:dyDescent="0.45">
      <c r="A269" s="4">
        <v>45659</v>
      </c>
      <c r="B269" t="s">
        <v>1303</v>
      </c>
      <c r="C269" t="s">
        <v>1304</v>
      </c>
      <c r="D269" t="s">
        <v>1297</v>
      </c>
      <c r="E269" t="s">
        <v>1305</v>
      </c>
      <c r="F269" t="s">
        <v>1300</v>
      </c>
      <c r="G269" t="s">
        <v>171</v>
      </c>
      <c r="H269">
        <v>24</v>
      </c>
      <c r="I269" t="b">
        <f>AND(COUNTIF(CO!A:A,A269)&gt;0,COUNTIF('O3'!A:A,A269)&gt;0,COUNTIF('PM10'!A:A,A269)&gt;0,COUNTIF('PM2.5'!A:A,A269)&gt;0,COUNTIF('SO2'!A:A,A269)&gt;0,COUNTIF(Kendaraan!A:A,A269))</f>
        <v>1</v>
      </c>
    </row>
    <row r="270" spans="1:9" x14ac:dyDescent="0.45">
      <c r="A270" s="4">
        <v>45660</v>
      </c>
      <c r="B270" t="s">
        <v>1306</v>
      </c>
      <c r="C270" t="s">
        <v>1307</v>
      </c>
      <c r="D270" t="s">
        <v>1303</v>
      </c>
      <c r="E270" t="s">
        <v>1308</v>
      </c>
      <c r="F270" t="s">
        <v>1309</v>
      </c>
      <c r="G270" t="s">
        <v>131</v>
      </c>
      <c r="H270">
        <v>24</v>
      </c>
      <c r="I270" t="b">
        <f>AND(COUNTIF(CO!A:A,A270)&gt;0,COUNTIF('O3'!A:A,A270)&gt;0,COUNTIF('PM10'!A:A,A270)&gt;0,COUNTIF('PM2.5'!A:A,A270)&gt;0,COUNTIF('SO2'!A:A,A270)&gt;0,COUNTIF(Kendaraan!A:A,A270))</f>
        <v>1</v>
      </c>
    </row>
    <row r="271" spans="1:9" x14ac:dyDescent="0.45">
      <c r="A271" s="4">
        <v>45661</v>
      </c>
      <c r="B271" t="s">
        <v>1307</v>
      </c>
      <c r="C271" t="s">
        <v>1310</v>
      </c>
      <c r="D271" t="s">
        <v>1311</v>
      </c>
      <c r="E271" t="s">
        <v>1312</v>
      </c>
      <c r="F271" t="s">
        <v>1313</v>
      </c>
      <c r="G271" t="s">
        <v>165</v>
      </c>
      <c r="H271">
        <v>24</v>
      </c>
      <c r="I271" t="b">
        <f>AND(COUNTIF(CO!A:A,A271)&gt;0,COUNTIF('O3'!A:A,A271)&gt;0,COUNTIF('PM10'!A:A,A271)&gt;0,COUNTIF('PM2.5'!A:A,A271)&gt;0,COUNTIF('SO2'!A:A,A271)&gt;0,COUNTIF(Kendaraan!A:A,A271))</f>
        <v>1</v>
      </c>
    </row>
    <row r="272" spans="1:9" x14ac:dyDescent="0.45">
      <c r="A272" s="4">
        <v>45662</v>
      </c>
      <c r="B272" t="s">
        <v>1307</v>
      </c>
      <c r="C272" t="s">
        <v>1314</v>
      </c>
      <c r="D272" t="s">
        <v>1315</v>
      </c>
      <c r="E272" t="s">
        <v>1316</v>
      </c>
      <c r="F272" t="s">
        <v>922</v>
      </c>
      <c r="G272" s="1">
        <v>1934</v>
      </c>
      <c r="H272">
        <v>24</v>
      </c>
      <c r="I272" t="b">
        <f>AND(COUNTIF(CO!A:A,A272)&gt;0,COUNTIF('O3'!A:A,A272)&gt;0,COUNTIF('PM10'!A:A,A272)&gt;0,COUNTIF('PM2.5'!A:A,A272)&gt;0,COUNTIF('SO2'!A:A,A272)&gt;0,COUNTIF(Kendaraan!A:A,A272))</f>
        <v>1</v>
      </c>
    </row>
    <row r="273" spans="1:9" x14ac:dyDescent="0.45">
      <c r="A273" s="4">
        <v>45663</v>
      </c>
      <c r="B273" t="s">
        <v>1317</v>
      </c>
      <c r="C273" t="s">
        <v>1196</v>
      </c>
      <c r="D273" t="s">
        <v>1318</v>
      </c>
      <c r="E273" t="s">
        <v>1319</v>
      </c>
      <c r="F273" t="s">
        <v>1320</v>
      </c>
      <c r="G273" s="1">
        <v>1901</v>
      </c>
      <c r="H273">
        <v>24</v>
      </c>
      <c r="I273" t="b">
        <f>AND(COUNTIF(CO!A:A,A273)&gt;0,COUNTIF('O3'!A:A,A273)&gt;0,COUNTIF('PM10'!A:A,A273)&gt;0,COUNTIF('PM2.5'!A:A,A273)&gt;0,COUNTIF('SO2'!A:A,A273)&gt;0,COUNTIF(Kendaraan!A:A,A273))</f>
        <v>1</v>
      </c>
    </row>
    <row r="274" spans="1:9" x14ac:dyDescent="0.45">
      <c r="A274" s="4">
        <v>45664</v>
      </c>
      <c r="B274" t="s">
        <v>1321</v>
      </c>
      <c r="C274" t="s">
        <v>1310</v>
      </c>
      <c r="D274" t="s">
        <v>1322</v>
      </c>
      <c r="E274" t="s">
        <v>1323</v>
      </c>
      <c r="F274" t="s">
        <v>1307</v>
      </c>
      <c r="G274" t="s">
        <v>103</v>
      </c>
      <c r="H274">
        <v>24</v>
      </c>
      <c r="I274" t="b">
        <f>AND(COUNTIF(CO!A:A,A274)&gt;0,COUNTIF('O3'!A:A,A274)&gt;0,COUNTIF('PM10'!A:A,A274)&gt;0,COUNTIF('PM2.5'!A:A,A274)&gt;0,COUNTIF('SO2'!A:A,A274)&gt;0,COUNTIF(Kendaraan!A:A,A274))</f>
        <v>1</v>
      </c>
    </row>
    <row r="275" spans="1:9" x14ac:dyDescent="0.45">
      <c r="A275" s="4">
        <v>45665</v>
      </c>
      <c r="B275" t="s">
        <v>1324</v>
      </c>
      <c r="C275" t="s">
        <v>1325</v>
      </c>
      <c r="D275" t="s">
        <v>1326</v>
      </c>
      <c r="E275" t="s">
        <v>1327</v>
      </c>
      <c r="F275" t="s">
        <v>1328</v>
      </c>
      <c r="G275" t="s">
        <v>261</v>
      </c>
      <c r="H275">
        <v>24</v>
      </c>
      <c r="I275" t="b">
        <f>AND(COUNTIF(CO!A:A,A275)&gt;0,COUNTIF('O3'!A:A,A275)&gt;0,COUNTIF('PM10'!A:A,A275)&gt;0,COUNTIF('PM2.5'!A:A,A275)&gt;0,COUNTIF('SO2'!A:A,A275)&gt;0,COUNTIF(Kendaraan!A:A,A275))</f>
        <v>1</v>
      </c>
    </row>
    <row r="276" spans="1:9" x14ac:dyDescent="0.45">
      <c r="A276" s="4">
        <v>45666</v>
      </c>
      <c r="B276" t="s">
        <v>1329</v>
      </c>
      <c r="C276" t="s">
        <v>1330</v>
      </c>
      <c r="D276" t="s">
        <v>1301</v>
      </c>
      <c r="E276" t="s">
        <v>1331</v>
      </c>
      <c r="F276" t="s">
        <v>367</v>
      </c>
      <c r="G276" t="s">
        <v>1332</v>
      </c>
      <c r="H276">
        <v>24</v>
      </c>
      <c r="I276" t="b">
        <f>AND(COUNTIF(CO!A:A,A276)&gt;0,COUNTIF('O3'!A:A,A276)&gt;0,COUNTIF('PM10'!A:A,A276)&gt;0,COUNTIF('PM2.5'!A:A,A276)&gt;0,COUNTIF('SO2'!A:A,A276)&gt;0,COUNTIF(Kendaraan!A:A,A276))</f>
        <v>1</v>
      </c>
    </row>
    <row r="277" spans="1:9" x14ac:dyDescent="0.45">
      <c r="A277" s="4">
        <v>45667</v>
      </c>
      <c r="B277" t="s">
        <v>1297</v>
      </c>
      <c r="C277" t="s">
        <v>1333</v>
      </c>
      <c r="D277" t="s">
        <v>1334</v>
      </c>
      <c r="E277" t="s">
        <v>1307</v>
      </c>
      <c r="F277" t="s">
        <v>1335</v>
      </c>
      <c r="G277" t="s">
        <v>1336</v>
      </c>
      <c r="H277">
        <v>24</v>
      </c>
      <c r="I277" t="b">
        <f>AND(COUNTIF(CO!A:A,A277)&gt;0,COUNTIF('O3'!A:A,A277)&gt;0,COUNTIF('PM10'!A:A,A277)&gt;0,COUNTIF('PM2.5'!A:A,A277)&gt;0,COUNTIF('SO2'!A:A,A277)&gt;0,COUNTIF(Kendaraan!A:A,A277))</f>
        <v>1</v>
      </c>
    </row>
    <row r="278" spans="1:9" x14ac:dyDescent="0.45">
      <c r="A278" s="4">
        <v>45668</v>
      </c>
      <c r="B278" t="s">
        <v>1303</v>
      </c>
      <c r="C278" t="s">
        <v>1337</v>
      </c>
      <c r="D278" t="s">
        <v>1338</v>
      </c>
      <c r="E278" t="s">
        <v>1305</v>
      </c>
      <c r="F278" t="s">
        <v>1297</v>
      </c>
      <c r="G278" t="s">
        <v>296</v>
      </c>
      <c r="H278">
        <v>24</v>
      </c>
      <c r="I278" t="b">
        <f>AND(COUNTIF(CO!A:A,A278)&gt;0,COUNTIF('O3'!A:A,A278)&gt;0,COUNTIF('PM10'!A:A,A278)&gt;0,COUNTIF('PM2.5'!A:A,A278)&gt;0,COUNTIF('SO2'!A:A,A278)&gt;0,COUNTIF(Kendaraan!A:A,A278))</f>
        <v>1</v>
      </c>
    </row>
    <row r="279" spans="1:9" x14ac:dyDescent="0.45">
      <c r="A279" s="4">
        <v>45669</v>
      </c>
      <c r="B279" t="s">
        <v>1339</v>
      </c>
      <c r="C279" t="s">
        <v>1325</v>
      </c>
      <c r="D279" t="s">
        <v>1328</v>
      </c>
      <c r="E279" t="s">
        <v>1340</v>
      </c>
      <c r="F279" t="s">
        <v>1322</v>
      </c>
      <c r="G279" t="s">
        <v>1341</v>
      </c>
      <c r="H279">
        <v>24</v>
      </c>
      <c r="I279" t="b">
        <f>AND(COUNTIF(CO!A:A,A279)&gt;0,COUNTIF('O3'!A:A,A279)&gt;0,COUNTIF('PM10'!A:A,A279)&gt;0,COUNTIF('PM2.5'!A:A,A279)&gt;0,COUNTIF('SO2'!A:A,A279)&gt;0,COUNTIF(Kendaraan!A:A,A279))</f>
        <v>1</v>
      </c>
    </row>
    <row r="280" spans="1:9" x14ac:dyDescent="0.45">
      <c r="A280" s="4">
        <v>45670</v>
      </c>
      <c r="B280" t="s">
        <v>1342</v>
      </c>
      <c r="C280" t="s">
        <v>1343</v>
      </c>
      <c r="D280" t="s">
        <v>1344</v>
      </c>
      <c r="E280" t="s">
        <v>1345</v>
      </c>
      <c r="F280" t="s">
        <v>1297</v>
      </c>
      <c r="G280" t="s">
        <v>1346</v>
      </c>
      <c r="H280">
        <v>23</v>
      </c>
      <c r="I280" t="b">
        <f>AND(COUNTIF(CO!A:A,A280)&gt;0,COUNTIF('O3'!A:A,A280)&gt;0,COUNTIF('PM10'!A:A,A280)&gt;0,COUNTIF('PM2.5'!A:A,A280)&gt;0,COUNTIF('SO2'!A:A,A280)&gt;0,COUNTIF(Kendaraan!A:A,A280))</f>
        <v>1</v>
      </c>
    </row>
    <row r="281" spans="1:9" x14ac:dyDescent="0.45">
      <c r="A281" s="4">
        <v>45671</v>
      </c>
      <c r="B281" t="s">
        <v>1347</v>
      </c>
      <c r="C281" t="s">
        <v>1337</v>
      </c>
      <c r="D281" t="s">
        <v>1324</v>
      </c>
      <c r="E281" t="s">
        <v>1348</v>
      </c>
      <c r="F281" t="s">
        <v>1326</v>
      </c>
      <c r="G281" t="s">
        <v>1349</v>
      </c>
      <c r="H281">
        <v>18</v>
      </c>
      <c r="I281" t="b">
        <f>AND(COUNTIF(CO!A:A,A281)&gt;0,COUNTIF('O3'!A:A,A281)&gt;0,COUNTIF('PM10'!A:A,A281)&gt;0,COUNTIF('PM2.5'!A:A,A281)&gt;0,COUNTIF('SO2'!A:A,A281)&gt;0,COUNTIF(Kendaraan!A:A,A281))</f>
        <v>1</v>
      </c>
    </row>
    <row r="282" spans="1:9" x14ac:dyDescent="0.45">
      <c r="A282" s="4">
        <v>45672</v>
      </c>
      <c r="B282" t="s">
        <v>1350</v>
      </c>
      <c r="C282" t="s">
        <v>1304</v>
      </c>
      <c r="D282" t="s">
        <v>1351</v>
      </c>
      <c r="E282" t="s">
        <v>1348</v>
      </c>
      <c r="F282" t="s">
        <v>1352</v>
      </c>
      <c r="G282" t="s">
        <v>227</v>
      </c>
      <c r="H282">
        <v>24</v>
      </c>
      <c r="I282" t="b">
        <f>AND(COUNTIF(CO!A:A,A282)&gt;0,COUNTIF('O3'!A:A,A282)&gt;0,COUNTIF('PM10'!A:A,A282)&gt;0,COUNTIF('PM2.5'!A:A,A282)&gt;0,COUNTIF('SO2'!A:A,A282)&gt;0,COUNTIF(Kendaraan!A:A,A282))</f>
        <v>1</v>
      </c>
    </row>
    <row r="283" spans="1:9" x14ac:dyDescent="0.45">
      <c r="A283" s="4">
        <v>45673</v>
      </c>
      <c r="B283" t="s">
        <v>1305</v>
      </c>
      <c r="C283" t="s">
        <v>1353</v>
      </c>
      <c r="D283" t="s">
        <v>1331</v>
      </c>
      <c r="E283" t="s">
        <v>1338</v>
      </c>
      <c r="F283" t="s">
        <v>1354</v>
      </c>
      <c r="G283" t="s">
        <v>1332</v>
      </c>
      <c r="H283">
        <v>24</v>
      </c>
      <c r="I283" t="b">
        <f>AND(COUNTIF(CO!A:A,A283)&gt;0,COUNTIF('O3'!A:A,A283)&gt;0,COUNTIF('PM10'!A:A,A283)&gt;0,COUNTIF('PM2.5'!A:A,A283)&gt;0,COUNTIF('SO2'!A:A,A283)&gt;0,COUNTIF(Kendaraan!A:A,A283))</f>
        <v>1</v>
      </c>
    </row>
    <row r="284" spans="1:9" x14ac:dyDescent="0.45">
      <c r="A284" s="4">
        <v>45674</v>
      </c>
      <c r="B284" t="s">
        <v>1340</v>
      </c>
      <c r="C284" t="s">
        <v>1355</v>
      </c>
      <c r="D284" t="s">
        <v>1353</v>
      </c>
      <c r="E284" t="s">
        <v>1356</v>
      </c>
      <c r="F284" t="s">
        <v>1357</v>
      </c>
      <c r="G284" t="s">
        <v>1358</v>
      </c>
      <c r="H284">
        <v>24</v>
      </c>
      <c r="I284" t="b">
        <f>AND(COUNTIF(CO!A:A,A284)&gt;0,COUNTIF('O3'!A:A,A284)&gt;0,COUNTIF('PM10'!A:A,A284)&gt;0,COUNTIF('PM2.5'!A:A,A284)&gt;0,COUNTIF('SO2'!A:A,A284)&gt;0,COUNTIF(Kendaraan!A:A,A284))</f>
        <v>1</v>
      </c>
    </row>
    <row r="285" spans="1:9" x14ac:dyDescent="0.45">
      <c r="A285" s="4">
        <v>45675</v>
      </c>
      <c r="B285" t="s">
        <v>1305</v>
      </c>
      <c r="C285" t="s">
        <v>1300</v>
      </c>
      <c r="D285" t="s">
        <v>1338</v>
      </c>
      <c r="E285" t="s">
        <v>1329</v>
      </c>
      <c r="F285" t="s">
        <v>1359</v>
      </c>
      <c r="G285" t="s">
        <v>180</v>
      </c>
      <c r="H285">
        <v>24</v>
      </c>
      <c r="I285" t="b">
        <f>AND(COUNTIF(CO!A:A,A285)&gt;0,COUNTIF('O3'!A:A,A285)&gt;0,COUNTIF('PM10'!A:A,A285)&gt;0,COUNTIF('PM2.5'!A:A,A285)&gt;0,COUNTIF('SO2'!A:A,A285)&gt;0,COUNTIF(Kendaraan!A:A,A285))</f>
        <v>1</v>
      </c>
    </row>
    <row r="286" spans="1:9" x14ac:dyDescent="0.45">
      <c r="A286" s="4">
        <v>45676</v>
      </c>
      <c r="B286" t="s">
        <v>1360</v>
      </c>
      <c r="C286" t="s">
        <v>1299</v>
      </c>
      <c r="D286" t="s">
        <v>1329</v>
      </c>
      <c r="E286" t="s">
        <v>1361</v>
      </c>
      <c r="F286" t="s">
        <v>1297</v>
      </c>
      <c r="G286" t="s">
        <v>255</v>
      </c>
      <c r="H286">
        <v>24</v>
      </c>
      <c r="I286" t="b">
        <f>AND(COUNTIF(CO!A:A,A286)&gt;0,COUNTIF('O3'!A:A,A286)&gt;0,COUNTIF('PM10'!A:A,A286)&gt;0,COUNTIF('PM2.5'!A:A,A286)&gt;0,COUNTIF('SO2'!A:A,A286)&gt;0,COUNTIF(Kendaraan!A:A,A286))</f>
        <v>1</v>
      </c>
    </row>
    <row r="287" spans="1:9" x14ac:dyDescent="0.45">
      <c r="A287" s="4">
        <v>45677</v>
      </c>
      <c r="B287" t="s">
        <v>1344</v>
      </c>
      <c r="C287" t="s">
        <v>1362</v>
      </c>
      <c r="D287" t="s">
        <v>1363</v>
      </c>
      <c r="E287" t="s">
        <v>1361</v>
      </c>
      <c r="F287" t="s">
        <v>1362</v>
      </c>
      <c r="G287" t="s">
        <v>42</v>
      </c>
      <c r="H287">
        <v>24</v>
      </c>
      <c r="I287" t="b">
        <f>AND(COUNTIF(CO!A:A,A287)&gt;0,COUNTIF('O3'!A:A,A287)&gt;0,COUNTIF('PM10'!A:A,A287)&gt;0,COUNTIF('PM2.5'!A:A,A287)&gt;0,COUNTIF('SO2'!A:A,A287)&gt;0,COUNTIF(Kendaraan!A:A,A287))</f>
        <v>1</v>
      </c>
    </row>
    <row r="288" spans="1:9" x14ac:dyDescent="0.45">
      <c r="A288" s="4">
        <v>45678</v>
      </c>
      <c r="B288" t="s">
        <v>1364</v>
      </c>
      <c r="C288" t="s">
        <v>1350</v>
      </c>
      <c r="D288" t="s">
        <v>1360</v>
      </c>
      <c r="E288" t="s">
        <v>1342</v>
      </c>
      <c r="F288" t="s">
        <v>1344</v>
      </c>
      <c r="G288" t="s">
        <v>220</v>
      </c>
      <c r="H288">
        <v>24</v>
      </c>
      <c r="I288" t="b">
        <f>AND(COUNTIF(CO!A:A,A288)&gt;0,COUNTIF('O3'!A:A,A288)&gt;0,COUNTIF('PM10'!A:A,A288)&gt;0,COUNTIF('PM2.5'!A:A,A288)&gt;0,COUNTIF('SO2'!A:A,A288)&gt;0,COUNTIF(Kendaraan!A:A,A288))</f>
        <v>1</v>
      </c>
    </row>
    <row r="289" spans="1:9" x14ac:dyDescent="0.45">
      <c r="A289" s="4">
        <v>45679</v>
      </c>
      <c r="B289" t="s">
        <v>1345</v>
      </c>
      <c r="C289" t="s">
        <v>1301</v>
      </c>
      <c r="D289" t="s">
        <v>1306</v>
      </c>
      <c r="E289" t="s">
        <v>1345</v>
      </c>
      <c r="F289" t="s">
        <v>1331</v>
      </c>
      <c r="G289" t="s">
        <v>1349</v>
      </c>
      <c r="H289">
        <v>24</v>
      </c>
      <c r="I289" t="b">
        <f>AND(COUNTIF(CO!A:A,A289)&gt;0,COUNTIF('O3'!A:A,A289)&gt;0,COUNTIF('PM10'!A:A,A289)&gt;0,COUNTIF('PM2.5'!A:A,A289)&gt;0,COUNTIF('SO2'!A:A,A289)&gt;0,COUNTIF(Kendaraan!A:A,A289))</f>
        <v>1</v>
      </c>
    </row>
    <row r="290" spans="1:9" x14ac:dyDescent="0.45">
      <c r="A290" s="4">
        <v>45680</v>
      </c>
      <c r="B290" t="s">
        <v>1299</v>
      </c>
      <c r="C290" t="s">
        <v>1324</v>
      </c>
      <c r="D290" t="s">
        <v>1304</v>
      </c>
      <c r="E290" t="s">
        <v>1299</v>
      </c>
      <c r="F290" t="s">
        <v>1365</v>
      </c>
      <c r="G290" t="s">
        <v>87</v>
      </c>
      <c r="H290">
        <v>24</v>
      </c>
      <c r="I290" t="b">
        <f>AND(COUNTIF(CO!A:A,A290)&gt;0,COUNTIF('O3'!A:A,A290)&gt;0,COUNTIF('PM10'!A:A,A290)&gt;0,COUNTIF('PM2.5'!A:A,A290)&gt;0,COUNTIF('SO2'!A:A,A290)&gt;0,COUNTIF(Kendaraan!A:A,A290))</f>
        <v>1</v>
      </c>
    </row>
    <row r="291" spans="1:9" x14ac:dyDescent="0.45">
      <c r="A291" s="4">
        <v>45681</v>
      </c>
      <c r="B291" t="s">
        <v>1362</v>
      </c>
      <c r="C291" t="s">
        <v>1366</v>
      </c>
      <c r="D291" t="s">
        <v>1365</v>
      </c>
      <c r="E291" t="s">
        <v>1303</v>
      </c>
      <c r="F291" t="s">
        <v>1324</v>
      </c>
      <c r="G291" t="s">
        <v>1367</v>
      </c>
      <c r="H291">
        <v>24</v>
      </c>
      <c r="I291" t="b">
        <f>AND(COUNTIF(CO!A:A,A291)&gt;0,COUNTIF('O3'!A:A,A291)&gt;0,COUNTIF('PM10'!A:A,A291)&gt;0,COUNTIF('PM2.5'!A:A,A291)&gt;0,COUNTIF('SO2'!A:A,A291)&gt;0,COUNTIF(Kendaraan!A:A,A291))</f>
        <v>1</v>
      </c>
    </row>
    <row r="292" spans="1:9" x14ac:dyDescent="0.45">
      <c r="A292" s="4">
        <v>45682</v>
      </c>
      <c r="B292" t="s">
        <v>1347</v>
      </c>
      <c r="C292" t="s">
        <v>1368</v>
      </c>
      <c r="D292" t="s">
        <v>1329</v>
      </c>
      <c r="E292" t="s">
        <v>1363</v>
      </c>
      <c r="F292" t="s">
        <v>940</v>
      </c>
      <c r="G292" t="s">
        <v>1369</v>
      </c>
      <c r="H292">
        <v>19</v>
      </c>
      <c r="I292" t="b">
        <f>AND(COUNTIF(CO!A:A,A292)&gt;0,COUNTIF('O3'!A:A,A292)&gt;0,COUNTIF('PM10'!A:A,A292)&gt;0,COUNTIF('PM2.5'!A:A,A292)&gt;0,COUNTIF('SO2'!A:A,A292)&gt;0,COUNTIF(Kendaraan!A:A,A292))</f>
        <v>1</v>
      </c>
    </row>
    <row r="293" spans="1:9" x14ac:dyDescent="0.45">
      <c r="A293" s="4">
        <v>45683</v>
      </c>
      <c r="B293" t="s">
        <v>1370</v>
      </c>
      <c r="C293" t="s">
        <v>1371</v>
      </c>
      <c r="D293" t="s">
        <v>1372</v>
      </c>
      <c r="E293" t="s">
        <v>1373</v>
      </c>
      <c r="F293" t="s">
        <v>1374</v>
      </c>
      <c r="G293" t="s">
        <v>125</v>
      </c>
      <c r="H293">
        <v>24</v>
      </c>
      <c r="I293" t="b">
        <f>AND(COUNTIF(CO!A:A,A293)&gt;0,COUNTIF('O3'!A:A,A293)&gt;0,COUNTIF('PM10'!A:A,A293)&gt;0,COUNTIF('PM2.5'!A:A,A293)&gt;0,COUNTIF('SO2'!A:A,A293)&gt;0,COUNTIF(Kendaraan!A:A,A293))</f>
        <v>1</v>
      </c>
    </row>
    <row r="294" spans="1:9" x14ac:dyDescent="0.45">
      <c r="A294" s="4">
        <v>45684</v>
      </c>
      <c r="B294" t="s">
        <v>1345</v>
      </c>
      <c r="C294" t="s">
        <v>1372</v>
      </c>
      <c r="D294" t="s">
        <v>1368</v>
      </c>
      <c r="E294" t="s">
        <v>1321</v>
      </c>
      <c r="F294" t="s">
        <v>1375</v>
      </c>
      <c r="G294" t="s">
        <v>1376</v>
      </c>
      <c r="H294">
        <v>24</v>
      </c>
      <c r="I294" t="b">
        <f>AND(COUNTIF(CO!A:A,A294)&gt;0,COUNTIF('O3'!A:A,A294)&gt;0,COUNTIF('PM10'!A:A,A294)&gt;0,COUNTIF('PM2.5'!A:A,A294)&gt;0,COUNTIF('SO2'!A:A,A294)&gt;0,COUNTIF(Kendaraan!A:A,A294))</f>
        <v>1</v>
      </c>
    </row>
    <row r="295" spans="1:9" x14ac:dyDescent="0.45">
      <c r="A295" s="4">
        <v>45685</v>
      </c>
      <c r="B295" t="s">
        <v>1377</v>
      </c>
      <c r="C295" t="s">
        <v>1343</v>
      </c>
      <c r="D295" t="s">
        <v>1306</v>
      </c>
      <c r="E295" t="s">
        <v>1364</v>
      </c>
      <c r="F295" t="s">
        <v>1304</v>
      </c>
      <c r="G295" t="s">
        <v>1378</v>
      </c>
      <c r="H295">
        <v>24</v>
      </c>
      <c r="I295" t="b">
        <f>AND(COUNTIF(CO!A:A,A295)&gt;0,COUNTIF('O3'!A:A,A295)&gt;0,COUNTIF('PM10'!A:A,A295)&gt;0,COUNTIF('PM2.5'!A:A,A295)&gt;0,COUNTIF('SO2'!A:A,A295)&gt;0,COUNTIF(Kendaraan!A:A,A295))</f>
        <v>1</v>
      </c>
    </row>
    <row r="296" spans="1:9" x14ac:dyDescent="0.45">
      <c r="A296" s="4">
        <v>45686</v>
      </c>
      <c r="B296" t="s">
        <v>1344</v>
      </c>
      <c r="C296" t="s">
        <v>1326</v>
      </c>
      <c r="D296" t="s">
        <v>1327</v>
      </c>
      <c r="E296" t="s">
        <v>1379</v>
      </c>
      <c r="F296" t="s">
        <v>1380</v>
      </c>
      <c r="G296" t="s">
        <v>1172</v>
      </c>
      <c r="H296">
        <v>24</v>
      </c>
      <c r="I296" t="b">
        <f>AND(COUNTIF(CO!A:A,A296)&gt;0,COUNTIF('O3'!A:A,A296)&gt;0,COUNTIF('PM10'!A:A,A296)&gt;0,COUNTIF('PM2.5'!A:A,A296)&gt;0,COUNTIF('SO2'!A:A,A296)&gt;0,COUNTIF(Kendaraan!A:A,A296))</f>
        <v>1</v>
      </c>
    </row>
    <row r="297" spans="1:9" x14ac:dyDescent="0.45">
      <c r="A297" s="4">
        <v>45687</v>
      </c>
      <c r="B297" t="s">
        <v>1381</v>
      </c>
      <c r="C297" t="s">
        <v>1360</v>
      </c>
      <c r="D297" t="s">
        <v>1382</v>
      </c>
      <c r="E297" t="s">
        <v>1306</v>
      </c>
      <c r="F297" t="s">
        <v>1339</v>
      </c>
      <c r="G297" t="s">
        <v>194</v>
      </c>
      <c r="H297">
        <v>20</v>
      </c>
      <c r="I297" t="b">
        <f>AND(COUNTIF(CO!A:A,A297)&gt;0,COUNTIF('O3'!A:A,A297)&gt;0,COUNTIF('PM10'!A:A,A297)&gt;0,COUNTIF('PM2.5'!A:A,A297)&gt;0,COUNTIF('SO2'!A:A,A297)&gt;0,COUNTIF(Kendaraan!A:A,A297))</f>
        <v>1</v>
      </c>
    </row>
    <row r="298" spans="1:9" x14ac:dyDescent="0.45">
      <c r="A298" s="4">
        <v>45688</v>
      </c>
      <c r="B298" t="s">
        <v>730</v>
      </c>
      <c r="C298" t="s">
        <v>1360</v>
      </c>
      <c r="D298" t="s">
        <v>1383</v>
      </c>
      <c r="E298" t="s">
        <v>1279</v>
      </c>
      <c r="F298" t="s">
        <v>1342</v>
      </c>
      <c r="G298" t="s">
        <v>1384</v>
      </c>
      <c r="H298">
        <v>24</v>
      </c>
      <c r="I298" t="b">
        <f>AND(COUNTIF(CO!A:A,A298)&gt;0,COUNTIF('O3'!A:A,A298)&gt;0,COUNTIF('PM10'!A:A,A298)&gt;0,COUNTIF('PM2.5'!A:A,A298)&gt;0,COUNTIF('SO2'!A:A,A298)&gt;0,COUNTIF(Kendaraan!A:A,A298))</f>
        <v>1</v>
      </c>
    </row>
    <row r="299" spans="1:9" x14ac:dyDescent="0.45">
      <c r="A299" s="4">
        <v>45689</v>
      </c>
      <c r="B299">
        <v>9</v>
      </c>
      <c r="C299" t="s">
        <v>727</v>
      </c>
      <c r="D299">
        <v>9</v>
      </c>
      <c r="E299">
        <v>9</v>
      </c>
      <c r="F299" t="s">
        <v>925</v>
      </c>
      <c r="G299" t="s">
        <v>1385</v>
      </c>
      <c r="H299">
        <v>24</v>
      </c>
      <c r="I299" t="b">
        <f>AND(COUNTIF(CO!A:A,A299)&gt;0,COUNTIF('O3'!A:A,A299)&gt;0,COUNTIF('PM10'!A:A,A299)&gt;0,COUNTIF('PM2.5'!A:A,A299)&gt;0,COUNTIF('SO2'!A:A,A299)&gt;0,COUNTIF(Kendaraan!A:A,A299))</f>
        <v>1</v>
      </c>
    </row>
    <row r="300" spans="1:9" x14ac:dyDescent="0.45">
      <c r="A300" s="4">
        <v>45691</v>
      </c>
      <c r="B300">
        <v>9</v>
      </c>
      <c r="C300" t="s">
        <v>1386</v>
      </c>
      <c r="D300" t="s">
        <v>1387</v>
      </c>
      <c r="E300" t="s">
        <v>1388</v>
      </c>
      <c r="F300" t="s">
        <v>1389</v>
      </c>
      <c r="G300" s="1">
        <v>4064</v>
      </c>
      <c r="H300">
        <v>24</v>
      </c>
      <c r="I300" t="b">
        <f>AND(COUNTIF(CO!A:A,A300)&gt;0,COUNTIF('O3'!A:A,A300)&gt;0,COUNTIF('PM10'!A:A,A300)&gt;0,COUNTIF('PM2.5'!A:A,A300)&gt;0,COUNTIF('SO2'!A:A,A300)&gt;0,COUNTIF(Kendaraan!A:A,A300))</f>
        <v>1</v>
      </c>
    </row>
    <row r="301" spans="1:9" x14ac:dyDescent="0.45">
      <c r="A301" s="4">
        <v>45692</v>
      </c>
      <c r="B301" t="s">
        <v>431</v>
      </c>
      <c r="C301" t="s">
        <v>680</v>
      </c>
      <c r="D301" t="s">
        <v>1390</v>
      </c>
      <c r="E301" t="s">
        <v>465</v>
      </c>
      <c r="F301" t="s">
        <v>1391</v>
      </c>
      <c r="G301" t="s">
        <v>1392</v>
      </c>
      <c r="H301">
        <v>24</v>
      </c>
      <c r="I301" t="b">
        <f>AND(COUNTIF(CO!A:A,A301)&gt;0,COUNTIF('O3'!A:A,A301)&gt;0,COUNTIF('PM10'!A:A,A301)&gt;0,COUNTIF('PM2.5'!A:A,A301)&gt;0,COUNTIF('SO2'!A:A,A301)&gt;0,COUNTIF(Kendaraan!A:A,A301))</f>
        <v>1</v>
      </c>
    </row>
    <row r="302" spans="1:9" x14ac:dyDescent="0.45">
      <c r="A302" s="4">
        <v>45693</v>
      </c>
      <c r="B302" t="s">
        <v>439</v>
      </c>
      <c r="C302" t="s">
        <v>679</v>
      </c>
      <c r="D302" t="s">
        <v>462</v>
      </c>
      <c r="E302" t="s">
        <v>1393</v>
      </c>
      <c r="F302" t="s">
        <v>670</v>
      </c>
      <c r="G302" t="s">
        <v>1394</v>
      </c>
      <c r="H302">
        <v>24</v>
      </c>
      <c r="I302" t="b">
        <f>AND(COUNTIF(CO!A:A,A302)&gt;0,COUNTIF('O3'!A:A,A302)&gt;0,COUNTIF('PM10'!A:A,A302)&gt;0,COUNTIF('PM2.5'!A:A,A302)&gt;0,COUNTIF('SO2'!A:A,A302)&gt;0,COUNTIF(Kendaraan!A:A,A302))</f>
        <v>1</v>
      </c>
    </row>
    <row r="303" spans="1:9" x14ac:dyDescent="0.45">
      <c r="A303" s="4">
        <v>45694</v>
      </c>
      <c r="B303" t="s">
        <v>464</v>
      </c>
      <c r="C303" t="s">
        <v>668</v>
      </c>
      <c r="D303" t="s">
        <v>410</v>
      </c>
      <c r="E303">
        <v>24</v>
      </c>
      <c r="F303" t="s">
        <v>1395</v>
      </c>
      <c r="G303" t="s">
        <v>238</v>
      </c>
      <c r="H303">
        <v>24</v>
      </c>
      <c r="I303" t="b">
        <f>AND(COUNTIF(CO!A:A,A303)&gt;0,COUNTIF('O3'!A:A,A303)&gt;0,COUNTIF('PM10'!A:A,A303)&gt;0,COUNTIF('PM2.5'!A:A,A303)&gt;0,COUNTIF('SO2'!A:A,A303)&gt;0,COUNTIF(Kendaraan!A:A,A303))</f>
        <v>1</v>
      </c>
    </row>
    <row r="304" spans="1:9" x14ac:dyDescent="0.45">
      <c r="A304" s="4">
        <v>45695</v>
      </c>
      <c r="B304" t="s">
        <v>1390</v>
      </c>
      <c r="C304" t="s">
        <v>434</v>
      </c>
      <c r="D304" t="s">
        <v>1396</v>
      </c>
      <c r="E304" t="s">
        <v>1397</v>
      </c>
      <c r="F304" t="s">
        <v>1398</v>
      </c>
      <c r="G304" t="s">
        <v>278</v>
      </c>
      <c r="H304">
        <v>24</v>
      </c>
      <c r="I304" t="b">
        <f>AND(COUNTIF(CO!A:A,A304)&gt;0,COUNTIF('O3'!A:A,A304)&gt;0,COUNTIF('PM10'!A:A,A304)&gt;0,COUNTIF('PM2.5'!A:A,A304)&gt;0,COUNTIF('SO2'!A:A,A304)&gt;0,COUNTIF(Kendaraan!A:A,A304))</f>
        <v>1</v>
      </c>
    </row>
    <row r="305" spans="1:9" x14ac:dyDescent="0.45">
      <c r="A305" s="4">
        <v>45696</v>
      </c>
      <c r="B305" t="s">
        <v>475</v>
      </c>
      <c r="C305" t="s">
        <v>643</v>
      </c>
      <c r="D305" t="s">
        <v>1399</v>
      </c>
      <c r="E305" t="s">
        <v>1400</v>
      </c>
      <c r="F305" t="s">
        <v>433</v>
      </c>
      <c r="G305" t="s">
        <v>277</v>
      </c>
      <c r="H305">
        <v>24</v>
      </c>
      <c r="I305" t="b">
        <f>AND(COUNTIF(CO!A:A,A305)&gt;0,COUNTIF('O3'!A:A,A305)&gt;0,COUNTIF('PM10'!A:A,A305)&gt;0,COUNTIF('PM2.5'!A:A,A305)&gt;0,COUNTIF('SO2'!A:A,A305)&gt;0,COUNTIF(Kendaraan!A:A,A305))</f>
        <v>1</v>
      </c>
    </row>
    <row r="306" spans="1:9" x14ac:dyDescent="0.45">
      <c r="A306" s="4">
        <v>45697</v>
      </c>
      <c r="B306" t="s">
        <v>637</v>
      </c>
      <c r="C306" t="s">
        <v>1401</v>
      </c>
      <c r="D306" t="s">
        <v>904</v>
      </c>
      <c r="E306" t="s">
        <v>918</v>
      </c>
      <c r="F306" t="s">
        <v>1402</v>
      </c>
      <c r="G306" t="s">
        <v>1137</v>
      </c>
      <c r="H306">
        <v>24</v>
      </c>
      <c r="I306" t="b">
        <f>AND(COUNTIF(CO!A:A,A306)&gt;0,COUNTIF('O3'!A:A,A306)&gt;0,COUNTIF('PM10'!A:A,A306)&gt;0,COUNTIF('PM2.5'!A:A,A306)&gt;0,COUNTIF('SO2'!A:A,A306)&gt;0,COUNTIF(Kendaraan!A:A,A306))</f>
        <v>1</v>
      </c>
    </row>
    <row r="307" spans="1:9" x14ac:dyDescent="0.45">
      <c r="A307" s="4">
        <v>45698</v>
      </c>
      <c r="B307" t="s">
        <v>431</v>
      </c>
      <c r="C307" t="s">
        <v>914</v>
      </c>
      <c r="D307" t="s">
        <v>413</v>
      </c>
      <c r="E307" t="s">
        <v>1403</v>
      </c>
      <c r="F307" t="s">
        <v>1404</v>
      </c>
      <c r="G307" t="s">
        <v>1003</v>
      </c>
      <c r="H307">
        <v>24</v>
      </c>
      <c r="I307" t="b">
        <f>AND(COUNTIF(CO!A:A,A307)&gt;0,COUNTIF('O3'!A:A,A307)&gt;0,COUNTIF('PM10'!A:A,A307)&gt;0,COUNTIF('PM2.5'!A:A,A307)&gt;0,COUNTIF('SO2'!A:A,A307)&gt;0,COUNTIF(Kendaraan!A:A,A307))</f>
        <v>1</v>
      </c>
    </row>
    <row r="308" spans="1:9" x14ac:dyDescent="0.45">
      <c r="A308" s="4">
        <v>45699</v>
      </c>
      <c r="B308" t="s">
        <v>496</v>
      </c>
      <c r="C308" t="s">
        <v>671</v>
      </c>
      <c r="D308" t="s">
        <v>1390</v>
      </c>
      <c r="E308" t="s">
        <v>424</v>
      </c>
      <c r="F308" t="s">
        <v>458</v>
      </c>
      <c r="G308" t="s">
        <v>70</v>
      </c>
      <c r="H308">
        <v>24</v>
      </c>
      <c r="I308" t="b">
        <f>AND(COUNTIF(CO!A:A,A308)&gt;0,COUNTIF('O3'!A:A,A308)&gt;0,COUNTIF('PM10'!A:A,A308)&gt;0,COUNTIF('PM2.5'!A:A,A308)&gt;0,COUNTIF('SO2'!A:A,A308)&gt;0,COUNTIF(Kendaraan!A:A,A308))</f>
        <v>1</v>
      </c>
    </row>
    <row r="309" spans="1:9" x14ac:dyDescent="0.45">
      <c r="A309" s="4">
        <v>45700</v>
      </c>
      <c r="B309" t="s">
        <v>1405</v>
      </c>
      <c r="C309" t="s">
        <v>1406</v>
      </c>
      <c r="D309" t="s">
        <v>405</v>
      </c>
      <c r="E309" t="s">
        <v>1407</v>
      </c>
      <c r="F309" t="s">
        <v>649</v>
      </c>
      <c r="G309" t="s">
        <v>131</v>
      </c>
      <c r="H309">
        <v>24</v>
      </c>
      <c r="I309" t="b">
        <f>AND(COUNTIF(CO!A:A,A309)&gt;0,COUNTIF('O3'!A:A,A309)&gt;0,COUNTIF('PM10'!A:A,A309)&gt;0,COUNTIF('PM2.5'!A:A,A309)&gt;0,COUNTIF('SO2'!A:A,A309)&gt;0,COUNTIF(Kendaraan!A:A,A309))</f>
        <v>1</v>
      </c>
    </row>
    <row r="310" spans="1:9" x14ac:dyDescent="0.45">
      <c r="A310" s="4">
        <v>45701</v>
      </c>
      <c r="B310" t="s">
        <v>617</v>
      </c>
      <c r="C310" t="s">
        <v>1405</v>
      </c>
      <c r="D310" t="s">
        <v>1408</v>
      </c>
      <c r="E310" t="s">
        <v>1409</v>
      </c>
      <c r="F310" t="s">
        <v>1410</v>
      </c>
      <c r="G310" t="s">
        <v>276</v>
      </c>
      <c r="H310">
        <v>24</v>
      </c>
      <c r="I310" t="b">
        <f>AND(COUNTIF(CO!A:A,A310)&gt;0,COUNTIF('O3'!A:A,A310)&gt;0,COUNTIF('PM10'!A:A,A310)&gt;0,COUNTIF('PM2.5'!A:A,A310)&gt;0,COUNTIF('SO2'!A:A,A310)&gt;0,COUNTIF(Kendaraan!A:A,A310))</f>
        <v>1</v>
      </c>
    </row>
    <row r="311" spans="1:9" x14ac:dyDescent="0.45">
      <c r="A311" s="4">
        <v>45702</v>
      </c>
      <c r="B311">
        <v>21</v>
      </c>
      <c r="C311" t="s">
        <v>1242</v>
      </c>
      <c r="D311" t="s">
        <v>880</v>
      </c>
      <c r="E311" t="s">
        <v>1411</v>
      </c>
      <c r="F311" t="s">
        <v>1238</v>
      </c>
      <c r="G311" t="s">
        <v>1412</v>
      </c>
      <c r="H311">
        <v>24</v>
      </c>
      <c r="I311" t="b">
        <f>AND(COUNTIF(CO!A:A,A311)&gt;0,COUNTIF('O3'!A:A,A311)&gt;0,COUNTIF('PM10'!A:A,A311)&gt;0,COUNTIF('PM2.5'!A:A,A311)&gt;0,COUNTIF('SO2'!A:A,A311)&gt;0,COUNTIF(Kendaraan!A:A,A311))</f>
        <v>1</v>
      </c>
    </row>
    <row r="312" spans="1:9" x14ac:dyDescent="0.45">
      <c r="A312" s="4">
        <v>45703</v>
      </c>
      <c r="B312" t="s">
        <v>1413</v>
      </c>
      <c r="C312" t="s">
        <v>366</v>
      </c>
      <c r="D312" t="s">
        <v>420</v>
      </c>
      <c r="E312" t="s">
        <v>1414</v>
      </c>
      <c r="F312" t="s">
        <v>1415</v>
      </c>
      <c r="G312" t="s">
        <v>190</v>
      </c>
      <c r="H312">
        <v>24</v>
      </c>
      <c r="I312" t="b">
        <f>AND(COUNTIF(CO!A:A,A312)&gt;0,COUNTIF('O3'!A:A,A312)&gt;0,COUNTIF('PM10'!A:A,A312)&gt;0,COUNTIF('PM2.5'!A:A,A312)&gt;0,COUNTIF('SO2'!A:A,A312)&gt;0,COUNTIF(Kendaraan!A:A,A312))</f>
        <v>1</v>
      </c>
    </row>
    <row r="313" spans="1:9" x14ac:dyDescent="0.45">
      <c r="A313" s="4">
        <v>45704</v>
      </c>
      <c r="B313" t="s">
        <v>1416</v>
      </c>
      <c r="C313" t="s">
        <v>466</v>
      </c>
      <c r="D313" t="s">
        <v>1417</v>
      </c>
      <c r="E313" t="s">
        <v>640</v>
      </c>
      <c r="F313" t="s">
        <v>433</v>
      </c>
      <c r="G313" t="s">
        <v>1418</v>
      </c>
      <c r="H313">
        <v>24</v>
      </c>
      <c r="I313" t="b">
        <f>AND(COUNTIF(CO!A:A,A313)&gt;0,COUNTIF('O3'!A:A,A313)&gt;0,COUNTIF('PM10'!A:A,A313)&gt;0,COUNTIF('PM2.5'!A:A,A313)&gt;0,COUNTIF('SO2'!A:A,A313)&gt;0,COUNTIF(Kendaraan!A:A,A313))</f>
        <v>1</v>
      </c>
    </row>
    <row r="314" spans="1:9" x14ac:dyDescent="0.45">
      <c r="A314" s="4">
        <v>45705</v>
      </c>
      <c r="B314" t="s">
        <v>1259</v>
      </c>
      <c r="C314" t="s">
        <v>516</v>
      </c>
      <c r="D314" t="s">
        <v>636</v>
      </c>
      <c r="E314" t="s">
        <v>1401</v>
      </c>
      <c r="F314" t="s">
        <v>1419</v>
      </c>
      <c r="G314" t="s">
        <v>1420</v>
      </c>
      <c r="H314">
        <v>24</v>
      </c>
      <c r="I314" t="b">
        <f>AND(COUNTIF(CO!A:A,A314)&gt;0,COUNTIF('O3'!A:A,A314)&gt;0,COUNTIF('PM10'!A:A,A314)&gt;0,COUNTIF('PM2.5'!A:A,A314)&gt;0,COUNTIF('SO2'!A:A,A314)&gt;0,COUNTIF(Kendaraan!A:A,A314))</f>
        <v>1</v>
      </c>
    </row>
    <row r="315" spans="1:9" x14ac:dyDescent="0.45">
      <c r="A315" s="4">
        <v>45706</v>
      </c>
      <c r="B315" t="s">
        <v>1261</v>
      </c>
      <c r="C315" t="s">
        <v>521</v>
      </c>
      <c r="D315" t="s">
        <v>1421</v>
      </c>
      <c r="E315" t="s">
        <v>1422</v>
      </c>
      <c r="F315" t="s">
        <v>1423</v>
      </c>
      <c r="G315" t="s">
        <v>213</v>
      </c>
      <c r="H315">
        <v>24</v>
      </c>
      <c r="I315" t="b">
        <f>AND(COUNTIF(CO!A:A,A315)&gt;0,COUNTIF('O3'!A:A,A315)&gt;0,COUNTIF('PM10'!A:A,A315)&gt;0,COUNTIF('PM2.5'!A:A,A315)&gt;0,COUNTIF('SO2'!A:A,A315)&gt;0,COUNTIF(Kendaraan!A:A,A315))</f>
        <v>1</v>
      </c>
    </row>
    <row r="316" spans="1:9" x14ac:dyDescent="0.45">
      <c r="A316" s="4">
        <v>45707</v>
      </c>
      <c r="B316" t="s">
        <v>1424</v>
      </c>
      <c r="C316" t="s">
        <v>485</v>
      </c>
      <c r="D316" t="s">
        <v>675</v>
      </c>
      <c r="E316" t="s">
        <v>1425</v>
      </c>
      <c r="F316" t="s">
        <v>513</v>
      </c>
      <c r="G316" s="1">
        <v>1487</v>
      </c>
      <c r="H316">
        <v>24</v>
      </c>
      <c r="I316" t="b">
        <f>AND(COUNTIF(CO!A:A,A316)&gt;0,COUNTIF('O3'!A:A,A316)&gt;0,COUNTIF('PM10'!A:A,A316)&gt;0,COUNTIF('PM2.5'!A:A,A316)&gt;0,COUNTIF('SO2'!A:A,A316)&gt;0,COUNTIF(Kendaraan!A:A,A316))</f>
        <v>1</v>
      </c>
    </row>
    <row r="317" spans="1:9" x14ac:dyDescent="0.45">
      <c r="A317" s="4">
        <v>45708</v>
      </c>
      <c r="B317" t="s">
        <v>663</v>
      </c>
      <c r="C317" t="s">
        <v>1426</v>
      </c>
      <c r="D317" t="s">
        <v>468</v>
      </c>
      <c r="E317" t="s">
        <v>493</v>
      </c>
      <c r="F317" t="s">
        <v>1427</v>
      </c>
      <c r="G317" t="s">
        <v>295</v>
      </c>
      <c r="H317">
        <v>24</v>
      </c>
      <c r="I317" t="b">
        <f>AND(COUNTIF(CO!A:A,A317)&gt;0,COUNTIF('O3'!A:A,A317)&gt;0,COUNTIF('PM10'!A:A,A317)&gt;0,COUNTIF('PM2.5'!A:A,A317)&gt;0,COUNTIF('SO2'!A:A,A317)&gt;0,COUNTIF(Kendaraan!A:A,A317))</f>
        <v>1</v>
      </c>
    </row>
    <row r="318" spans="1:9" x14ac:dyDescent="0.45">
      <c r="A318" s="4">
        <v>45709</v>
      </c>
      <c r="B318" t="s">
        <v>634</v>
      </c>
      <c r="C318" t="s">
        <v>485</v>
      </c>
      <c r="D318" t="s">
        <v>858</v>
      </c>
      <c r="E318">
        <v>26</v>
      </c>
      <c r="F318" t="s">
        <v>494</v>
      </c>
      <c r="G318" t="s">
        <v>210</v>
      </c>
      <c r="H318">
        <v>23</v>
      </c>
      <c r="I318" t="b">
        <f>AND(COUNTIF(CO!A:A,A318)&gt;0,COUNTIF('O3'!A:A,A318)&gt;0,COUNTIF('PM10'!A:A,A318)&gt;0,COUNTIF('PM2.5'!A:A,A318)&gt;0,COUNTIF('SO2'!A:A,A318)&gt;0,COUNTIF(Kendaraan!A:A,A318))</f>
        <v>1</v>
      </c>
    </row>
    <row r="319" spans="1:9" x14ac:dyDescent="0.45">
      <c r="A319" s="4">
        <v>45710</v>
      </c>
      <c r="B319" t="s">
        <v>883</v>
      </c>
      <c r="C319">
        <v>27</v>
      </c>
      <c r="D319" t="s">
        <v>1402</v>
      </c>
      <c r="E319" t="s">
        <v>1393</v>
      </c>
      <c r="F319" t="s">
        <v>415</v>
      </c>
      <c r="G319" s="1">
        <v>1744</v>
      </c>
      <c r="H319">
        <v>18</v>
      </c>
      <c r="I319" t="b">
        <f>AND(COUNTIF(CO!A:A,A319)&gt;0,COUNTIF('O3'!A:A,A319)&gt;0,COUNTIF('PM10'!A:A,A319)&gt;0,COUNTIF('PM2.5'!A:A,A319)&gt;0,COUNTIF('SO2'!A:A,A319)&gt;0,COUNTIF(Kendaraan!A:A,A319))</f>
        <v>1</v>
      </c>
    </row>
    <row r="320" spans="1:9" x14ac:dyDescent="0.45">
      <c r="A320" s="4">
        <v>45722</v>
      </c>
      <c r="B320">
        <v>9</v>
      </c>
      <c r="C320" t="s">
        <v>1428</v>
      </c>
      <c r="D320" t="s">
        <v>1429</v>
      </c>
      <c r="E320" t="s">
        <v>1430</v>
      </c>
      <c r="F320" t="s">
        <v>1431</v>
      </c>
      <c r="G320" s="1">
        <v>2625</v>
      </c>
      <c r="H320">
        <v>4</v>
      </c>
      <c r="I320" t="b">
        <f>AND(COUNTIF(CO!A:A,A320)&gt;0,COUNTIF('O3'!A:A,A320)&gt;0,COUNTIF('PM10'!A:A,A320)&gt;0,COUNTIF('PM2.5'!A:A,A320)&gt;0,COUNTIF('SO2'!A:A,A320)&gt;0,COUNTIF(Kendaraan!A:A,A320))</f>
        <v>1</v>
      </c>
    </row>
    <row r="321" spans="1:9" x14ac:dyDescent="0.45">
      <c r="A321" s="4">
        <v>45723</v>
      </c>
      <c r="B321" t="s">
        <v>1432</v>
      </c>
      <c r="C321" t="s">
        <v>1267</v>
      </c>
      <c r="D321" t="s">
        <v>1433</v>
      </c>
      <c r="E321" t="s">
        <v>1434</v>
      </c>
      <c r="F321" t="s">
        <v>1435</v>
      </c>
      <c r="G321" t="s">
        <v>1094</v>
      </c>
      <c r="H321">
        <v>5</v>
      </c>
      <c r="I321" t="b">
        <f>AND(COUNTIF(CO!A:A,A321)&gt;0,COUNTIF('O3'!A:A,A321)&gt;0,COUNTIF('PM10'!A:A,A321)&gt;0,COUNTIF('PM2.5'!A:A,A321)&gt;0,COUNTIF('SO2'!A:A,A321)&gt;0,COUNTIF(Kendaraan!A:A,A321))</f>
        <v>1</v>
      </c>
    </row>
    <row r="322" spans="1:9" x14ac:dyDescent="0.45">
      <c r="A322" s="4">
        <v>45724</v>
      </c>
      <c r="B322" t="s">
        <v>1218</v>
      </c>
      <c r="C322" t="s">
        <v>1436</v>
      </c>
      <c r="D322" t="s">
        <v>1432</v>
      </c>
      <c r="E322" t="s">
        <v>1437</v>
      </c>
      <c r="F322" t="s">
        <v>1438</v>
      </c>
      <c r="G322" t="s">
        <v>1439</v>
      </c>
      <c r="H322">
        <v>24</v>
      </c>
      <c r="I322" t="b">
        <f>AND(COUNTIF(CO!A:A,A322)&gt;0,COUNTIF('O3'!A:A,A322)&gt;0,COUNTIF('PM10'!A:A,A322)&gt;0,COUNTIF('PM2.5'!A:A,A322)&gt;0,COUNTIF('SO2'!A:A,A322)&gt;0,COUNTIF(Kendaraan!A:A,A322))</f>
        <v>1</v>
      </c>
    </row>
    <row r="323" spans="1:9" x14ac:dyDescent="0.45">
      <c r="A323" s="4">
        <v>45725</v>
      </c>
      <c r="B323" t="s">
        <v>1389</v>
      </c>
      <c r="C323" t="s">
        <v>1424</v>
      </c>
      <c r="D323" t="s">
        <v>1440</v>
      </c>
      <c r="E323" t="s">
        <v>1434</v>
      </c>
      <c r="F323" t="s">
        <v>1270</v>
      </c>
      <c r="G323" t="s">
        <v>1441</v>
      </c>
      <c r="H323">
        <v>24</v>
      </c>
      <c r="I323" t="b">
        <f>AND(COUNTIF(CO!A:A,A323)&gt;0,COUNTIF('O3'!A:A,A323)&gt;0,COUNTIF('PM10'!A:A,A323)&gt;0,COUNTIF('PM2.5'!A:A,A323)&gt;0,COUNTIF('SO2'!A:A,A323)&gt;0,COUNTIF(Kendaraan!A:A,A323))</f>
        <v>1</v>
      </c>
    </row>
    <row r="324" spans="1:9" x14ac:dyDescent="0.45">
      <c r="A324" s="4">
        <v>45726</v>
      </c>
      <c r="B324" t="s">
        <v>1231</v>
      </c>
      <c r="C324" t="s">
        <v>1265</v>
      </c>
      <c r="D324" t="s">
        <v>442</v>
      </c>
      <c r="E324" t="s">
        <v>1221</v>
      </c>
      <c r="F324" t="s">
        <v>1442</v>
      </c>
      <c r="G324" t="s">
        <v>197</v>
      </c>
      <c r="H324">
        <v>24</v>
      </c>
      <c r="I324" t="b">
        <f>AND(COUNTIF(CO!A:A,A324)&gt;0,COUNTIF('O3'!A:A,A324)&gt;0,COUNTIF('PM10'!A:A,A324)&gt;0,COUNTIF('PM2.5'!A:A,A324)&gt;0,COUNTIF('SO2'!A:A,A324)&gt;0,COUNTIF(Kendaraan!A:A,A324))</f>
        <v>1</v>
      </c>
    </row>
    <row r="325" spans="1:9" x14ac:dyDescent="0.45">
      <c r="A325" s="4">
        <v>45727</v>
      </c>
      <c r="B325" t="s">
        <v>1443</v>
      </c>
      <c r="C325" t="s">
        <v>1203</v>
      </c>
      <c r="D325" t="s">
        <v>1444</v>
      </c>
      <c r="E325" t="s">
        <v>1445</v>
      </c>
      <c r="F325" t="s">
        <v>1446</v>
      </c>
      <c r="G325" t="s">
        <v>1447</v>
      </c>
      <c r="H325">
        <v>24</v>
      </c>
      <c r="I325" t="b">
        <f>AND(COUNTIF(CO!A:A,A325)&gt;0,COUNTIF('O3'!A:A,A325)&gt;0,COUNTIF('PM10'!A:A,A325)&gt;0,COUNTIF('PM2.5'!A:A,A325)&gt;0,COUNTIF('SO2'!A:A,A325)&gt;0,COUNTIF(Kendaraan!A:A,A325))</f>
        <v>1</v>
      </c>
    </row>
    <row r="326" spans="1:9" x14ac:dyDescent="0.45">
      <c r="A326" s="4">
        <v>45728</v>
      </c>
      <c r="B326" t="s">
        <v>1448</v>
      </c>
      <c r="C326" t="s">
        <v>616</v>
      </c>
      <c r="D326" t="s">
        <v>1449</v>
      </c>
      <c r="E326" t="s">
        <v>1450</v>
      </c>
      <c r="F326" t="s">
        <v>1209</v>
      </c>
      <c r="G326" t="s">
        <v>1172</v>
      </c>
      <c r="H326">
        <v>24</v>
      </c>
      <c r="I326" t="b">
        <f>AND(COUNTIF(CO!A:A,A326)&gt;0,COUNTIF('O3'!A:A,A326)&gt;0,COUNTIF('PM10'!A:A,A326)&gt;0,COUNTIF('PM2.5'!A:A,A326)&gt;0,COUNTIF('SO2'!A:A,A326)&gt;0,COUNTIF(Kendaraan!A:A,A326))</f>
        <v>1</v>
      </c>
    </row>
    <row r="327" spans="1:9" x14ac:dyDescent="0.45">
      <c r="A327" s="4">
        <v>45729</v>
      </c>
      <c r="B327" t="s">
        <v>1314</v>
      </c>
      <c r="C327" t="s">
        <v>1451</v>
      </c>
      <c r="D327">
        <v>19</v>
      </c>
      <c r="E327" t="s">
        <v>1452</v>
      </c>
      <c r="F327" t="s">
        <v>1453</v>
      </c>
      <c r="G327" t="s">
        <v>255</v>
      </c>
      <c r="H327">
        <v>24</v>
      </c>
      <c r="I327" t="b">
        <f>AND(COUNTIF(CO!A:A,A327)&gt;0,COUNTIF('O3'!A:A,A327)&gt;0,COUNTIF('PM10'!A:A,A327)&gt;0,COUNTIF('PM2.5'!A:A,A327)&gt;0,COUNTIF('SO2'!A:A,A327)&gt;0,COUNTIF(Kendaraan!A:A,A327))</f>
        <v>1</v>
      </c>
    </row>
    <row r="328" spans="1:9" x14ac:dyDescent="0.45">
      <c r="A328" s="4">
        <v>45730</v>
      </c>
      <c r="B328" t="s">
        <v>1454</v>
      </c>
      <c r="C328" t="s">
        <v>1455</v>
      </c>
      <c r="D328" t="s">
        <v>1456</v>
      </c>
      <c r="E328" t="s">
        <v>1457</v>
      </c>
      <c r="F328" t="s">
        <v>1458</v>
      </c>
      <c r="G328" t="s">
        <v>1459</v>
      </c>
      <c r="H328">
        <v>24</v>
      </c>
      <c r="I328" t="b">
        <f>AND(COUNTIF(CO!A:A,A328)&gt;0,COUNTIF('O3'!A:A,A328)&gt;0,COUNTIF('PM10'!A:A,A328)&gt;0,COUNTIF('PM2.5'!A:A,A328)&gt;0,COUNTIF('SO2'!A:A,A328)&gt;0,COUNTIF(Kendaraan!A:A,A328))</f>
        <v>1</v>
      </c>
    </row>
    <row r="329" spans="1:9" x14ac:dyDescent="0.45">
      <c r="A329" s="4">
        <v>45731</v>
      </c>
      <c r="B329" t="s">
        <v>1460</v>
      </c>
      <c r="C329" t="s">
        <v>1461</v>
      </c>
      <c r="D329" t="s">
        <v>1462</v>
      </c>
      <c r="E329" t="s">
        <v>1463</v>
      </c>
      <c r="F329" t="s">
        <v>1464</v>
      </c>
      <c r="G329" t="s">
        <v>1465</v>
      </c>
      <c r="H329">
        <v>24</v>
      </c>
      <c r="I329" t="b">
        <f>AND(COUNTIF(CO!A:A,A329)&gt;0,COUNTIF('O3'!A:A,A329)&gt;0,COUNTIF('PM10'!A:A,A329)&gt;0,COUNTIF('PM2.5'!A:A,A329)&gt;0,COUNTIF('SO2'!A:A,A329)&gt;0,COUNTIF(Kendaraan!A:A,A329))</f>
        <v>1</v>
      </c>
    </row>
    <row r="330" spans="1:9" x14ac:dyDescent="0.45">
      <c r="A330" s="4">
        <v>45732</v>
      </c>
      <c r="B330" t="s">
        <v>1466</v>
      </c>
      <c r="C330" t="s">
        <v>1202</v>
      </c>
      <c r="D330" t="s">
        <v>1467</v>
      </c>
      <c r="E330" t="s">
        <v>1468</v>
      </c>
      <c r="F330" t="s">
        <v>1215</v>
      </c>
      <c r="G330" t="s">
        <v>204</v>
      </c>
      <c r="H330">
        <v>24</v>
      </c>
      <c r="I330" t="b">
        <f>AND(COUNTIF(CO!A:A,A330)&gt;0,COUNTIF('O3'!A:A,A330)&gt;0,COUNTIF('PM10'!A:A,A330)&gt;0,COUNTIF('PM2.5'!A:A,A330)&gt;0,COUNTIF('SO2'!A:A,A330)&gt;0,COUNTIF(Kendaraan!A:A,A330))</f>
        <v>1</v>
      </c>
    </row>
    <row r="331" spans="1:9" x14ac:dyDescent="0.45">
      <c r="A331" s="4">
        <v>45733</v>
      </c>
      <c r="B331" t="s">
        <v>1444</v>
      </c>
      <c r="C331" t="s">
        <v>1469</v>
      </c>
      <c r="D331" t="s">
        <v>1437</v>
      </c>
      <c r="E331" t="s">
        <v>1470</v>
      </c>
      <c r="F331" t="s">
        <v>1471</v>
      </c>
      <c r="G331" t="s">
        <v>80</v>
      </c>
      <c r="H331">
        <v>24</v>
      </c>
      <c r="I331" t="b">
        <f>AND(COUNTIF(CO!A:A,A331)&gt;0,COUNTIF('O3'!A:A,A331)&gt;0,COUNTIF('PM10'!A:A,A331)&gt;0,COUNTIF('PM2.5'!A:A,A331)&gt;0,COUNTIF('SO2'!A:A,A331)&gt;0,COUNTIF(Kendaraan!A:A,A331))</f>
        <v>1</v>
      </c>
    </row>
    <row r="332" spans="1:9" x14ac:dyDescent="0.45">
      <c r="A332" s="4">
        <v>45734</v>
      </c>
      <c r="B332" t="s">
        <v>1472</v>
      </c>
      <c r="C332" t="s">
        <v>879</v>
      </c>
      <c r="D332">
        <v>21</v>
      </c>
      <c r="E332" t="s">
        <v>1473</v>
      </c>
      <c r="F332" t="s">
        <v>1474</v>
      </c>
      <c r="G332" t="s">
        <v>243</v>
      </c>
      <c r="H332">
        <v>24</v>
      </c>
      <c r="I332" t="b">
        <f>AND(COUNTIF(CO!A:A,A332)&gt;0,COUNTIF('O3'!A:A,A332)&gt;0,COUNTIF('PM10'!A:A,A332)&gt;0,COUNTIF('PM2.5'!A:A,A332)&gt;0,COUNTIF('SO2'!A:A,A332)&gt;0,COUNTIF(Kendaraan!A:A,A332))</f>
        <v>1</v>
      </c>
    </row>
    <row r="333" spans="1:9" x14ac:dyDescent="0.45">
      <c r="A333" s="4">
        <v>45735</v>
      </c>
      <c r="B333" t="s">
        <v>1440</v>
      </c>
      <c r="C333" t="s">
        <v>1424</v>
      </c>
      <c r="D333" t="s">
        <v>1221</v>
      </c>
      <c r="E333" t="s">
        <v>1243</v>
      </c>
      <c r="F333" t="s">
        <v>873</v>
      </c>
      <c r="G333" t="s">
        <v>1475</v>
      </c>
      <c r="H333">
        <v>24</v>
      </c>
      <c r="I333" t="b">
        <f>AND(COUNTIF(CO!A:A,A333)&gt;0,COUNTIF('O3'!A:A,A333)&gt;0,COUNTIF('PM10'!A:A,A333)&gt;0,COUNTIF('PM2.5'!A:A,A333)&gt;0,COUNTIF('SO2'!A:A,A333)&gt;0,COUNTIF(Kendaraan!A:A,A333))</f>
        <v>1</v>
      </c>
    </row>
    <row r="334" spans="1:9" x14ac:dyDescent="0.45">
      <c r="A334" s="4">
        <v>45736</v>
      </c>
      <c r="B334">
        <v>21</v>
      </c>
      <c r="C334" t="s">
        <v>1240</v>
      </c>
      <c r="D334" t="s">
        <v>444</v>
      </c>
      <c r="E334" t="s">
        <v>1476</v>
      </c>
      <c r="F334" t="s">
        <v>871</v>
      </c>
      <c r="G334" t="s">
        <v>1477</v>
      </c>
      <c r="H334">
        <v>24</v>
      </c>
      <c r="I334" t="b">
        <f>AND(COUNTIF(CO!A:A,A334)&gt;0,COUNTIF('O3'!A:A,A334)&gt;0,COUNTIF('PM10'!A:A,A334)&gt;0,COUNTIF('PM2.5'!A:A,A334)&gt;0,COUNTIF('SO2'!A:A,A334)&gt;0,COUNTIF(Kendaraan!A:A,A334))</f>
        <v>1</v>
      </c>
    </row>
    <row r="335" spans="1:9" x14ac:dyDescent="0.45">
      <c r="A335" s="4">
        <v>45737</v>
      </c>
      <c r="B335" t="s">
        <v>1435</v>
      </c>
      <c r="C335" t="s">
        <v>429</v>
      </c>
      <c r="D335" t="s">
        <v>887</v>
      </c>
      <c r="E335" t="s">
        <v>892</v>
      </c>
      <c r="F335" t="s">
        <v>883</v>
      </c>
      <c r="G335" t="s">
        <v>269</v>
      </c>
      <c r="H335">
        <v>23</v>
      </c>
      <c r="I335" t="b">
        <f>AND(COUNTIF(CO!A:A,A335)&gt;0,COUNTIF('O3'!A:A,A335)&gt;0,COUNTIF('PM10'!A:A,A335)&gt;0,COUNTIF('PM2.5'!A:A,A335)&gt;0,COUNTIF('SO2'!A:A,A335)&gt;0,COUNTIF(Kendaraan!A:A,A335))</f>
        <v>1</v>
      </c>
    </row>
    <row r="336" spans="1:9" x14ac:dyDescent="0.45">
      <c r="A336" s="4">
        <v>45738</v>
      </c>
      <c r="B336" t="s">
        <v>446</v>
      </c>
      <c r="C336" t="s">
        <v>915</v>
      </c>
      <c r="D336" t="s">
        <v>899</v>
      </c>
      <c r="E336" t="s">
        <v>869</v>
      </c>
      <c r="F336" t="s">
        <v>1393</v>
      </c>
      <c r="G336" t="s">
        <v>260</v>
      </c>
      <c r="H336">
        <v>24</v>
      </c>
      <c r="I336" t="b">
        <f>AND(COUNTIF(CO!A:A,A336)&gt;0,COUNTIF('O3'!A:A,A336)&gt;0,COUNTIF('PM10'!A:A,A336)&gt;0,COUNTIF('PM2.5'!A:A,A336)&gt;0,COUNTIF('SO2'!A:A,A336)&gt;0,COUNTIF(Kendaraan!A:A,A336))</f>
        <v>1</v>
      </c>
    </row>
    <row r="337" spans="1:9" x14ac:dyDescent="0.45">
      <c r="A337" s="4">
        <v>45739</v>
      </c>
      <c r="B337" t="s">
        <v>867</v>
      </c>
      <c r="C337" t="s">
        <v>1265</v>
      </c>
      <c r="D337" t="s">
        <v>876</v>
      </c>
      <c r="E337" t="s">
        <v>446</v>
      </c>
      <c r="F337" t="s">
        <v>1478</v>
      </c>
      <c r="G337" t="s">
        <v>1346</v>
      </c>
      <c r="H337">
        <v>24</v>
      </c>
      <c r="I337" t="b">
        <f>AND(COUNTIF(CO!A:A,A337)&gt;0,COUNTIF('O3'!A:A,A337)&gt;0,COUNTIF('PM10'!A:A,A337)&gt;0,COUNTIF('PM2.5'!A:A,A337)&gt;0,COUNTIF('SO2'!A:A,A337)&gt;0,COUNTIF(Kendaraan!A:A,A337))</f>
        <v>1</v>
      </c>
    </row>
    <row r="338" spans="1:9" x14ac:dyDescent="0.45">
      <c r="A338" s="4">
        <v>45740</v>
      </c>
      <c r="B338" t="s">
        <v>883</v>
      </c>
      <c r="C338" t="s">
        <v>1479</v>
      </c>
      <c r="D338" t="s">
        <v>1480</v>
      </c>
      <c r="E338" t="s">
        <v>867</v>
      </c>
      <c r="F338" t="s">
        <v>913</v>
      </c>
      <c r="G338" t="s">
        <v>1481</v>
      </c>
      <c r="H338">
        <v>23</v>
      </c>
      <c r="I338" t="b">
        <f>AND(COUNTIF(CO!A:A,A338)&gt;0,COUNTIF('O3'!A:A,A338)&gt;0,COUNTIF('PM10'!A:A,A338)&gt;0,COUNTIF('PM2.5'!A:A,A338)&gt;0,COUNTIF('SO2'!A:A,A338)&gt;0,COUNTIF(Kendaraan!A:A,A338))</f>
        <v>1</v>
      </c>
    </row>
    <row r="339" spans="1:9" x14ac:dyDescent="0.45">
      <c r="A339" s="4">
        <v>45741</v>
      </c>
      <c r="B339" t="s">
        <v>1469</v>
      </c>
      <c r="C339" t="s">
        <v>442</v>
      </c>
      <c r="D339" t="s">
        <v>1482</v>
      </c>
      <c r="E339" t="s">
        <v>879</v>
      </c>
      <c r="F339" t="s">
        <v>1483</v>
      </c>
      <c r="G339" t="s">
        <v>1484</v>
      </c>
      <c r="H339">
        <v>24</v>
      </c>
      <c r="I339" t="b">
        <f>AND(COUNTIF(CO!A:A,A339)&gt;0,COUNTIF('O3'!A:A,A339)&gt;0,COUNTIF('PM10'!A:A,A339)&gt;0,COUNTIF('PM2.5'!A:A,A339)&gt;0,COUNTIF('SO2'!A:A,A339)&gt;0,COUNTIF(Kendaraan!A:A,A339))</f>
        <v>1</v>
      </c>
    </row>
    <row r="340" spans="1:9" x14ac:dyDescent="0.45">
      <c r="A340" s="4">
        <v>45742</v>
      </c>
      <c r="B340" t="s">
        <v>885</v>
      </c>
      <c r="C340" t="s">
        <v>1238</v>
      </c>
      <c r="D340" t="s">
        <v>873</v>
      </c>
      <c r="E340" t="s">
        <v>1485</v>
      </c>
      <c r="F340" t="s">
        <v>895</v>
      </c>
      <c r="G340" t="s">
        <v>1486</v>
      </c>
      <c r="H340">
        <v>24</v>
      </c>
      <c r="I340" t="b">
        <f>AND(COUNTIF(CO!A:A,A340)&gt;0,COUNTIF('O3'!A:A,A340)&gt;0,COUNTIF('PM10'!A:A,A340)&gt;0,COUNTIF('PM2.5'!A:A,A340)&gt;0,COUNTIF('SO2'!A:A,A340)&gt;0,COUNTIF(Kendaraan!A:A,A340))</f>
        <v>1</v>
      </c>
    </row>
    <row r="341" spans="1:9" x14ac:dyDescent="0.45">
      <c r="A341" s="4">
        <v>45743</v>
      </c>
      <c r="B341" t="s">
        <v>1436</v>
      </c>
      <c r="C341" t="s">
        <v>1487</v>
      </c>
      <c r="D341" t="s">
        <v>615</v>
      </c>
      <c r="E341" t="s">
        <v>881</v>
      </c>
      <c r="F341" t="s">
        <v>1487</v>
      </c>
      <c r="G341" t="s">
        <v>73</v>
      </c>
      <c r="H341">
        <v>9</v>
      </c>
      <c r="I341" t="b">
        <f>AND(COUNTIF(CO!A:A,A341)&gt;0,COUNTIF('O3'!A:A,A341)&gt;0,COUNTIF('PM10'!A:A,A341)&gt;0,COUNTIF('PM2.5'!A:A,A341)&gt;0,COUNTIF('SO2'!A:A,A341)&gt;0,COUNTIF(Kendaraan!A:A,A341))</f>
        <v>1</v>
      </c>
    </row>
    <row r="342" spans="1:9" x14ac:dyDescent="0.45">
      <c r="A342" s="4">
        <v>45744</v>
      </c>
      <c r="B342" t="s">
        <v>1440</v>
      </c>
      <c r="C342" t="s">
        <v>1488</v>
      </c>
      <c r="D342" t="s">
        <v>889</v>
      </c>
      <c r="E342" t="s">
        <v>1241</v>
      </c>
      <c r="F342" t="s">
        <v>1487</v>
      </c>
      <c r="G342" t="s">
        <v>1358</v>
      </c>
      <c r="H342">
        <v>19</v>
      </c>
      <c r="I342" t="b">
        <f>AND(COUNTIF(CO!A:A,A342)&gt;0,COUNTIF('O3'!A:A,A342)&gt;0,COUNTIF('PM10'!A:A,A342)&gt;0,COUNTIF('PM2.5'!A:A,A342)&gt;0,COUNTIF('SO2'!A:A,A342)&gt;0,COUNTIF(Kendaraan!A:A,A342))</f>
        <v>1</v>
      </c>
    </row>
    <row r="343" spans="1:9" x14ac:dyDescent="0.45">
      <c r="A343" s="4">
        <v>45745</v>
      </c>
      <c r="B343" t="s">
        <v>893</v>
      </c>
      <c r="C343" t="s">
        <v>617</v>
      </c>
      <c r="D343" t="s">
        <v>1489</v>
      </c>
      <c r="E343" t="s">
        <v>1490</v>
      </c>
      <c r="F343" t="s">
        <v>877</v>
      </c>
      <c r="G343" t="s">
        <v>128</v>
      </c>
      <c r="H343">
        <v>24</v>
      </c>
      <c r="I343" t="b">
        <f>AND(COUNTIF(CO!A:A,A343)&gt;0,COUNTIF('O3'!A:A,A343)&gt;0,COUNTIF('PM10'!A:A,A343)&gt;0,COUNTIF('PM2.5'!A:A,A343)&gt;0,COUNTIF('SO2'!A:A,A343)&gt;0,COUNTIF(Kendaraan!A:A,A343))</f>
        <v>1</v>
      </c>
    </row>
    <row r="344" spans="1:9" x14ac:dyDescent="0.45">
      <c r="A344" s="4">
        <v>45746</v>
      </c>
      <c r="B344" t="s">
        <v>1491</v>
      </c>
      <c r="C344" t="s">
        <v>870</v>
      </c>
      <c r="D344" t="s">
        <v>1266</v>
      </c>
      <c r="E344" t="s">
        <v>1267</v>
      </c>
      <c r="F344" t="s">
        <v>1485</v>
      </c>
      <c r="G344" t="s">
        <v>530</v>
      </c>
      <c r="H344">
        <v>24</v>
      </c>
      <c r="I344" t="b">
        <f>AND(COUNTIF(CO!A:A,A344)&gt;0,COUNTIF('O3'!A:A,A344)&gt;0,COUNTIF('PM10'!A:A,A344)&gt;0,COUNTIF('PM2.5'!A:A,A344)&gt;0,COUNTIF('SO2'!A:A,A344)&gt;0,COUNTIF(Kendaraan!A:A,A344))</f>
        <v>1</v>
      </c>
    </row>
    <row r="345" spans="1:9" x14ac:dyDescent="0.45">
      <c r="A345" s="4">
        <v>45747</v>
      </c>
      <c r="B345" t="s">
        <v>1471</v>
      </c>
      <c r="C345" t="s">
        <v>913</v>
      </c>
      <c r="D345" t="s">
        <v>1485</v>
      </c>
      <c r="E345" t="s">
        <v>1438</v>
      </c>
      <c r="F345" t="s">
        <v>1480</v>
      </c>
      <c r="G345" t="s">
        <v>128</v>
      </c>
      <c r="H345">
        <v>22</v>
      </c>
      <c r="I345" t="b">
        <f>AND(COUNTIF(CO!A:A,A345)&gt;0,COUNTIF('O3'!A:A,A345)&gt;0,COUNTIF('PM10'!A:A,A345)&gt;0,COUNTIF('PM2.5'!A:A,A345)&gt;0,COUNTIF('SO2'!A:A,A345)&gt;0,COUNTIF(Kendaraan!A:A,A345))</f>
        <v>1</v>
      </c>
    </row>
    <row r="346" spans="1:9" x14ac:dyDescent="0.45">
      <c r="A346" s="4">
        <v>45748</v>
      </c>
      <c r="B346" t="s">
        <v>1270</v>
      </c>
      <c r="C346" t="s">
        <v>886</v>
      </c>
      <c r="D346" t="s">
        <v>1492</v>
      </c>
      <c r="E346" t="s">
        <v>1270</v>
      </c>
      <c r="F346" t="s">
        <v>1493</v>
      </c>
      <c r="G346" t="s">
        <v>227</v>
      </c>
      <c r="H346">
        <v>4</v>
      </c>
      <c r="I346" t="b">
        <f>AND(COUNTIF(CO!A:A,A346)&gt;0,COUNTIF('O3'!A:A,A346)&gt;0,COUNTIF('PM10'!A:A,A346)&gt;0,COUNTIF('PM2.5'!A:A,A346)&gt;0,COUNTIF('SO2'!A:A,A346)&gt;0,COUNTIF(Kendaraan!A:A,A346))</f>
        <v>1</v>
      </c>
    </row>
    <row r="347" spans="1:9" x14ac:dyDescent="0.45">
      <c r="A347" s="4">
        <v>45755</v>
      </c>
      <c r="B347" t="s">
        <v>1150</v>
      </c>
      <c r="C347" t="s">
        <v>1454</v>
      </c>
      <c r="D347" t="s">
        <v>1152</v>
      </c>
      <c r="E347" t="s">
        <v>1150</v>
      </c>
      <c r="F347" t="s">
        <v>1454</v>
      </c>
      <c r="G347" t="s">
        <v>828</v>
      </c>
      <c r="H347">
        <v>2</v>
      </c>
      <c r="I347" t="b">
        <f>AND(COUNTIF(CO!A:A,A347)&gt;0,COUNTIF('O3'!A:A,A347)&gt;0,COUNTIF('PM10'!A:A,A347)&gt;0,COUNTIF('PM2.5'!A:A,A347)&gt;0,COUNTIF('SO2'!A:A,A347)&gt;0,COUNTIF(Kendaraan!A:A,A347))</f>
        <v>1</v>
      </c>
    </row>
    <row r="348" spans="1:9" x14ac:dyDescent="0.45">
      <c r="A348" s="4">
        <v>45756</v>
      </c>
      <c r="B348" t="s">
        <v>1494</v>
      </c>
      <c r="C348" t="s">
        <v>931</v>
      </c>
      <c r="D348" t="s">
        <v>1327</v>
      </c>
      <c r="E348" t="s">
        <v>1338</v>
      </c>
      <c r="F348" t="s">
        <v>1495</v>
      </c>
      <c r="G348" s="1">
        <v>1706</v>
      </c>
      <c r="H348">
        <v>24</v>
      </c>
      <c r="I348" t="b">
        <f>AND(COUNTIF(CO!A:A,A348)&gt;0,COUNTIF('O3'!A:A,A348)&gt;0,COUNTIF('PM10'!A:A,A348)&gt;0,COUNTIF('PM2.5'!A:A,A348)&gt;0,COUNTIF('SO2'!A:A,A348)&gt;0,COUNTIF(Kendaraan!A:A,A348))</f>
        <v>1</v>
      </c>
    </row>
    <row r="349" spans="1:9" x14ac:dyDescent="0.45">
      <c r="A349" s="4">
        <v>45757</v>
      </c>
      <c r="B349" t="s">
        <v>1324</v>
      </c>
      <c r="C349" t="s">
        <v>1310</v>
      </c>
      <c r="D349" t="s">
        <v>1496</v>
      </c>
      <c r="E349" t="s">
        <v>1328</v>
      </c>
      <c r="F349" t="s">
        <v>1311</v>
      </c>
      <c r="G349" t="s">
        <v>1497</v>
      </c>
      <c r="H349">
        <v>17</v>
      </c>
      <c r="I349" t="b">
        <f>AND(COUNTIF(CO!A:A,A349)&gt;0,COUNTIF('O3'!A:A,A349)&gt;0,COUNTIF('PM10'!A:A,A349)&gt;0,COUNTIF('PM2.5'!A:A,A349)&gt;0,COUNTIF('SO2'!A:A,A349)&gt;0,COUNTIF(Kendaraan!A:A,A349))</f>
        <v>1</v>
      </c>
    </row>
    <row r="350" spans="1:9" x14ac:dyDescent="0.45">
      <c r="A350" s="4">
        <v>45759</v>
      </c>
      <c r="B350" t="s">
        <v>1155</v>
      </c>
      <c r="C350" t="s">
        <v>1156</v>
      </c>
      <c r="D350" t="s">
        <v>1498</v>
      </c>
      <c r="E350" t="s">
        <v>1149</v>
      </c>
      <c r="F350" t="s">
        <v>1196</v>
      </c>
      <c r="G350" t="s">
        <v>338</v>
      </c>
      <c r="H350">
        <v>23</v>
      </c>
      <c r="I350" t="b">
        <f>AND(COUNTIF(CO!A:A,A350)&gt;0,COUNTIF('O3'!A:A,A350)&gt;0,COUNTIF('PM10'!A:A,A350)&gt;0,COUNTIF('PM2.5'!A:A,A350)&gt;0,COUNTIF('SO2'!A:A,A350)&gt;0,COUNTIF(Kendaraan!A:A,A350))</f>
        <v>1</v>
      </c>
    </row>
    <row r="351" spans="1:9" x14ac:dyDescent="0.45">
      <c r="A351" s="4">
        <v>45760</v>
      </c>
      <c r="B351" t="s">
        <v>1499</v>
      </c>
      <c r="C351" t="s">
        <v>1195</v>
      </c>
      <c r="D351" t="s">
        <v>1500</v>
      </c>
      <c r="E351" t="s">
        <v>1101</v>
      </c>
      <c r="F351" t="s">
        <v>1501</v>
      </c>
      <c r="G351" t="s">
        <v>60</v>
      </c>
      <c r="H351">
        <v>24</v>
      </c>
      <c r="I351" t="b">
        <f>AND(COUNTIF(CO!A:A,A351)&gt;0,COUNTIF('O3'!A:A,A351)&gt;0,COUNTIF('PM10'!A:A,A351)&gt;0,COUNTIF('PM2.5'!A:A,A351)&gt;0,COUNTIF('SO2'!A:A,A351)&gt;0,COUNTIF(Kendaraan!A:A,A351))</f>
        <v>1</v>
      </c>
    </row>
    <row r="352" spans="1:9" x14ac:dyDescent="0.45">
      <c r="A352" s="4">
        <v>45761</v>
      </c>
      <c r="B352" t="s">
        <v>1101</v>
      </c>
      <c r="C352" t="s">
        <v>1502</v>
      </c>
      <c r="D352" t="s">
        <v>1503</v>
      </c>
      <c r="E352" t="s">
        <v>1504</v>
      </c>
      <c r="F352" t="s">
        <v>1181</v>
      </c>
      <c r="G352" t="s">
        <v>1505</v>
      </c>
      <c r="H352">
        <v>24</v>
      </c>
      <c r="I352" t="b">
        <f>AND(COUNTIF(CO!A:A,A352)&gt;0,COUNTIF('O3'!A:A,A352)&gt;0,COUNTIF('PM10'!A:A,A352)&gt;0,COUNTIF('PM2.5'!A:A,A352)&gt;0,COUNTIF('SO2'!A:A,A352)&gt;0,COUNTIF(Kendaraan!A:A,A352))</f>
        <v>1</v>
      </c>
    </row>
    <row r="353" spans="1:9" x14ac:dyDescent="0.45">
      <c r="A353" s="4">
        <v>45762</v>
      </c>
      <c r="B353" t="s">
        <v>927</v>
      </c>
      <c r="C353" t="s">
        <v>1506</v>
      </c>
      <c r="D353" t="s">
        <v>1507</v>
      </c>
      <c r="E353" t="s">
        <v>1508</v>
      </c>
      <c r="F353" t="s">
        <v>1509</v>
      </c>
      <c r="G353" t="s">
        <v>272</v>
      </c>
      <c r="H353">
        <v>24</v>
      </c>
      <c r="I353" t="b">
        <f>AND(COUNTIF(CO!A:A,A353)&gt;0,COUNTIF('O3'!A:A,A353)&gt;0,COUNTIF('PM10'!A:A,A353)&gt;0,COUNTIF('PM2.5'!A:A,A353)&gt;0,COUNTIF('SO2'!A:A,A353)&gt;0,COUNTIF(Kendaraan!A:A,A353))</f>
        <v>1</v>
      </c>
    </row>
    <row r="354" spans="1:9" x14ac:dyDescent="0.45">
      <c r="A354" s="4">
        <v>45763</v>
      </c>
      <c r="B354" t="s">
        <v>1510</v>
      </c>
      <c r="C354" t="s">
        <v>1139</v>
      </c>
      <c r="D354" t="s">
        <v>1511</v>
      </c>
      <c r="E354" t="s">
        <v>1512</v>
      </c>
      <c r="F354" t="s">
        <v>1045</v>
      </c>
      <c r="G354" t="s">
        <v>255</v>
      </c>
      <c r="H354">
        <v>13</v>
      </c>
      <c r="I354" t="b">
        <f>AND(COUNTIF(CO!A:A,A354)&gt;0,COUNTIF('O3'!A:A,A354)&gt;0,COUNTIF('PM10'!A:A,A354)&gt;0,COUNTIF('PM2.5'!A:A,A354)&gt;0,COUNTIF('SO2'!A:A,A354)&gt;0,COUNTIF(Kendaraan!A:A,A354))</f>
        <v>1</v>
      </c>
    </row>
    <row r="355" spans="1:9" x14ac:dyDescent="0.45">
      <c r="A355" s="4">
        <v>45764</v>
      </c>
      <c r="B355" t="s">
        <v>1513</v>
      </c>
      <c r="C355" t="s">
        <v>1514</v>
      </c>
      <c r="D355" t="s">
        <v>1515</v>
      </c>
      <c r="E355" t="s">
        <v>541</v>
      </c>
      <c r="F355" t="s">
        <v>1516</v>
      </c>
      <c r="G355" t="s">
        <v>194</v>
      </c>
      <c r="H355">
        <v>4</v>
      </c>
      <c r="I355" t="b">
        <f>AND(COUNTIF(CO!A:A,A355)&gt;0,COUNTIF('O3'!A:A,A355)&gt;0,COUNTIF('PM10'!A:A,A355)&gt;0,COUNTIF('PM2.5'!A:A,A355)&gt;0,COUNTIF('SO2'!A:A,A355)&gt;0,COUNTIF(Kendaraan!A:A,A355))</f>
        <v>1</v>
      </c>
    </row>
    <row r="356" spans="1:9" x14ac:dyDescent="0.45">
      <c r="A356" s="4">
        <v>45765</v>
      </c>
      <c r="B356" t="s">
        <v>477</v>
      </c>
      <c r="C356" t="s">
        <v>1517</v>
      </c>
      <c r="D356" t="s">
        <v>506</v>
      </c>
      <c r="E356" t="s">
        <v>593</v>
      </c>
      <c r="F356" t="s">
        <v>483</v>
      </c>
      <c r="G356" t="s">
        <v>1518</v>
      </c>
      <c r="H356">
        <v>24</v>
      </c>
      <c r="I356" t="b">
        <f>AND(COUNTIF(CO!A:A,A356)&gt;0,COUNTIF('O3'!A:A,A356)&gt;0,COUNTIF('PM10'!A:A,A356)&gt;0,COUNTIF('PM2.5'!A:A,A356)&gt;0,COUNTIF('SO2'!A:A,A356)&gt;0,COUNTIF(Kendaraan!A:A,A356))</f>
        <v>1</v>
      </c>
    </row>
    <row r="357" spans="1:9" x14ac:dyDescent="0.45">
      <c r="A357" s="4">
        <v>45766</v>
      </c>
      <c r="B357" t="s">
        <v>489</v>
      </c>
      <c r="C357" t="s">
        <v>839</v>
      </c>
      <c r="D357" t="s">
        <v>840</v>
      </c>
      <c r="E357" t="s">
        <v>584</v>
      </c>
      <c r="F357" t="s">
        <v>1519</v>
      </c>
      <c r="G357" s="1">
        <v>2614</v>
      </c>
      <c r="H357">
        <v>22</v>
      </c>
      <c r="I357" t="b">
        <f>AND(COUNTIF(CO!A:A,A357)&gt;0,COUNTIF('O3'!A:A,A357)&gt;0,COUNTIF('PM10'!A:A,A357)&gt;0,COUNTIF('PM2.5'!A:A,A357)&gt;0,COUNTIF('SO2'!A:A,A357)&gt;0,COUNTIF(Kendaraan!A:A,A357))</f>
        <v>1</v>
      </c>
    </row>
    <row r="358" spans="1:9" x14ac:dyDescent="0.45">
      <c r="A358" s="4">
        <v>45767</v>
      </c>
      <c r="B358" t="s">
        <v>1520</v>
      </c>
      <c r="C358" t="s">
        <v>1521</v>
      </c>
      <c r="D358" t="s">
        <v>1522</v>
      </c>
      <c r="E358" t="s">
        <v>1523</v>
      </c>
      <c r="F358" t="s">
        <v>1524</v>
      </c>
      <c r="G358" s="1">
        <v>1312</v>
      </c>
      <c r="H358">
        <v>24</v>
      </c>
      <c r="I358" t="b">
        <f>AND(COUNTIF(CO!A:A,A358)&gt;0,COUNTIF('O3'!A:A,A358)&gt;0,COUNTIF('PM10'!A:A,A358)&gt;0,COUNTIF('PM2.5'!A:A,A358)&gt;0,COUNTIF('SO2'!A:A,A358)&gt;0,COUNTIF(Kendaraan!A:A,A358))</f>
        <v>1</v>
      </c>
    </row>
    <row r="359" spans="1:9" x14ac:dyDescent="0.45">
      <c r="A359" s="4">
        <v>45768</v>
      </c>
      <c r="B359" t="s">
        <v>1525</v>
      </c>
      <c r="C359" t="s">
        <v>1526</v>
      </c>
      <c r="D359" t="s">
        <v>1527</v>
      </c>
      <c r="E359" t="s">
        <v>1528</v>
      </c>
      <c r="F359" t="s">
        <v>1529</v>
      </c>
      <c r="G359" t="s">
        <v>1262</v>
      </c>
      <c r="H359">
        <v>24</v>
      </c>
      <c r="I359" t="b">
        <f>AND(COUNTIF(CO!A:A,A359)&gt;0,COUNTIF('O3'!A:A,A359)&gt;0,COUNTIF('PM10'!A:A,A359)&gt;0,COUNTIF('PM2.5'!A:A,A359)&gt;0,COUNTIF('SO2'!A:A,A359)&gt;0,COUNTIF(Kendaraan!A:A,A359))</f>
        <v>1</v>
      </c>
    </row>
    <row r="360" spans="1:9" x14ac:dyDescent="0.45">
      <c r="A360" s="4">
        <v>45769</v>
      </c>
      <c r="B360" t="s">
        <v>1530</v>
      </c>
      <c r="C360" t="s">
        <v>1531</v>
      </c>
      <c r="D360" t="s">
        <v>1532</v>
      </c>
      <c r="E360" t="s">
        <v>1533</v>
      </c>
      <c r="F360" t="s">
        <v>1534</v>
      </c>
      <c r="G360" t="s">
        <v>1535</v>
      </c>
      <c r="H360">
        <v>24</v>
      </c>
      <c r="I360" t="b">
        <f>AND(COUNTIF(CO!A:A,A360)&gt;0,COUNTIF('O3'!A:A,A360)&gt;0,COUNTIF('PM10'!A:A,A360)&gt;0,COUNTIF('PM2.5'!A:A,A360)&gt;0,COUNTIF('SO2'!A:A,A360)&gt;0,COUNTIF(Kendaraan!A:A,A360))</f>
        <v>1</v>
      </c>
    </row>
    <row r="361" spans="1:9" x14ac:dyDescent="0.45">
      <c r="A361" s="4">
        <v>45770</v>
      </c>
      <c r="B361" t="s">
        <v>494</v>
      </c>
      <c r="C361" t="s">
        <v>1536</v>
      </c>
      <c r="D361" t="s">
        <v>849</v>
      </c>
      <c r="E361" t="s">
        <v>1537</v>
      </c>
      <c r="F361" t="s">
        <v>544</v>
      </c>
      <c r="G361" t="s">
        <v>1538</v>
      </c>
      <c r="H361">
        <v>24</v>
      </c>
      <c r="I361" t="b">
        <f>AND(COUNTIF(CO!A:A,A361)&gt;0,COUNTIF('O3'!A:A,A361)&gt;0,COUNTIF('PM10'!A:A,A361)&gt;0,COUNTIF('PM2.5'!A:A,A361)&gt;0,COUNTIF('SO2'!A:A,A361)&gt;0,COUNTIF(Kendaraan!A:A,A361))</f>
        <v>1</v>
      </c>
    </row>
    <row r="362" spans="1:9" x14ac:dyDescent="0.45">
      <c r="A362" s="4">
        <v>45771</v>
      </c>
      <c r="B362" t="s">
        <v>407</v>
      </c>
      <c r="C362" t="s">
        <v>600</v>
      </c>
      <c r="D362" t="s">
        <v>484</v>
      </c>
      <c r="E362" t="s">
        <v>1539</v>
      </c>
      <c r="F362" t="s">
        <v>1540</v>
      </c>
      <c r="G362" t="s">
        <v>872</v>
      </c>
      <c r="H362">
        <v>24</v>
      </c>
      <c r="I362" t="b">
        <f>AND(COUNTIF(CO!A:A,A362)&gt;0,COUNTIF('O3'!A:A,A362)&gt;0,COUNTIF('PM10'!A:A,A362)&gt;0,COUNTIF('PM2.5'!A:A,A362)&gt;0,COUNTIF('SO2'!A:A,A362)&gt;0,COUNTIF(Kendaraan!A:A,A362))</f>
        <v>1</v>
      </c>
    </row>
    <row r="363" spans="1:9" x14ac:dyDescent="0.45">
      <c r="A363" s="4">
        <v>45772</v>
      </c>
      <c r="B363" t="s">
        <v>497</v>
      </c>
      <c r="C363" t="s">
        <v>549</v>
      </c>
      <c r="D363" t="s">
        <v>1541</v>
      </c>
      <c r="E363" t="s">
        <v>858</v>
      </c>
      <c r="F363" t="s">
        <v>664</v>
      </c>
      <c r="G363" t="s">
        <v>290</v>
      </c>
      <c r="H363">
        <v>24</v>
      </c>
      <c r="I363" t="b">
        <f>AND(COUNTIF(CO!A:A,A363)&gt;0,COUNTIF('O3'!A:A,A363)&gt;0,COUNTIF('PM10'!A:A,A363)&gt;0,COUNTIF('PM2.5'!A:A,A363)&gt;0,COUNTIF('SO2'!A:A,A363)&gt;0,COUNTIF(Kendaraan!A:A,A363))</f>
        <v>1</v>
      </c>
    </row>
    <row r="364" spans="1:9" x14ac:dyDescent="0.45">
      <c r="A364" s="4">
        <v>45773</v>
      </c>
      <c r="B364" t="s">
        <v>506</v>
      </c>
      <c r="C364" t="s">
        <v>585</v>
      </c>
      <c r="D364" t="s">
        <v>493</v>
      </c>
      <c r="E364" t="s">
        <v>596</v>
      </c>
      <c r="F364" t="s">
        <v>482</v>
      </c>
      <c r="G364" t="s">
        <v>1542</v>
      </c>
      <c r="H364">
        <v>24</v>
      </c>
      <c r="I364" t="b">
        <f>AND(COUNTIF(CO!A:A,A364)&gt;0,COUNTIF('O3'!A:A,A364)&gt;0,COUNTIF('PM10'!A:A,A364)&gt;0,COUNTIF('PM2.5'!A:A,A364)&gt;0,COUNTIF('SO2'!A:A,A364)&gt;0,COUNTIF(Kendaraan!A:A,A364))</f>
        <v>1</v>
      </c>
    </row>
    <row r="365" spans="1:9" x14ac:dyDescent="0.45">
      <c r="A365" s="4">
        <v>45774</v>
      </c>
      <c r="B365" t="s">
        <v>1543</v>
      </c>
      <c r="C365" t="s">
        <v>858</v>
      </c>
      <c r="D365" t="s">
        <v>1544</v>
      </c>
      <c r="E365" t="s">
        <v>479</v>
      </c>
      <c r="F365" t="s">
        <v>518</v>
      </c>
      <c r="G365" t="s">
        <v>1477</v>
      </c>
      <c r="H365">
        <v>24</v>
      </c>
      <c r="I365" t="b">
        <f>AND(COUNTIF(CO!A:A,A365)&gt;0,COUNTIF('O3'!A:A,A365)&gt;0,COUNTIF('PM10'!A:A,A365)&gt;0,COUNTIF('PM2.5'!A:A,A365)&gt;0,COUNTIF('SO2'!A:A,A365)&gt;0,COUNTIF(Kendaraan!A:A,A365))</f>
        <v>1</v>
      </c>
    </row>
    <row r="366" spans="1:9" x14ac:dyDescent="0.45">
      <c r="A366" s="4">
        <v>45775</v>
      </c>
      <c r="B366" t="s">
        <v>1545</v>
      </c>
      <c r="C366" t="s">
        <v>474</v>
      </c>
      <c r="D366" t="s">
        <v>1546</v>
      </c>
      <c r="E366" t="s">
        <v>1547</v>
      </c>
      <c r="F366" t="s">
        <v>1548</v>
      </c>
      <c r="G366" t="s">
        <v>1549</v>
      </c>
      <c r="H366">
        <v>24</v>
      </c>
      <c r="I366" t="b">
        <f>AND(COUNTIF(CO!A:A,A366)&gt;0,COUNTIF('O3'!A:A,A366)&gt;0,COUNTIF('PM10'!A:A,A366)&gt;0,COUNTIF('PM2.5'!A:A,A366)&gt;0,COUNTIF('SO2'!A:A,A366)&gt;0,COUNTIF(Kendaraan!A:A,A366))</f>
        <v>1</v>
      </c>
    </row>
    <row r="367" spans="1:9" x14ac:dyDescent="0.45">
      <c r="A367" s="4">
        <v>45776</v>
      </c>
      <c r="B367" t="s">
        <v>1545</v>
      </c>
      <c r="C367" t="s">
        <v>1550</v>
      </c>
      <c r="D367" t="s">
        <v>847</v>
      </c>
      <c r="E367" t="s">
        <v>1543</v>
      </c>
      <c r="F367" t="s">
        <v>1513</v>
      </c>
      <c r="G367" t="s">
        <v>1551</v>
      </c>
      <c r="H367">
        <v>24</v>
      </c>
      <c r="I367" t="b">
        <f>AND(COUNTIF(CO!A:A,A367)&gt;0,COUNTIF('O3'!A:A,A367)&gt;0,COUNTIF('PM10'!A:A,A367)&gt;0,COUNTIF('PM2.5'!A:A,A367)&gt;0,COUNTIF('SO2'!A:A,A367)&gt;0,COUNTIF(Kendaraan!A:A,A367))</f>
        <v>1</v>
      </c>
    </row>
    <row r="368" spans="1:9" x14ac:dyDescent="0.45">
      <c r="A368" s="4">
        <v>45777</v>
      </c>
      <c r="B368" t="s">
        <v>537</v>
      </c>
      <c r="C368" t="s">
        <v>1552</v>
      </c>
      <c r="D368" t="s">
        <v>1553</v>
      </c>
      <c r="E368" t="s">
        <v>1554</v>
      </c>
      <c r="F368" t="s">
        <v>1555</v>
      </c>
      <c r="G368" t="s">
        <v>1556</v>
      </c>
      <c r="H368">
        <v>24</v>
      </c>
      <c r="I368" t="b">
        <f>AND(COUNTIF(CO!A:A,A368)&gt;0,COUNTIF('O3'!A:A,A368)&gt;0,COUNTIF('PM10'!A:A,A368)&gt;0,COUNTIF('PM2.5'!A:A,A368)&gt;0,COUNTIF('SO2'!A:A,A368)&gt;0,COUNTIF(Kendaraan!A:A,A368))</f>
        <v>1</v>
      </c>
    </row>
    <row r="369" spans="1:9" x14ac:dyDescent="0.45">
      <c r="A369" s="4">
        <v>45778</v>
      </c>
      <c r="B369" t="s">
        <v>1557</v>
      </c>
      <c r="C369" t="s">
        <v>1558</v>
      </c>
      <c r="D369" t="s">
        <v>563</v>
      </c>
      <c r="E369" t="s">
        <v>538</v>
      </c>
      <c r="F369" t="s">
        <v>545</v>
      </c>
      <c r="G369" t="s">
        <v>293</v>
      </c>
      <c r="H369">
        <v>7</v>
      </c>
      <c r="I369" t="b">
        <f>AND(COUNTIF(CO!A:A,A369)&gt;0,COUNTIF('O3'!A:A,A369)&gt;0,COUNTIF('PM10'!A:A,A369)&gt;0,COUNTIF('PM2.5'!A:A,A369)&gt;0,COUNTIF('SO2'!A:A,A369)&gt;0,COUNTIF(Kendaraan!A:A,A369))</f>
        <v>1</v>
      </c>
    </row>
    <row r="370" spans="1:9" x14ac:dyDescent="0.45">
      <c r="A370" s="4">
        <v>45779</v>
      </c>
      <c r="B370" t="s">
        <v>1559</v>
      </c>
      <c r="C370">
        <v>21</v>
      </c>
      <c r="D370" t="s">
        <v>1266</v>
      </c>
      <c r="E370" t="s">
        <v>1438</v>
      </c>
      <c r="F370" t="s">
        <v>1560</v>
      </c>
      <c r="G370" t="s">
        <v>42</v>
      </c>
      <c r="H370">
        <v>4</v>
      </c>
      <c r="I370" t="b">
        <f>AND(COUNTIF(CO!A:A,A370)&gt;0,COUNTIF('O3'!A:A,A370)&gt;0,COUNTIF('PM10'!A:A,A370)&gt;0,COUNTIF('PM2.5'!A:A,A370)&gt;0,COUNTIF('SO2'!A:A,A370)&gt;0,COUNTIF(Kendaraan!A:A,A370))</f>
        <v>1</v>
      </c>
    </row>
    <row r="371" spans="1:9" x14ac:dyDescent="0.45">
      <c r="A371" s="4">
        <v>45780</v>
      </c>
      <c r="B371" t="s">
        <v>1231</v>
      </c>
      <c r="C371" t="s">
        <v>1198</v>
      </c>
      <c r="D371" t="s">
        <v>1235</v>
      </c>
      <c r="E371" t="s">
        <v>1561</v>
      </c>
      <c r="F371" t="s">
        <v>1562</v>
      </c>
      <c r="G371" t="s">
        <v>722</v>
      </c>
      <c r="H371">
        <v>20</v>
      </c>
      <c r="I371" t="b">
        <f>AND(COUNTIF(CO!A:A,A371)&gt;0,COUNTIF('O3'!A:A,A371)&gt;0,COUNTIF('PM10'!A:A,A371)&gt;0,COUNTIF('PM2.5'!A:A,A371)&gt;0,COUNTIF('SO2'!A:A,A371)&gt;0,COUNTIF(Kendaraan!A:A,A371))</f>
        <v>1</v>
      </c>
    </row>
    <row r="372" spans="1:9" x14ac:dyDescent="0.45">
      <c r="A372" s="4">
        <v>45781</v>
      </c>
      <c r="B372" t="s">
        <v>1432</v>
      </c>
      <c r="C372" t="s">
        <v>1473</v>
      </c>
      <c r="D372" t="s">
        <v>1563</v>
      </c>
      <c r="E372" t="s">
        <v>1251</v>
      </c>
      <c r="F372" t="s">
        <v>1267</v>
      </c>
      <c r="G372" t="s">
        <v>1497</v>
      </c>
      <c r="H372">
        <v>24</v>
      </c>
      <c r="I372" t="b">
        <f>AND(COUNTIF(CO!A:A,A372)&gt;0,COUNTIF('O3'!A:A,A372)&gt;0,COUNTIF('PM10'!A:A,A372)&gt;0,COUNTIF('PM2.5'!A:A,A372)&gt;0,COUNTIF('SO2'!A:A,A372)&gt;0,COUNTIF(Kendaraan!A:A,A372))</f>
        <v>1</v>
      </c>
    </row>
    <row r="373" spans="1:9" x14ac:dyDescent="0.45">
      <c r="A373" s="4">
        <v>45782</v>
      </c>
      <c r="B373" t="s">
        <v>1252</v>
      </c>
      <c r="C373" t="s">
        <v>869</v>
      </c>
      <c r="D373" t="s">
        <v>1223</v>
      </c>
      <c r="E373" t="s">
        <v>1472</v>
      </c>
      <c r="F373" t="s">
        <v>898</v>
      </c>
      <c r="G373" t="s">
        <v>1564</v>
      </c>
      <c r="H373">
        <v>24</v>
      </c>
      <c r="I373" t="b">
        <f>AND(COUNTIF(CO!A:A,A373)&gt;0,COUNTIF('O3'!A:A,A373)&gt;0,COUNTIF('PM10'!A:A,A373)&gt;0,COUNTIF('PM2.5'!A:A,A373)&gt;0,COUNTIF('SO2'!A:A,A373)&gt;0,COUNTIF(Kendaraan!A:A,A373))</f>
        <v>1</v>
      </c>
    </row>
    <row r="374" spans="1:9" x14ac:dyDescent="0.45">
      <c r="A374" s="4">
        <v>45783</v>
      </c>
      <c r="B374" t="s">
        <v>897</v>
      </c>
      <c r="C374" t="s">
        <v>1565</v>
      </c>
      <c r="D374" t="s">
        <v>1566</v>
      </c>
      <c r="E374" t="s">
        <v>623</v>
      </c>
      <c r="F374" t="s">
        <v>440</v>
      </c>
      <c r="G374" t="s">
        <v>144</v>
      </c>
      <c r="H374">
        <v>24</v>
      </c>
      <c r="I374" t="b">
        <f>AND(COUNTIF(CO!A:A,A374)&gt;0,COUNTIF('O3'!A:A,A374)&gt;0,COUNTIF('PM10'!A:A,A374)&gt;0,COUNTIF('PM2.5'!A:A,A374)&gt;0,COUNTIF('SO2'!A:A,A374)&gt;0,COUNTIF(Kendaraan!A:A,A374))</f>
        <v>1</v>
      </c>
    </row>
    <row r="375" spans="1:9" x14ac:dyDescent="0.45">
      <c r="A375" s="4">
        <v>45784</v>
      </c>
      <c r="B375" t="s">
        <v>1229</v>
      </c>
      <c r="C375" t="s">
        <v>440</v>
      </c>
      <c r="D375" t="s">
        <v>875</v>
      </c>
      <c r="E375" t="s">
        <v>1567</v>
      </c>
      <c r="F375" t="s">
        <v>1568</v>
      </c>
      <c r="G375" t="s">
        <v>302</v>
      </c>
      <c r="H375">
        <v>24</v>
      </c>
      <c r="I375" t="b">
        <f>AND(COUNTIF(CO!A:A,A375)&gt;0,COUNTIF('O3'!A:A,A375)&gt;0,COUNTIF('PM10'!A:A,A375)&gt;0,COUNTIF('PM2.5'!A:A,A375)&gt;0,COUNTIF('SO2'!A:A,A375)&gt;0,COUNTIF(Kendaraan!A:A,A375))</f>
        <v>1</v>
      </c>
    </row>
    <row r="376" spans="1:9" x14ac:dyDescent="0.45">
      <c r="A376" s="4">
        <v>45785</v>
      </c>
      <c r="B376" t="s">
        <v>1444</v>
      </c>
      <c r="C376" t="s">
        <v>1227</v>
      </c>
      <c r="D376">
        <v>20</v>
      </c>
      <c r="E376" t="s">
        <v>1205</v>
      </c>
      <c r="F376" t="s">
        <v>1154</v>
      </c>
      <c r="G376" t="s">
        <v>122</v>
      </c>
      <c r="H376">
        <v>24</v>
      </c>
      <c r="I376" t="b">
        <f>AND(COUNTIF(CO!A:A,A376)&gt;0,COUNTIF('O3'!A:A,A376)&gt;0,COUNTIF('PM10'!A:A,A376)&gt;0,COUNTIF('PM2.5'!A:A,A376)&gt;0,COUNTIF('SO2'!A:A,A376)&gt;0,COUNTIF(Kendaraan!A:A,A376))</f>
        <v>1</v>
      </c>
    </row>
    <row r="377" spans="1:9" x14ac:dyDescent="0.45">
      <c r="A377" s="4">
        <v>45786</v>
      </c>
      <c r="B377" t="s">
        <v>613</v>
      </c>
      <c r="C377" t="s">
        <v>1569</v>
      </c>
      <c r="D377" t="s">
        <v>1203</v>
      </c>
      <c r="E377" t="s">
        <v>1224</v>
      </c>
      <c r="F377" t="s">
        <v>1570</v>
      </c>
      <c r="G377" t="s">
        <v>11</v>
      </c>
      <c r="H377">
        <v>24</v>
      </c>
      <c r="I377" t="b">
        <f>AND(COUNTIF(CO!A:A,A377)&gt;0,COUNTIF('O3'!A:A,A377)&gt;0,COUNTIF('PM10'!A:A,A377)&gt;0,COUNTIF('PM2.5'!A:A,A377)&gt;0,COUNTIF('SO2'!A:A,A377)&gt;0,COUNTIF(Kendaraan!A:A,A377))</f>
        <v>1</v>
      </c>
    </row>
    <row r="378" spans="1:9" x14ac:dyDescent="0.45">
      <c r="A378" s="4">
        <v>45787</v>
      </c>
      <c r="B378" t="s">
        <v>1569</v>
      </c>
      <c r="C378" t="s">
        <v>462</v>
      </c>
      <c r="D378" t="s">
        <v>1424</v>
      </c>
      <c r="E378" t="s">
        <v>437</v>
      </c>
      <c r="F378" t="s">
        <v>422</v>
      </c>
      <c r="G378" t="s">
        <v>1571</v>
      </c>
      <c r="H378">
        <v>24</v>
      </c>
      <c r="I378" t="b">
        <f>AND(COUNTIF(CO!A:A,A378)&gt;0,COUNTIF('O3'!A:A,A378)&gt;0,COUNTIF('PM10'!A:A,A378)&gt;0,COUNTIF('PM2.5'!A:A,A378)&gt;0,COUNTIF('SO2'!A:A,A378)&gt;0,COUNTIF(Kendaraan!A:A,A378))</f>
        <v>1</v>
      </c>
    </row>
    <row r="379" spans="1:9" x14ac:dyDescent="0.45">
      <c r="A379" s="4">
        <v>45788</v>
      </c>
      <c r="B379" t="s">
        <v>1372</v>
      </c>
      <c r="C379" t="s">
        <v>1572</v>
      </c>
      <c r="D379" t="s">
        <v>1573</v>
      </c>
      <c r="E379" t="s">
        <v>1574</v>
      </c>
      <c r="F379" t="s">
        <v>1575</v>
      </c>
      <c r="G379" s="1">
        <v>2994</v>
      </c>
      <c r="H379">
        <v>24</v>
      </c>
      <c r="I379" t="b">
        <f>AND(COUNTIF(CO!A:A,A379)&gt;0,COUNTIF('O3'!A:A,A379)&gt;0,COUNTIF('PM10'!A:A,A379)&gt;0,COUNTIF('PM2.5'!A:A,A379)&gt;0,COUNTIF('SO2'!A:A,A379)&gt;0,COUNTIF(Kendaraan!A:A,A379))</f>
        <v>1</v>
      </c>
    </row>
    <row r="380" spans="1:9" x14ac:dyDescent="0.45">
      <c r="A380" s="4">
        <v>45789</v>
      </c>
      <c r="B380" t="s">
        <v>1303</v>
      </c>
      <c r="C380" t="s">
        <v>1067</v>
      </c>
      <c r="D380" t="s">
        <v>1576</v>
      </c>
      <c r="E380" t="s">
        <v>1577</v>
      </c>
      <c r="F380" t="s">
        <v>1578</v>
      </c>
      <c r="G380" s="1">
        <v>1235</v>
      </c>
      <c r="H380">
        <v>24</v>
      </c>
      <c r="I380" t="b">
        <f>AND(COUNTIF(CO!A:A,A380)&gt;0,COUNTIF('O3'!A:A,A380)&gt;0,COUNTIF('PM10'!A:A,A380)&gt;0,COUNTIF('PM2.5'!A:A,A380)&gt;0,COUNTIF('SO2'!A:A,A380)&gt;0,COUNTIF(Kendaraan!A:A,A380))</f>
        <v>1</v>
      </c>
    </row>
    <row r="381" spans="1:9" x14ac:dyDescent="0.45">
      <c r="A381" s="4">
        <v>45790</v>
      </c>
      <c r="B381" t="s">
        <v>1303</v>
      </c>
      <c r="C381" t="s">
        <v>1401</v>
      </c>
      <c r="D381" t="s">
        <v>1579</v>
      </c>
      <c r="E381" t="s">
        <v>1303</v>
      </c>
      <c r="F381" t="s">
        <v>1161</v>
      </c>
      <c r="G381" s="1">
        <v>4038</v>
      </c>
      <c r="H381">
        <v>24</v>
      </c>
      <c r="I381" t="b">
        <f>AND(COUNTIF(CO!A:A,A381)&gt;0,COUNTIF('O3'!A:A,A381)&gt;0,COUNTIF('PM10'!A:A,A381)&gt;0,COUNTIF('PM2.5'!A:A,A381)&gt;0,COUNTIF('SO2'!A:A,A381)&gt;0,COUNTIF(Kendaraan!A:A,A381))</f>
        <v>1</v>
      </c>
    </row>
    <row r="382" spans="1:9" x14ac:dyDescent="0.45">
      <c r="A382" s="4">
        <v>45791</v>
      </c>
      <c r="B382" t="s">
        <v>1580</v>
      </c>
      <c r="C382" t="s">
        <v>435</v>
      </c>
      <c r="D382" t="s">
        <v>1581</v>
      </c>
      <c r="E382" t="s">
        <v>1582</v>
      </c>
      <c r="F382" t="s">
        <v>1583</v>
      </c>
      <c r="G382" s="1">
        <v>1037</v>
      </c>
      <c r="H382">
        <v>24</v>
      </c>
      <c r="I382" t="b">
        <f>AND(COUNTIF(CO!A:A,A382)&gt;0,COUNTIF('O3'!A:A,A382)&gt;0,COUNTIF('PM10'!A:A,A382)&gt;0,COUNTIF('PM2.5'!A:A,A382)&gt;0,COUNTIF('SO2'!A:A,A382)&gt;0,COUNTIF(Kendaraan!A:A,A382))</f>
        <v>1</v>
      </c>
    </row>
    <row r="383" spans="1:9" x14ac:dyDescent="0.45">
      <c r="A383" s="4">
        <v>45792</v>
      </c>
      <c r="B383" t="s">
        <v>1584</v>
      </c>
      <c r="C383" t="s">
        <v>1585</v>
      </c>
      <c r="D383" t="s">
        <v>1570</v>
      </c>
      <c r="E383" t="s">
        <v>1586</v>
      </c>
      <c r="F383" t="s">
        <v>1581</v>
      </c>
      <c r="G383" s="1">
        <v>1519</v>
      </c>
      <c r="H383">
        <v>23</v>
      </c>
      <c r="I383" t="b">
        <f>AND(COUNTIF(CO!A:A,A383)&gt;0,COUNTIF('O3'!A:A,A383)&gt;0,COUNTIF('PM10'!A:A,A383)&gt;0,COUNTIF('PM2.5'!A:A,A383)&gt;0,COUNTIF('SO2'!A:A,A383)&gt;0,COUNTIF(Kendaraan!A:A,A383))</f>
        <v>1</v>
      </c>
    </row>
    <row r="384" spans="1:9" x14ac:dyDescent="0.45">
      <c r="A384" s="4">
        <v>45793</v>
      </c>
      <c r="B384" t="s">
        <v>940</v>
      </c>
      <c r="C384" t="s">
        <v>1587</v>
      </c>
      <c r="D384" t="s">
        <v>1091</v>
      </c>
      <c r="E384" t="s">
        <v>1588</v>
      </c>
      <c r="F384" t="s">
        <v>1109</v>
      </c>
      <c r="G384" s="1">
        <v>1039</v>
      </c>
      <c r="H384">
        <v>24</v>
      </c>
      <c r="I384" t="b">
        <f>AND(COUNTIF(CO!A:A,A384)&gt;0,COUNTIF('O3'!A:A,A384)&gt;0,COUNTIF('PM10'!A:A,A384)&gt;0,COUNTIF('PM2.5'!A:A,A384)&gt;0,COUNTIF('SO2'!A:A,A384)&gt;0,COUNTIF(Kendaraan!A:A,A384))</f>
        <v>1</v>
      </c>
    </row>
    <row r="385" spans="1:9" x14ac:dyDescent="0.45">
      <c r="A385" s="4">
        <v>45794</v>
      </c>
      <c r="B385" t="s">
        <v>934</v>
      </c>
      <c r="C385" t="s">
        <v>1271</v>
      </c>
      <c r="D385" t="s">
        <v>1589</v>
      </c>
      <c r="E385" t="s">
        <v>1466</v>
      </c>
      <c r="F385" t="s">
        <v>1590</v>
      </c>
      <c r="G385" s="1">
        <v>1464</v>
      </c>
      <c r="H385">
        <v>24</v>
      </c>
      <c r="I385" t="b">
        <f>AND(COUNTIF(CO!A:A,A385)&gt;0,COUNTIF('O3'!A:A,A385)&gt;0,COUNTIF('PM10'!A:A,A385)&gt;0,COUNTIF('PM2.5'!A:A,A385)&gt;0,COUNTIF('SO2'!A:A,A385)&gt;0,COUNTIF(Kendaraan!A:A,A385))</f>
        <v>1</v>
      </c>
    </row>
    <row r="386" spans="1:9" x14ac:dyDescent="0.45">
      <c r="A386" s="4">
        <v>45795</v>
      </c>
      <c r="B386" t="s">
        <v>1591</v>
      </c>
      <c r="C386" t="s">
        <v>1156</v>
      </c>
      <c r="D386" t="s">
        <v>1592</v>
      </c>
      <c r="E386" t="s">
        <v>711</v>
      </c>
      <c r="F386" t="s">
        <v>1593</v>
      </c>
      <c r="G386" s="1">
        <v>3248</v>
      </c>
      <c r="H386">
        <v>24</v>
      </c>
      <c r="I386" t="b">
        <f>AND(COUNTIF(CO!A:A,A386)&gt;0,COUNTIF('O3'!A:A,A386)&gt;0,COUNTIF('PM10'!A:A,A386)&gt;0,COUNTIF('PM2.5'!A:A,A386)&gt;0,COUNTIF('SO2'!A:A,A386)&gt;0,COUNTIF(Kendaraan!A:A,A386))</f>
        <v>1</v>
      </c>
    </row>
    <row r="387" spans="1:9" x14ac:dyDescent="0.45">
      <c r="A387" s="4">
        <v>45796</v>
      </c>
      <c r="B387">
        <v>13</v>
      </c>
      <c r="C387">
        <v>55</v>
      </c>
      <c r="D387" t="s">
        <v>850</v>
      </c>
      <c r="E387" t="s">
        <v>1450</v>
      </c>
      <c r="F387" t="s">
        <v>1594</v>
      </c>
      <c r="G387" s="1">
        <v>13051</v>
      </c>
      <c r="H387">
        <v>24</v>
      </c>
      <c r="I387" t="b">
        <f>AND(COUNTIF(CO!A:A,A387)&gt;0,COUNTIF('O3'!A:A,A387)&gt;0,COUNTIF('PM10'!A:A,A387)&gt;0,COUNTIF('PM2.5'!A:A,A387)&gt;0,COUNTIF('SO2'!A:A,A387)&gt;0,COUNTIF(Kendaraan!A:A,A387))</f>
        <v>1</v>
      </c>
    </row>
    <row r="388" spans="1:9" x14ac:dyDescent="0.45">
      <c r="A388" s="4">
        <v>45797</v>
      </c>
      <c r="B388" t="s">
        <v>1595</v>
      </c>
      <c r="C388" t="s">
        <v>327</v>
      </c>
      <c r="D388" t="s">
        <v>1596</v>
      </c>
      <c r="E388" t="s">
        <v>1597</v>
      </c>
      <c r="F388" t="s">
        <v>1598</v>
      </c>
      <c r="G388" s="1">
        <v>7558</v>
      </c>
      <c r="H388">
        <v>24</v>
      </c>
      <c r="I388" t="b">
        <f>AND(COUNTIF(CO!A:A,A388)&gt;0,COUNTIF('O3'!A:A,A388)&gt;0,COUNTIF('PM10'!A:A,A388)&gt;0,COUNTIF('PM2.5'!A:A,A388)&gt;0,COUNTIF('SO2'!A:A,A388)&gt;0,COUNTIF(Kendaraan!A:A,A388))</f>
        <v>1</v>
      </c>
    </row>
    <row r="389" spans="1:9" x14ac:dyDescent="0.45">
      <c r="A389" s="4">
        <v>45798</v>
      </c>
      <c r="B389" t="s">
        <v>1599</v>
      </c>
      <c r="C389" t="s">
        <v>390</v>
      </c>
      <c r="D389" t="s">
        <v>1600</v>
      </c>
      <c r="E389" t="s">
        <v>1601</v>
      </c>
      <c r="F389" t="s">
        <v>1602</v>
      </c>
      <c r="G389" s="1">
        <v>4416</v>
      </c>
      <c r="H389">
        <v>24</v>
      </c>
      <c r="I389" t="b">
        <f>AND(COUNTIF(CO!A:A,A389)&gt;0,COUNTIF('O3'!A:A,A389)&gt;0,COUNTIF('PM10'!A:A,A389)&gt;0,COUNTIF('PM2.5'!A:A,A389)&gt;0,COUNTIF('SO2'!A:A,A389)&gt;0,COUNTIF(Kendaraan!A:A,A389))</f>
        <v>1</v>
      </c>
    </row>
    <row r="390" spans="1:9" x14ac:dyDescent="0.45">
      <c r="A390" s="4">
        <v>45799</v>
      </c>
      <c r="B390" t="s">
        <v>1603</v>
      </c>
      <c r="C390" t="s">
        <v>1604</v>
      </c>
      <c r="D390" t="s">
        <v>1605</v>
      </c>
      <c r="E390" t="s">
        <v>385</v>
      </c>
      <c r="F390" t="s">
        <v>376</v>
      </c>
      <c r="G390" s="1">
        <v>4865</v>
      </c>
      <c r="H390">
        <v>24</v>
      </c>
      <c r="I390" t="b">
        <f>AND(COUNTIF(CO!A:A,A390)&gt;0,COUNTIF('O3'!A:A,A390)&gt;0,COUNTIF('PM10'!A:A,A390)&gt;0,COUNTIF('PM2.5'!A:A,A390)&gt;0,COUNTIF('SO2'!A:A,A390)&gt;0,COUNTIF(Kendaraan!A:A,A390))</f>
        <v>1</v>
      </c>
    </row>
    <row r="391" spans="1:9" x14ac:dyDescent="0.45">
      <c r="A391" s="4">
        <v>45800</v>
      </c>
      <c r="B391" t="s">
        <v>372</v>
      </c>
      <c r="C391" t="s">
        <v>376</v>
      </c>
      <c r="D391" t="s">
        <v>319</v>
      </c>
      <c r="E391" t="s">
        <v>1606</v>
      </c>
      <c r="F391" t="s">
        <v>1607</v>
      </c>
      <c r="G391" t="s">
        <v>1608</v>
      </c>
      <c r="H391">
        <v>24</v>
      </c>
      <c r="I391" t="b">
        <f>AND(COUNTIF(CO!A:A,A391)&gt;0,COUNTIF('O3'!A:A,A391)&gt;0,COUNTIF('PM10'!A:A,A391)&gt;0,COUNTIF('PM2.5'!A:A,A391)&gt;0,COUNTIF('SO2'!A:A,A391)&gt;0,COUNTIF(Kendaraan!A:A,A391))</f>
        <v>1</v>
      </c>
    </row>
    <row r="392" spans="1:9" x14ac:dyDescent="0.45">
      <c r="A392" s="4">
        <v>45801</v>
      </c>
      <c r="B392" t="s">
        <v>1609</v>
      </c>
      <c r="C392" t="s">
        <v>306</v>
      </c>
      <c r="D392" t="s">
        <v>1610</v>
      </c>
      <c r="E392" t="s">
        <v>1611</v>
      </c>
      <c r="F392" t="s">
        <v>388</v>
      </c>
      <c r="G392" t="s">
        <v>265</v>
      </c>
      <c r="H392">
        <v>24</v>
      </c>
      <c r="I392" t="b">
        <f>AND(COUNTIF(CO!A:A,A392)&gt;0,COUNTIF('O3'!A:A,A392)&gt;0,COUNTIF('PM10'!A:A,A392)&gt;0,COUNTIF('PM2.5'!A:A,A392)&gt;0,COUNTIF('SO2'!A:A,A392)&gt;0,COUNTIF(Kendaraan!A:A,A392))</f>
        <v>1</v>
      </c>
    </row>
    <row r="393" spans="1:9" x14ac:dyDescent="0.45">
      <c r="A393" s="4">
        <v>45802</v>
      </c>
      <c r="B393" t="s">
        <v>1612</v>
      </c>
      <c r="C393" t="s">
        <v>1613</v>
      </c>
      <c r="D393" t="s">
        <v>1614</v>
      </c>
      <c r="E393" t="s">
        <v>322</v>
      </c>
      <c r="F393" t="s">
        <v>1615</v>
      </c>
      <c r="G393" t="s">
        <v>1616</v>
      </c>
      <c r="H393">
        <v>24</v>
      </c>
      <c r="I393" t="b">
        <f>AND(COUNTIF(CO!A:A,A393)&gt;0,COUNTIF('O3'!A:A,A393)&gt;0,COUNTIF('PM10'!A:A,A393)&gt;0,COUNTIF('PM2.5'!A:A,A393)&gt;0,COUNTIF('SO2'!A:A,A393)&gt;0,COUNTIF(Kendaraan!A:A,A393))</f>
        <v>1</v>
      </c>
    </row>
    <row r="394" spans="1:9" x14ac:dyDescent="0.45">
      <c r="A394" s="4">
        <v>45803</v>
      </c>
      <c r="B394" t="s">
        <v>1617</v>
      </c>
      <c r="C394" t="s">
        <v>1618</v>
      </c>
      <c r="D394" t="s">
        <v>1619</v>
      </c>
      <c r="E394" t="s">
        <v>1620</v>
      </c>
      <c r="F394" t="s">
        <v>1621</v>
      </c>
      <c r="G394" s="1">
        <v>17749</v>
      </c>
      <c r="H394">
        <v>24</v>
      </c>
      <c r="I394" t="b">
        <f>AND(COUNTIF(CO!A:A,A394)&gt;0,COUNTIF('O3'!A:A,A394)&gt;0,COUNTIF('PM10'!A:A,A394)&gt;0,COUNTIF('PM2.5'!A:A,A394)&gt;0,COUNTIF('SO2'!A:A,A394)&gt;0,COUNTIF(Kendaraan!A:A,A394))</f>
        <v>1</v>
      </c>
    </row>
    <row r="395" spans="1:9" x14ac:dyDescent="0.45">
      <c r="A395" s="4">
        <v>45804</v>
      </c>
      <c r="B395" t="s">
        <v>1622</v>
      </c>
      <c r="C395" t="s">
        <v>898</v>
      </c>
      <c r="D395" t="s">
        <v>442</v>
      </c>
      <c r="E395" t="s">
        <v>867</v>
      </c>
      <c r="F395" t="s">
        <v>1623</v>
      </c>
      <c r="G395" t="s">
        <v>1624</v>
      </c>
      <c r="H395">
        <v>24</v>
      </c>
      <c r="I395" t="b">
        <f>AND(COUNTIF(CO!A:A,A395)&gt;0,COUNTIF('O3'!A:A,A395)&gt;0,COUNTIF('PM10'!A:A,A395)&gt;0,COUNTIF('PM2.5'!A:A,A395)&gt;0,COUNTIF('SO2'!A:A,A395)&gt;0,COUNTIF(Kendaraan!A:A,A395))</f>
        <v>1</v>
      </c>
    </row>
    <row r="396" spans="1:9" x14ac:dyDescent="0.45">
      <c r="A396" s="4">
        <v>45805</v>
      </c>
      <c r="B396" t="s">
        <v>1435</v>
      </c>
      <c r="C396">
        <v>25</v>
      </c>
      <c r="D396" t="s">
        <v>1490</v>
      </c>
      <c r="E396" t="s">
        <v>444</v>
      </c>
      <c r="F396" t="s">
        <v>1625</v>
      </c>
      <c r="G396" s="1">
        <v>1182</v>
      </c>
      <c r="H396">
        <v>24</v>
      </c>
      <c r="I396" t="b">
        <f>AND(COUNTIF(CO!A:A,A396)&gt;0,COUNTIF('O3'!A:A,A396)&gt;0,COUNTIF('PM10'!A:A,A396)&gt;0,COUNTIF('PM2.5'!A:A,A396)&gt;0,COUNTIF('SO2'!A:A,A396)&gt;0,COUNTIF(Kendaraan!A:A,A396))</f>
        <v>1</v>
      </c>
    </row>
    <row r="397" spans="1:9" x14ac:dyDescent="0.45">
      <c r="A397" s="4">
        <v>45806</v>
      </c>
      <c r="B397" t="s">
        <v>1626</v>
      </c>
      <c r="C397" t="s">
        <v>1627</v>
      </c>
      <c r="D397" t="s">
        <v>1628</v>
      </c>
      <c r="E397" t="s">
        <v>1629</v>
      </c>
      <c r="F397" t="s">
        <v>1630</v>
      </c>
      <c r="G397" t="s">
        <v>1631</v>
      </c>
      <c r="H397">
        <v>24</v>
      </c>
      <c r="I397" t="b">
        <f>AND(COUNTIF(CO!A:A,A397)&gt;0,COUNTIF('O3'!A:A,A397)&gt;0,COUNTIF('PM10'!A:A,A397)&gt;0,COUNTIF('PM2.5'!A:A,A397)&gt;0,COUNTIF('SO2'!A:A,A397)&gt;0,COUNTIF(Kendaraan!A:A,A397))</f>
        <v>1</v>
      </c>
    </row>
    <row r="398" spans="1:9" x14ac:dyDescent="0.45">
      <c r="A398" s="4">
        <v>45807</v>
      </c>
      <c r="B398" t="s">
        <v>1632</v>
      </c>
      <c r="C398" t="s">
        <v>1101</v>
      </c>
      <c r="D398" t="s">
        <v>1116</v>
      </c>
      <c r="E398" t="s">
        <v>1067</v>
      </c>
      <c r="F398" t="s">
        <v>1499</v>
      </c>
      <c r="G398" t="s">
        <v>61</v>
      </c>
      <c r="H398">
        <v>24</v>
      </c>
      <c r="I398" t="b">
        <f>AND(COUNTIF(CO!A:A,A398)&gt;0,COUNTIF('O3'!A:A,A398)&gt;0,COUNTIF('PM10'!A:A,A398)&gt;0,COUNTIF('PM2.5'!A:A,A398)&gt;0,COUNTIF('SO2'!A:A,A398)&gt;0,COUNTIF(Kendaraan!A:A,A398))</f>
        <v>1</v>
      </c>
    </row>
    <row r="399" spans="1:9" x14ac:dyDescent="0.45">
      <c r="A399" s="4">
        <v>45808</v>
      </c>
      <c r="B399" t="s">
        <v>1633</v>
      </c>
      <c r="C399" t="s">
        <v>1128</v>
      </c>
      <c r="D399" t="s">
        <v>356</v>
      </c>
      <c r="E399" t="s">
        <v>1634</v>
      </c>
      <c r="F399" t="s">
        <v>1635</v>
      </c>
      <c r="G399" s="1">
        <v>2674</v>
      </c>
      <c r="H399">
        <v>24</v>
      </c>
      <c r="I399" t="b">
        <f>AND(COUNTIF(CO!A:A,A399)&gt;0,COUNTIF('O3'!A:A,A399)&gt;0,COUNTIF('PM10'!A:A,A399)&gt;0,COUNTIF('PM2.5'!A:A,A399)&gt;0,COUNTIF('SO2'!A:A,A399)&gt;0,COUNTIF(Kendaraan!A:A,A399))</f>
        <v>1</v>
      </c>
    </row>
    <row r="400" spans="1:9" x14ac:dyDescent="0.45">
      <c r="A400" s="4">
        <v>45809</v>
      </c>
      <c r="B400" t="s">
        <v>25</v>
      </c>
      <c r="C400" t="s">
        <v>1633</v>
      </c>
      <c r="D400" t="s">
        <v>1633</v>
      </c>
      <c r="E400" t="s">
        <v>1636</v>
      </c>
      <c r="F400" t="s">
        <v>1633</v>
      </c>
      <c r="G400" s="1">
        <v>2638</v>
      </c>
      <c r="H400">
        <v>23</v>
      </c>
      <c r="I400" t="b">
        <f>AND(COUNTIF(CO!A:A,A400)&gt;0,COUNTIF('O3'!A:A,A400)&gt;0,COUNTIF('PM10'!A:A,A400)&gt;0,COUNTIF('PM2.5'!A:A,A400)&gt;0,COUNTIF('SO2'!A:A,A400)&gt;0,COUNTIF(Kendaraan!A:A,A400))</f>
        <v>1</v>
      </c>
    </row>
    <row r="401" spans="1:9" x14ac:dyDescent="0.45">
      <c r="A401" s="4">
        <v>45810</v>
      </c>
      <c r="B401" t="s">
        <v>41</v>
      </c>
      <c r="C401" t="s">
        <v>1370</v>
      </c>
      <c r="D401" t="s">
        <v>736</v>
      </c>
      <c r="E401" t="s">
        <v>1637</v>
      </c>
      <c r="F401" t="s">
        <v>1638</v>
      </c>
      <c r="G401" s="1">
        <v>4103</v>
      </c>
      <c r="H401">
        <v>24</v>
      </c>
      <c r="I401" t="b">
        <f>AND(COUNTIF(CO!A:A,A401)&gt;0,COUNTIF('O3'!A:A,A401)&gt;0,COUNTIF('PM10'!A:A,A401)&gt;0,COUNTIF('PM2.5'!A:A,A401)&gt;0,COUNTIF('SO2'!A:A,A401)&gt;0,COUNTIF(Kendaraan!A:A,A401))</f>
        <v>1</v>
      </c>
    </row>
    <row r="402" spans="1:9" x14ac:dyDescent="0.45">
      <c r="A402" s="4">
        <v>45811</v>
      </c>
      <c r="B402" t="s">
        <v>1639</v>
      </c>
      <c r="C402" t="s">
        <v>1211</v>
      </c>
      <c r="D402" t="s">
        <v>1640</v>
      </c>
      <c r="E402" t="s">
        <v>1370</v>
      </c>
      <c r="F402" t="s">
        <v>1182</v>
      </c>
      <c r="G402" s="1">
        <v>1954</v>
      </c>
      <c r="H402">
        <v>24</v>
      </c>
      <c r="I402" t="b">
        <f>AND(COUNTIF(CO!A:A,A402)&gt;0,COUNTIF('O3'!A:A,A402)&gt;0,COUNTIF('PM10'!A:A,A402)&gt;0,COUNTIF('PM2.5'!A:A,A402)&gt;0,COUNTIF('SO2'!A:A,A402)&gt;0,COUNTIF(Kendaraan!A:A,A402))</f>
        <v>1</v>
      </c>
    </row>
    <row r="403" spans="1:9" x14ac:dyDescent="0.45">
      <c r="A403" s="4">
        <v>45812</v>
      </c>
      <c r="B403" t="s">
        <v>938</v>
      </c>
      <c r="C403" t="s">
        <v>926</v>
      </c>
      <c r="D403" t="s">
        <v>1641</v>
      </c>
      <c r="E403" t="s">
        <v>1642</v>
      </c>
      <c r="F403" t="s">
        <v>1643</v>
      </c>
      <c r="G403" s="1">
        <v>3029</v>
      </c>
      <c r="H403">
        <v>24</v>
      </c>
      <c r="I403" t="b">
        <f>AND(COUNTIF(CO!A:A,A403)&gt;0,COUNTIF('O3'!A:A,A403)&gt;0,COUNTIF('PM10'!A:A,A403)&gt;0,COUNTIF('PM2.5'!A:A,A403)&gt;0,COUNTIF('SO2'!A:A,A403)&gt;0,COUNTIF(Kendaraan!A:A,A403))</f>
        <v>1</v>
      </c>
    </row>
    <row r="404" spans="1:9" x14ac:dyDescent="0.45">
      <c r="A404" s="4">
        <v>45813</v>
      </c>
      <c r="B404" t="s">
        <v>1294</v>
      </c>
      <c r="C404" t="s">
        <v>1644</v>
      </c>
      <c r="D404" t="s">
        <v>1645</v>
      </c>
      <c r="E404" t="s">
        <v>1646</v>
      </c>
      <c r="F404" t="s">
        <v>1458</v>
      </c>
      <c r="G404" s="1">
        <v>2645</v>
      </c>
      <c r="H404">
        <v>24</v>
      </c>
      <c r="I404" t="b">
        <f>AND(COUNTIF(CO!A:A,A404)&gt;0,COUNTIF('O3'!A:A,A404)&gt;0,COUNTIF('PM10'!A:A,A404)&gt;0,COUNTIF('PM2.5'!A:A,A404)&gt;0,COUNTIF('SO2'!A:A,A404)&gt;0,COUNTIF(Kendaraan!A:A,A404))</f>
        <v>1</v>
      </c>
    </row>
    <row r="405" spans="1:9" x14ac:dyDescent="0.45">
      <c r="A405" s="4">
        <v>45814</v>
      </c>
      <c r="B405" t="s">
        <v>1055</v>
      </c>
      <c r="C405" t="s">
        <v>1150</v>
      </c>
      <c r="D405" t="s">
        <v>1647</v>
      </c>
      <c r="E405" t="s">
        <v>1648</v>
      </c>
      <c r="F405" t="s">
        <v>1374</v>
      </c>
      <c r="G405" s="1">
        <v>2178</v>
      </c>
      <c r="H405">
        <v>24</v>
      </c>
      <c r="I405" t="b">
        <f>AND(COUNTIF(CO!A:A,A405)&gt;0,COUNTIF('O3'!A:A,A405)&gt;0,COUNTIF('PM10'!A:A,A405)&gt;0,COUNTIF('PM2.5'!A:A,A405)&gt;0,COUNTIF('SO2'!A:A,A405)&gt;0,COUNTIF(Kendaraan!A:A,A405))</f>
        <v>1</v>
      </c>
    </row>
    <row r="406" spans="1:9" x14ac:dyDescent="0.45">
      <c r="A406" s="4">
        <v>45815</v>
      </c>
      <c r="B406" t="s">
        <v>1649</v>
      </c>
      <c r="C406" t="s">
        <v>1650</v>
      </c>
      <c r="D406" t="s">
        <v>1199</v>
      </c>
      <c r="E406" t="s">
        <v>1651</v>
      </c>
      <c r="F406" t="s">
        <v>1482</v>
      </c>
      <c r="G406" s="1">
        <v>2439</v>
      </c>
      <c r="H406">
        <v>24</v>
      </c>
      <c r="I406" t="b">
        <f>AND(COUNTIF(CO!A:A,A406)&gt;0,COUNTIF('O3'!A:A,A406)&gt;0,COUNTIF('PM10'!A:A,A406)&gt;0,COUNTIF('PM2.5'!A:A,A406)&gt;0,COUNTIF('SO2'!A:A,A406)&gt;0,COUNTIF(Kendaraan!A:A,A406))</f>
        <v>1</v>
      </c>
    </row>
    <row r="407" spans="1:9" x14ac:dyDescent="0.45">
      <c r="A407" s="4">
        <v>45816</v>
      </c>
      <c r="B407" t="s">
        <v>1652</v>
      </c>
      <c r="C407">
        <v>19</v>
      </c>
      <c r="D407" t="s">
        <v>1653</v>
      </c>
      <c r="E407" t="s">
        <v>1654</v>
      </c>
      <c r="F407" t="s">
        <v>1655</v>
      </c>
      <c r="G407" s="1">
        <v>4352</v>
      </c>
      <c r="H407">
        <v>24</v>
      </c>
      <c r="I407" t="b">
        <f>AND(COUNTIF(CO!A:A,A407)&gt;0,COUNTIF('O3'!A:A,A407)&gt;0,COUNTIF('PM10'!A:A,A407)&gt;0,COUNTIF('PM2.5'!A:A,A407)&gt;0,COUNTIF('SO2'!A:A,A407)&gt;0,COUNTIF(Kendaraan!A:A,A407))</f>
        <v>1</v>
      </c>
    </row>
    <row r="408" spans="1:9" x14ac:dyDescent="0.45">
      <c r="A408" s="4">
        <v>45817</v>
      </c>
      <c r="B408" t="s">
        <v>1656</v>
      </c>
      <c r="C408" t="s">
        <v>1657</v>
      </c>
      <c r="D408" t="s">
        <v>702</v>
      </c>
      <c r="E408" t="s">
        <v>1658</v>
      </c>
      <c r="F408" t="s">
        <v>1659</v>
      </c>
      <c r="G408" s="1">
        <v>2816</v>
      </c>
      <c r="H408">
        <v>24</v>
      </c>
      <c r="I408" t="b">
        <f>AND(COUNTIF(CO!A:A,A408)&gt;0,COUNTIF('O3'!A:A,A408)&gt;0,COUNTIF('PM10'!A:A,A408)&gt;0,COUNTIF('PM2.5'!A:A,A408)&gt;0,COUNTIF('SO2'!A:A,A408)&gt;0,COUNTIF(Kendaraan!A:A,A408))</f>
        <v>1</v>
      </c>
    </row>
    <row r="409" spans="1:9" x14ac:dyDescent="0.45">
      <c r="A409" s="4">
        <v>45818</v>
      </c>
      <c r="B409" t="s">
        <v>1660</v>
      </c>
      <c r="C409" t="s">
        <v>1202</v>
      </c>
      <c r="D409" t="s">
        <v>1461</v>
      </c>
      <c r="E409" t="s">
        <v>1661</v>
      </c>
      <c r="F409" t="s">
        <v>1161</v>
      </c>
      <c r="G409" s="1">
        <v>1672</v>
      </c>
      <c r="H409">
        <v>24</v>
      </c>
      <c r="I409" t="b">
        <f>AND(COUNTIF(CO!A:A,A409)&gt;0,COUNTIF('O3'!A:A,A409)&gt;0,COUNTIF('PM10'!A:A,A409)&gt;0,COUNTIF('PM2.5'!A:A,A409)&gt;0,COUNTIF('SO2'!A:A,A409)&gt;0,COUNTIF(Kendaraan!A:A,A409))</f>
        <v>1</v>
      </c>
    </row>
    <row r="410" spans="1:9" x14ac:dyDescent="0.45">
      <c r="A410" s="4">
        <v>45819</v>
      </c>
      <c r="B410" t="s">
        <v>718</v>
      </c>
      <c r="C410" t="s">
        <v>1449</v>
      </c>
      <c r="D410" t="s">
        <v>1662</v>
      </c>
      <c r="E410" t="s">
        <v>1663</v>
      </c>
      <c r="F410" t="s">
        <v>1664</v>
      </c>
      <c r="G410" s="1">
        <v>3471</v>
      </c>
      <c r="H410">
        <v>24</v>
      </c>
      <c r="I410" t="b">
        <f>AND(COUNTIF(CO!A:A,A410)&gt;0,COUNTIF('O3'!A:A,A410)&gt;0,COUNTIF('PM10'!A:A,A410)&gt;0,COUNTIF('PM2.5'!A:A,A410)&gt;0,COUNTIF('SO2'!A:A,A410)&gt;0,COUNTIF(Kendaraan!A:A,A410))</f>
        <v>1</v>
      </c>
    </row>
    <row r="411" spans="1:9" x14ac:dyDescent="0.45">
      <c r="A411" s="4">
        <v>45820</v>
      </c>
      <c r="B411" t="s">
        <v>710</v>
      </c>
      <c r="C411" t="s">
        <v>726</v>
      </c>
      <c r="D411" t="s">
        <v>708</v>
      </c>
      <c r="E411" t="s">
        <v>708</v>
      </c>
      <c r="F411" t="s">
        <v>718</v>
      </c>
      <c r="G411" t="s">
        <v>63</v>
      </c>
      <c r="H411">
        <v>24</v>
      </c>
      <c r="I411" t="b">
        <f>AND(COUNTIF(CO!A:A,A411)&gt;0,COUNTIF('O3'!A:A,A411)&gt;0,COUNTIF('PM10'!A:A,A411)&gt;0,COUNTIF('PM2.5'!A:A,A411)&gt;0,COUNTIF('SO2'!A:A,A411)&gt;0,COUNTIF(Kendaraan!A:A,A411))</f>
        <v>1</v>
      </c>
    </row>
    <row r="412" spans="1:9" x14ac:dyDescent="0.45">
      <c r="A412" s="4">
        <v>45821</v>
      </c>
      <c r="B412" t="s">
        <v>41</v>
      </c>
      <c r="C412" t="s">
        <v>952</v>
      </c>
      <c r="D412" t="s">
        <v>1665</v>
      </c>
      <c r="E412" t="s">
        <v>1666</v>
      </c>
      <c r="F412" t="s">
        <v>1667</v>
      </c>
      <c r="G412" s="1">
        <v>2721</v>
      </c>
      <c r="H412">
        <v>23</v>
      </c>
      <c r="I412" t="b">
        <f>AND(COUNTIF(CO!A:A,A412)&gt;0,COUNTIF('O3'!A:A,A412)&gt;0,COUNTIF('PM10'!A:A,A412)&gt;0,COUNTIF('PM2.5'!A:A,A412)&gt;0,COUNTIF('SO2'!A:A,A412)&gt;0,COUNTIF(Kendaraan!A:A,A412))</f>
        <v>1</v>
      </c>
    </row>
    <row r="413" spans="1:9" x14ac:dyDescent="0.45">
      <c r="A413" s="4">
        <v>45822</v>
      </c>
      <c r="B413" t="s">
        <v>716</v>
      </c>
      <c r="C413" t="s">
        <v>1207</v>
      </c>
      <c r="D413" t="s">
        <v>1495</v>
      </c>
      <c r="E413" t="s">
        <v>1668</v>
      </c>
      <c r="F413" t="s">
        <v>1315</v>
      </c>
      <c r="G413" t="s">
        <v>1669</v>
      </c>
      <c r="H413">
        <v>24</v>
      </c>
      <c r="I413" t="b">
        <f>AND(COUNTIF(CO!A:A,A413)&gt;0,COUNTIF('O3'!A:A,A413)&gt;0,COUNTIF('PM10'!A:A,A413)&gt;0,COUNTIF('PM2.5'!A:A,A413)&gt;0,COUNTIF('SO2'!A:A,A413)&gt;0,COUNTIF(Kendaraan!A:A,A413))</f>
        <v>1</v>
      </c>
    </row>
    <row r="414" spans="1:9" x14ac:dyDescent="0.45">
      <c r="A414" s="4">
        <v>45823</v>
      </c>
      <c r="B414" t="s">
        <v>925</v>
      </c>
      <c r="C414" t="s">
        <v>341</v>
      </c>
      <c r="D414" t="s">
        <v>728</v>
      </c>
      <c r="E414" t="s">
        <v>711</v>
      </c>
      <c r="F414" t="s">
        <v>1640</v>
      </c>
      <c r="G414" s="1">
        <v>3279</v>
      </c>
      <c r="H414">
        <v>24</v>
      </c>
      <c r="I414" t="b">
        <f>AND(COUNTIF(CO!A:A,A414)&gt;0,COUNTIF('O3'!A:A,A414)&gt;0,COUNTIF('PM10'!A:A,A414)&gt;0,COUNTIF('PM2.5'!A:A,A414)&gt;0,COUNTIF('SO2'!A:A,A414)&gt;0,COUNTIF(Kendaraan!A:A,A414))</f>
        <v>1</v>
      </c>
    </row>
    <row r="415" spans="1:9" x14ac:dyDescent="0.45">
      <c r="A415" s="4">
        <v>45824</v>
      </c>
      <c r="B415">
        <v>13</v>
      </c>
      <c r="C415">
        <v>23</v>
      </c>
      <c r="D415" t="s">
        <v>616</v>
      </c>
      <c r="E415" t="s">
        <v>1064</v>
      </c>
      <c r="F415" t="s">
        <v>1670</v>
      </c>
      <c r="G415" s="1">
        <v>2846</v>
      </c>
      <c r="H415">
        <v>24</v>
      </c>
      <c r="I415" t="b">
        <f>AND(COUNTIF(CO!A:A,A415)&gt;0,COUNTIF('O3'!A:A,A415)&gt;0,COUNTIF('PM10'!A:A,A415)&gt;0,COUNTIF('PM2.5'!A:A,A415)&gt;0,COUNTIF('SO2'!A:A,A415)&gt;0,COUNTIF(Kendaraan!A:A,A415))</f>
        <v>1</v>
      </c>
    </row>
    <row r="416" spans="1:9" x14ac:dyDescent="0.45">
      <c r="A416" s="4">
        <v>45826</v>
      </c>
      <c r="B416" t="s">
        <v>1673</v>
      </c>
      <c r="C416" t="s">
        <v>1282</v>
      </c>
      <c r="D416" t="s">
        <v>1674</v>
      </c>
      <c r="E416" t="s">
        <v>1675</v>
      </c>
      <c r="F416" t="s">
        <v>1676</v>
      </c>
      <c r="G416" t="s">
        <v>1677</v>
      </c>
      <c r="H416">
        <v>22</v>
      </c>
      <c r="I416" t="b">
        <f>AND(COUNTIF(CO!A:A,A416)&gt;0,COUNTIF('O3'!A:A,A416)&gt;0,COUNTIF('PM10'!A:A,A416)&gt;0,COUNTIF('PM2.5'!A:A,A416)&gt;0,COUNTIF('SO2'!A:A,A416)&gt;0,COUNTIF(Kendaraan!A:A,A416))</f>
        <v>1</v>
      </c>
    </row>
    <row r="417" spans="1:9" x14ac:dyDescent="0.45">
      <c r="A417" s="4">
        <v>45827</v>
      </c>
      <c r="B417" t="s">
        <v>1652</v>
      </c>
      <c r="C417" t="s">
        <v>946</v>
      </c>
      <c r="D417" t="s">
        <v>1678</v>
      </c>
      <c r="E417" t="s">
        <v>1679</v>
      </c>
      <c r="F417" t="s">
        <v>347</v>
      </c>
      <c r="G417" s="1">
        <v>1805</v>
      </c>
      <c r="H417">
        <v>24</v>
      </c>
      <c r="I417" t="b">
        <f>AND(COUNTIF(CO!A:A,A417)&gt;0,COUNTIF('O3'!A:A,A417)&gt;0,COUNTIF('PM10'!A:A,A417)&gt;0,COUNTIF('PM2.5'!A:A,A417)&gt;0,COUNTIF('SO2'!A:A,A417)&gt;0,COUNTIF(Kendaraan!A:A,A417))</f>
        <v>1</v>
      </c>
    </row>
    <row r="418" spans="1:9" x14ac:dyDescent="0.45">
      <c r="A418" s="4">
        <v>45828</v>
      </c>
      <c r="B418" t="s">
        <v>1652</v>
      </c>
      <c r="C418">
        <v>9</v>
      </c>
      <c r="D418" t="s">
        <v>1680</v>
      </c>
      <c r="E418" t="s">
        <v>1652</v>
      </c>
      <c r="F418" t="s">
        <v>1658</v>
      </c>
      <c r="G418" s="1">
        <v>1524</v>
      </c>
      <c r="H418">
        <v>24</v>
      </c>
      <c r="I418" t="b">
        <f>AND(COUNTIF(CO!A:A,A418)&gt;0,COUNTIF('O3'!A:A,A418)&gt;0,COUNTIF('PM10'!A:A,A418)&gt;0,COUNTIF('PM2.5'!A:A,A418)&gt;0,COUNTIF('SO2'!A:A,A418)&gt;0,COUNTIF(Kendaraan!A:A,A418))</f>
        <v>1</v>
      </c>
    </row>
    <row r="419" spans="1:9" x14ac:dyDescent="0.45">
      <c r="A419" s="4">
        <v>45829</v>
      </c>
      <c r="B419" t="s">
        <v>1652</v>
      </c>
      <c r="C419" t="s">
        <v>1681</v>
      </c>
      <c r="D419" t="s">
        <v>1682</v>
      </c>
      <c r="E419" t="s">
        <v>1680</v>
      </c>
      <c r="F419" t="s">
        <v>1683</v>
      </c>
      <c r="G419" s="1">
        <v>1299</v>
      </c>
      <c r="H419">
        <v>24</v>
      </c>
      <c r="I419" t="b">
        <f>AND(COUNTIF(CO!A:A,A419)&gt;0,COUNTIF('O3'!A:A,A419)&gt;0,COUNTIF('PM10'!A:A,A419)&gt;0,COUNTIF('PM2.5'!A:A,A419)&gt;0,COUNTIF('SO2'!A:A,A419)&gt;0,COUNTIF(Kendaraan!A:A,A419))</f>
        <v>1</v>
      </c>
    </row>
    <row r="420" spans="1:9" x14ac:dyDescent="0.45">
      <c r="A420" s="4">
        <v>45830</v>
      </c>
      <c r="B420" t="s">
        <v>1684</v>
      </c>
      <c r="C420" t="s">
        <v>720</v>
      </c>
      <c r="D420" t="s">
        <v>346</v>
      </c>
      <c r="E420" t="s">
        <v>1591</v>
      </c>
      <c r="F420" t="s">
        <v>720</v>
      </c>
      <c r="G420" s="1">
        <v>1384</v>
      </c>
      <c r="H420">
        <v>24</v>
      </c>
      <c r="I420" t="b">
        <f>AND(COUNTIF(CO!A:A,A420)&gt;0,COUNTIF('O3'!A:A,A420)&gt;0,COUNTIF('PM10'!A:A,A420)&gt;0,COUNTIF('PM2.5'!A:A,A420)&gt;0,COUNTIF('SO2'!A:A,A420)&gt;0,COUNTIF(Kendaraan!A:A,A420))</f>
        <v>1</v>
      </c>
    </row>
    <row r="421" spans="1:9" x14ac:dyDescent="0.45">
      <c r="A421" s="4">
        <v>45831</v>
      </c>
      <c r="B421" t="s">
        <v>1652</v>
      </c>
      <c r="C421" t="s">
        <v>708</v>
      </c>
      <c r="D421" t="s">
        <v>954</v>
      </c>
      <c r="E421" t="s">
        <v>358</v>
      </c>
      <c r="F421" t="s">
        <v>708</v>
      </c>
      <c r="G421" s="1">
        <v>1677</v>
      </c>
      <c r="H421">
        <v>24</v>
      </c>
      <c r="I421" t="b">
        <f>AND(COUNTIF(CO!A:A,A421)&gt;0,COUNTIF('O3'!A:A,A421)&gt;0,COUNTIF('PM10'!A:A,A421)&gt;0,COUNTIF('PM2.5'!A:A,A421)&gt;0,COUNTIF('SO2'!A:A,A421)&gt;0,COUNTIF(Kendaraan!A:A,A421))</f>
        <v>1</v>
      </c>
    </row>
    <row r="422" spans="1:9" x14ac:dyDescent="0.45">
      <c r="A422" s="4">
        <v>45832</v>
      </c>
      <c r="B422" t="s">
        <v>1652</v>
      </c>
      <c r="C422" t="s">
        <v>1652</v>
      </c>
      <c r="D422" t="s">
        <v>1652</v>
      </c>
      <c r="E422" t="s">
        <v>1652</v>
      </c>
      <c r="F422" t="s">
        <v>1652</v>
      </c>
      <c r="G422">
        <v>0</v>
      </c>
      <c r="H422">
        <v>24</v>
      </c>
      <c r="I422" t="b">
        <f>AND(COUNTIF(CO!A:A,A422)&gt;0,COUNTIF('O3'!A:A,A422)&gt;0,COUNTIF('PM10'!A:A,A422)&gt;0,COUNTIF('PM2.5'!A:A,A422)&gt;0,COUNTIF('SO2'!A:A,A422)&gt;0,COUNTIF(Kendaraan!A:A,A422))</f>
        <v>1</v>
      </c>
    </row>
    <row r="423" spans="1:9" x14ac:dyDescent="0.45">
      <c r="A423" s="4">
        <v>45833</v>
      </c>
      <c r="B423" t="s">
        <v>1652</v>
      </c>
      <c r="C423" t="s">
        <v>720</v>
      </c>
      <c r="D423" t="s">
        <v>1685</v>
      </c>
      <c r="E423" t="s">
        <v>1652</v>
      </c>
      <c r="F423" t="s">
        <v>1686</v>
      </c>
      <c r="G423" s="1">
        <v>1687</v>
      </c>
      <c r="H423">
        <v>24</v>
      </c>
      <c r="I423" t="b">
        <f>AND(COUNTIF(CO!A:A,A423)&gt;0,COUNTIF('O3'!A:A,A423)&gt;0,COUNTIF('PM10'!A:A,A423)&gt;0,COUNTIF('PM2.5'!A:A,A423)&gt;0,COUNTIF('SO2'!A:A,A423)&gt;0,COUNTIF(Kendaraan!A:A,A423))</f>
        <v>1</v>
      </c>
    </row>
    <row r="424" spans="1:9" x14ac:dyDescent="0.45">
      <c r="A424" s="4">
        <v>45834</v>
      </c>
      <c r="B424" t="s">
        <v>720</v>
      </c>
      <c r="C424" t="s">
        <v>720</v>
      </c>
      <c r="D424" t="s">
        <v>720</v>
      </c>
      <c r="E424" t="s">
        <v>720</v>
      </c>
      <c r="F424" t="s">
        <v>720</v>
      </c>
      <c r="G424">
        <v>0</v>
      </c>
      <c r="H424">
        <v>12</v>
      </c>
      <c r="I424" t="b">
        <f>AND(COUNTIF(CO!A:A,A424)&gt;0,COUNTIF('O3'!A:A,A424)&gt;0,COUNTIF('PM10'!A:A,A424)&gt;0,COUNTIF('PM2.5'!A:A,A424)&gt;0,COUNTIF('SO2'!A:A,A424)&gt;0,COUNTIF(Kendaraan!A:A,A424))</f>
        <v>1</v>
      </c>
    </row>
    <row r="425" spans="1:9" x14ac:dyDescent="0.45">
      <c r="A425" s="4">
        <v>45838</v>
      </c>
      <c r="B425" t="s">
        <v>1687</v>
      </c>
      <c r="C425" t="s">
        <v>1581</v>
      </c>
      <c r="D425" t="s">
        <v>889</v>
      </c>
      <c r="E425" t="s">
        <v>1688</v>
      </c>
      <c r="F425" t="s">
        <v>1268</v>
      </c>
      <c r="G425" t="s">
        <v>1689</v>
      </c>
      <c r="H425">
        <v>4</v>
      </c>
      <c r="I425" t="b">
        <f>AND(COUNTIF(CO!A:A,A425)&gt;0,COUNTIF('O3'!A:A,A425)&gt;0,COUNTIF('PM10'!A:A,A425)&gt;0,COUNTIF('PM2.5'!A:A,A425)&gt;0,COUNTIF('SO2'!A:A,A425)&gt;0,COUNTIF(Kendaraan!A:A,A425))</f>
        <v>1</v>
      </c>
    </row>
    <row r="426" spans="1:9" x14ac:dyDescent="0.45">
      <c r="A426" s="4">
        <v>45839</v>
      </c>
      <c r="B426" t="s">
        <v>25</v>
      </c>
      <c r="C426">
        <v>20</v>
      </c>
      <c r="D426" t="s">
        <v>1690</v>
      </c>
      <c r="E426" t="s">
        <v>1691</v>
      </c>
      <c r="F426" t="s">
        <v>1692</v>
      </c>
      <c r="G426" s="1">
        <v>5581</v>
      </c>
      <c r="H426">
        <v>23</v>
      </c>
      <c r="I426" t="b">
        <f>AND(COUNTIF(CO!A:A,A426)&gt;0,COUNTIF('O3'!A:A,A426)&gt;0,COUNTIF('PM10'!A:A,A426)&gt;0,COUNTIF('PM2.5'!A:A,A426)&gt;0,COUNTIF('SO2'!A:A,A426)&gt;0,COUNTIF(Kendaraan!A:A,A426))</f>
        <v>1</v>
      </c>
    </row>
    <row r="427" spans="1:9" x14ac:dyDescent="0.45">
      <c r="A427" s="4">
        <v>45840</v>
      </c>
      <c r="B427" t="s">
        <v>15</v>
      </c>
      <c r="C427" t="s">
        <v>1693</v>
      </c>
      <c r="D427" t="s">
        <v>1059</v>
      </c>
      <c r="E427" t="s">
        <v>1694</v>
      </c>
      <c r="F427" t="s">
        <v>1695</v>
      </c>
      <c r="G427" s="1">
        <v>5246</v>
      </c>
      <c r="H427">
        <v>24</v>
      </c>
      <c r="I427" t="b">
        <f>AND(COUNTIF(CO!A:A,A427)&gt;0,COUNTIF('O3'!A:A,A427)&gt;0,COUNTIF('PM10'!A:A,A427)&gt;0,COUNTIF('PM2.5'!A:A,A427)&gt;0,COUNTIF('SO2'!A:A,A427)&gt;0,COUNTIF(Kendaraan!A:A,A427))</f>
        <v>1</v>
      </c>
    </row>
    <row r="428" spans="1:9" x14ac:dyDescent="0.45">
      <c r="A428" s="4">
        <v>45841</v>
      </c>
      <c r="B428">
        <v>18</v>
      </c>
      <c r="C428" t="s">
        <v>1696</v>
      </c>
      <c r="D428" t="s">
        <v>922</v>
      </c>
      <c r="E428" t="s">
        <v>1697</v>
      </c>
      <c r="F428" t="s">
        <v>1387</v>
      </c>
      <c r="G428" t="s">
        <v>1459</v>
      </c>
      <c r="H428">
        <v>24</v>
      </c>
      <c r="I428" t="b">
        <f>AND(COUNTIF(CO!A:A,A428)&gt;0,COUNTIF('O3'!A:A,A428)&gt;0,COUNTIF('PM10'!A:A,A428)&gt;0,COUNTIF('PM2.5'!A:A,A428)&gt;0,COUNTIF('SO2'!A:A,A428)&gt;0,COUNTIF(Kendaraan!A:A,A428))</f>
        <v>1</v>
      </c>
    </row>
    <row r="429" spans="1:9" x14ac:dyDescent="0.45">
      <c r="A429" s="4">
        <v>45842</v>
      </c>
      <c r="B429" t="s">
        <v>922</v>
      </c>
      <c r="C429" t="s">
        <v>1498</v>
      </c>
      <c r="D429" t="s">
        <v>1698</v>
      </c>
      <c r="E429" t="s">
        <v>1387</v>
      </c>
      <c r="F429" t="s">
        <v>1463</v>
      </c>
      <c r="G429" t="s">
        <v>265</v>
      </c>
      <c r="H429">
        <v>20</v>
      </c>
      <c r="I429" t="b">
        <f>AND(COUNTIF(CO!A:A,A429)&gt;0,COUNTIF('O3'!A:A,A429)&gt;0,COUNTIF('PM10'!A:A,A429)&gt;0,COUNTIF('PM2.5'!A:A,A429)&gt;0,COUNTIF('SO2'!A:A,A429)&gt;0,COUNTIF(Kendaraan!A:A,A429))</f>
        <v>1</v>
      </c>
    </row>
    <row r="430" spans="1:9" x14ac:dyDescent="0.45">
      <c r="A430" s="4">
        <v>45845</v>
      </c>
      <c r="B430" t="s">
        <v>1699</v>
      </c>
      <c r="C430" t="s">
        <v>1700</v>
      </c>
      <c r="D430" t="s">
        <v>1048</v>
      </c>
      <c r="E430" t="s">
        <v>1701</v>
      </c>
      <c r="F430" t="s">
        <v>1702</v>
      </c>
      <c r="G430" t="s">
        <v>884</v>
      </c>
      <c r="H430">
        <v>5</v>
      </c>
      <c r="I430" t="b">
        <f>AND(COUNTIF(CO!A:A,A430)&gt;0,COUNTIF('O3'!A:A,A430)&gt;0,COUNTIF('PM10'!A:A,A430)&gt;0,COUNTIF('PM2.5'!A:A,A430)&gt;0,COUNTIF('SO2'!A:A,A430)&gt;0,COUNTIF(Kendaraan!A:A,A430))</f>
        <v>1</v>
      </c>
    </row>
    <row r="431" spans="1:9" x14ac:dyDescent="0.45">
      <c r="A431" s="4">
        <v>45846</v>
      </c>
      <c r="B431">
        <v>9</v>
      </c>
      <c r="C431" t="s">
        <v>1044</v>
      </c>
      <c r="D431">
        <v>9</v>
      </c>
      <c r="E431">
        <v>9</v>
      </c>
      <c r="F431">
        <v>9</v>
      </c>
      <c r="G431" t="s">
        <v>1703</v>
      </c>
      <c r="H431">
        <v>24</v>
      </c>
      <c r="I431" t="b">
        <f>AND(COUNTIF(CO!A:A,A431)&gt;0,COUNTIF('O3'!A:A,A431)&gt;0,COUNTIF('PM10'!A:A,A431)&gt;0,COUNTIF('PM2.5'!A:A,A431)&gt;0,COUNTIF('SO2'!A:A,A431)&gt;0,COUNTIF(Kendaraan!A:A,A431))</f>
        <v>1</v>
      </c>
    </row>
    <row r="432" spans="1:9" x14ac:dyDescent="0.45">
      <c r="A432" s="4">
        <v>45847</v>
      </c>
      <c r="B432" t="s">
        <v>1652</v>
      </c>
      <c r="C432">
        <v>9</v>
      </c>
      <c r="D432" t="s">
        <v>1704</v>
      </c>
      <c r="E432" t="s">
        <v>1683</v>
      </c>
      <c r="F432">
        <v>9</v>
      </c>
      <c r="G432" s="1">
        <v>1524</v>
      </c>
      <c r="H432">
        <v>24</v>
      </c>
      <c r="I432" t="b">
        <f>AND(COUNTIF(CO!A:A,A432)&gt;0,COUNTIF('O3'!A:A,A432)&gt;0,COUNTIF('PM10'!A:A,A432)&gt;0,COUNTIF('PM2.5'!A:A,A432)&gt;0,COUNTIF('SO2'!A:A,A432)&gt;0,COUNTIF(Kendaraan!A:A,A432))</f>
        <v>1</v>
      </c>
    </row>
    <row r="433" spans="1:9" x14ac:dyDescent="0.45">
      <c r="A433" s="4">
        <v>45848</v>
      </c>
      <c r="B433" t="s">
        <v>1652</v>
      </c>
      <c r="C433" t="s">
        <v>1095</v>
      </c>
      <c r="D433" t="s">
        <v>1705</v>
      </c>
      <c r="E433" t="s">
        <v>1706</v>
      </c>
      <c r="F433" t="s">
        <v>1365</v>
      </c>
      <c r="G433" s="1">
        <v>2783</v>
      </c>
      <c r="H433">
        <v>24</v>
      </c>
      <c r="I433" t="b">
        <f>AND(COUNTIF(CO!A:A,A433)&gt;0,COUNTIF('O3'!A:A,A433)&gt;0,COUNTIF('PM10'!A:A,A433)&gt;0,COUNTIF('PM2.5'!A:A,A433)&gt;0,COUNTIF('SO2'!A:A,A433)&gt;0,COUNTIF(Kendaraan!A:A,A433))</f>
        <v>1</v>
      </c>
    </row>
    <row r="434" spans="1:9" x14ac:dyDescent="0.45">
      <c r="A434" s="4">
        <v>45849</v>
      </c>
      <c r="B434" t="s">
        <v>365</v>
      </c>
      <c r="C434" t="s">
        <v>1092</v>
      </c>
      <c r="D434" t="s">
        <v>1707</v>
      </c>
      <c r="E434" t="s">
        <v>1708</v>
      </c>
      <c r="F434" t="s">
        <v>1709</v>
      </c>
      <c r="G434" t="s">
        <v>1710</v>
      </c>
      <c r="H434">
        <v>24</v>
      </c>
      <c r="I434" t="b">
        <f>AND(COUNTIF(CO!A:A,A434)&gt;0,COUNTIF('O3'!A:A,A434)&gt;0,COUNTIF('PM10'!A:A,A434)&gt;0,COUNTIF('PM2.5'!A:A,A434)&gt;0,COUNTIF('SO2'!A:A,A434)&gt;0,COUNTIF(Kendaraan!A:A,A434))</f>
        <v>1</v>
      </c>
    </row>
    <row r="435" spans="1:9" x14ac:dyDescent="0.45">
      <c r="A435" s="4">
        <v>45850</v>
      </c>
      <c r="B435" t="s">
        <v>1711</v>
      </c>
      <c r="C435" t="s">
        <v>696</v>
      </c>
      <c r="D435" t="s">
        <v>1672</v>
      </c>
      <c r="E435" t="s">
        <v>1712</v>
      </c>
      <c r="F435" t="s">
        <v>705</v>
      </c>
      <c r="G435" s="1">
        <v>1891</v>
      </c>
      <c r="H435">
        <v>24</v>
      </c>
      <c r="I435" t="b">
        <f>AND(COUNTIF(CO!A:A,A435)&gt;0,COUNTIF('O3'!A:A,A435)&gt;0,COUNTIF('PM10'!A:A,A435)&gt;0,COUNTIF('PM2.5'!A:A,A435)&gt;0,COUNTIF('SO2'!A:A,A435)&gt;0,COUNTIF(Kendaraan!A:A,A435))</f>
        <v>1</v>
      </c>
    </row>
    <row r="436" spans="1:9" x14ac:dyDescent="0.45">
      <c r="A436" s="4">
        <v>45851</v>
      </c>
      <c r="B436" t="s">
        <v>360</v>
      </c>
      <c r="C436" t="s">
        <v>1712</v>
      </c>
      <c r="D436" t="s">
        <v>1713</v>
      </c>
      <c r="E436" t="s">
        <v>1713</v>
      </c>
      <c r="F436" t="s">
        <v>1713</v>
      </c>
      <c r="G436" t="s">
        <v>84</v>
      </c>
      <c r="H436">
        <v>24</v>
      </c>
      <c r="I436" t="b">
        <f>AND(COUNTIF(CO!A:A,A436)&gt;0,COUNTIF('O3'!A:A,A436)&gt;0,COUNTIF('PM10'!A:A,A436)&gt;0,COUNTIF('PM2.5'!A:A,A436)&gt;0,COUNTIF('SO2'!A:A,A436)&gt;0,COUNTIF(Kendaraan!A:A,A436))</f>
        <v>1</v>
      </c>
    </row>
    <row r="437" spans="1:9" x14ac:dyDescent="0.45">
      <c r="A437" s="4">
        <v>45852</v>
      </c>
      <c r="B437" t="s">
        <v>1712</v>
      </c>
      <c r="C437" t="s">
        <v>1709</v>
      </c>
      <c r="D437" t="s">
        <v>1714</v>
      </c>
      <c r="E437" t="s">
        <v>1715</v>
      </c>
      <c r="F437" t="s">
        <v>1716</v>
      </c>
      <c r="G437" s="1">
        <v>2239</v>
      </c>
      <c r="H437">
        <v>24</v>
      </c>
      <c r="I437" t="b">
        <f>AND(COUNTIF(CO!A:A,A437)&gt;0,COUNTIF('O3'!A:A,A437)&gt;0,COUNTIF('PM10'!A:A,A437)&gt;0,COUNTIF('PM2.5'!A:A,A437)&gt;0,COUNTIF('SO2'!A:A,A437)&gt;0,COUNTIF(Kendaraan!A:A,A437))</f>
        <v>1</v>
      </c>
    </row>
    <row r="438" spans="1:9" x14ac:dyDescent="0.45">
      <c r="A438" s="4">
        <v>45853</v>
      </c>
      <c r="B438" t="s">
        <v>1717</v>
      </c>
      <c r="C438" t="s">
        <v>1335</v>
      </c>
      <c r="D438" t="s">
        <v>1353</v>
      </c>
      <c r="E438" t="s">
        <v>1718</v>
      </c>
      <c r="F438" t="s">
        <v>1330</v>
      </c>
      <c r="G438" t="s">
        <v>953</v>
      </c>
      <c r="H438">
        <v>24</v>
      </c>
      <c r="I438" t="b">
        <f>AND(COUNTIF(CO!A:A,A438)&gt;0,COUNTIF('O3'!A:A,A438)&gt;0,COUNTIF('PM10'!A:A,A438)&gt;0,COUNTIF('PM2.5'!A:A,A438)&gt;0,COUNTIF('SO2'!A:A,A438)&gt;0,COUNTIF(Kendaraan!A:A,A438))</f>
        <v>1</v>
      </c>
    </row>
    <row r="439" spans="1:9" x14ac:dyDescent="0.45">
      <c r="A439" s="4">
        <v>45854</v>
      </c>
      <c r="B439" t="s">
        <v>1719</v>
      </c>
      <c r="C439" t="s">
        <v>1354</v>
      </c>
      <c r="D439" t="s">
        <v>1322</v>
      </c>
      <c r="E439" t="s">
        <v>1063</v>
      </c>
      <c r="F439" t="s">
        <v>1720</v>
      </c>
      <c r="G439" s="1">
        <v>2207</v>
      </c>
      <c r="H439">
        <v>24</v>
      </c>
      <c r="I439" t="b">
        <f>AND(COUNTIF(CO!A:A,A439)&gt;0,COUNTIF('O3'!A:A,A439)&gt;0,COUNTIF('PM10'!A:A,A439)&gt;0,COUNTIF('PM2.5'!A:A,A439)&gt;0,COUNTIF('SO2'!A:A,A439)&gt;0,COUNTIF(Kendaraan!A:A,A439))</f>
        <v>1</v>
      </c>
    </row>
    <row r="440" spans="1:9" x14ac:dyDescent="0.45">
      <c r="A440" s="4">
        <v>45855</v>
      </c>
      <c r="B440" t="s">
        <v>196</v>
      </c>
      <c r="C440" t="s">
        <v>1721</v>
      </c>
      <c r="D440">
        <v>3</v>
      </c>
      <c r="E440" t="s">
        <v>268</v>
      </c>
      <c r="F440" t="s">
        <v>1722</v>
      </c>
      <c r="G440" s="1">
        <v>1708</v>
      </c>
      <c r="H440">
        <v>23</v>
      </c>
      <c r="I440" t="b">
        <f>AND(COUNTIF(CO!A:A,A440)&gt;0,COUNTIF('O3'!A:A,A440)&gt;0,COUNTIF('PM10'!A:A,A440)&gt;0,COUNTIF('PM2.5'!A:A,A440)&gt;0,COUNTIF('SO2'!A:A,A440)&gt;0,COUNTIF(Kendaraan!A:A,A440))</f>
        <v>1</v>
      </c>
    </row>
    <row r="441" spans="1:9" x14ac:dyDescent="0.45">
      <c r="A441" s="4">
        <v>45857</v>
      </c>
      <c r="B441" t="s">
        <v>1726</v>
      </c>
      <c r="C441" t="s">
        <v>1727</v>
      </c>
      <c r="D441" t="s">
        <v>1726</v>
      </c>
      <c r="E441" t="s">
        <v>1726</v>
      </c>
      <c r="F441" t="s">
        <v>729</v>
      </c>
      <c r="G441" s="1">
        <v>1792</v>
      </c>
      <c r="H441">
        <v>24</v>
      </c>
      <c r="I441" t="b">
        <f>AND(COUNTIF(CO!A:A,A441)&gt;0,COUNTIF('O3'!A:A,A441)&gt;0,COUNTIF('PM10'!A:A,A441)&gt;0,COUNTIF('PM2.5'!A:A,A441)&gt;0,COUNTIF('SO2'!A:A,A441)&gt;0,COUNTIF(Kendaraan!A:A,A441))</f>
        <v>1</v>
      </c>
    </row>
    <row r="442" spans="1:9" x14ac:dyDescent="0.45">
      <c r="A442" s="4">
        <v>45858</v>
      </c>
      <c r="B442" t="s">
        <v>1726</v>
      </c>
      <c r="C442" t="s">
        <v>1371</v>
      </c>
      <c r="D442" t="s">
        <v>1728</v>
      </c>
      <c r="E442" t="s">
        <v>1686</v>
      </c>
      <c r="F442" t="s">
        <v>1729</v>
      </c>
      <c r="G442" s="1">
        <v>2427</v>
      </c>
      <c r="H442">
        <v>24</v>
      </c>
      <c r="I442" t="b">
        <f>AND(COUNTIF(CO!A:A,A442)&gt;0,COUNTIF('O3'!A:A,A442)&gt;0,COUNTIF('PM10'!A:A,A442)&gt;0,COUNTIF('PM2.5'!A:A,A442)&gt;0,COUNTIF('SO2'!A:A,A442)&gt;0,COUNTIF(Kendaraan!A:A,A442))</f>
        <v>1</v>
      </c>
    </row>
    <row r="443" spans="1:9" x14ac:dyDescent="0.45">
      <c r="A443" s="4">
        <v>45859</v>
      </c>
      <c r="B443" t="s">
        <v>1373</v>
      </c>
      <c r="C443" t="s">
        <v>1730</v>
      </c>
      <c r="D443" t="s">
        <v>1731</v>
      </c>
      <c r="E443" t="s">
        <v>1374</v>
      </c>
      <c r="F443" t="s">
        <v>1732</v>
      </c>
      <c r="G443" t="s">
        <v>252</v>
      </c>
      <c r="H443">
        <v>24</v>
      </c>
      <c r="I443" t="b">
        <f>AND(COUNTIF(CO!A:A,A443)&gt;0,COUNTIF('O3'!A:A,A443)&gt;0,COUNTIF('PM10'!A:A,A443)&gt;0,COUNTIF('PM2.5'!A:A,A443)&gt;0,COUNTIF('SO2'!A:A,A443)&gt;0,COUNTIF(Kendaraan!A:A,A443))</f>
        <v>1</v>
      </c>
    </row>
    <row r="444" spans="1:9" x14ac:dyDescent="0.45">
      <c r="A444" s="4">
        <v>45860</v>
      </c>
      <c r="B444" t="s">
        <v>1353</v>
      </c>
      <c r="C444" t="s">
        <v>1368</v>
      </c>
      <c r="D444" t="s">
        <v>1733</v>
      </c>
      <c r="E444" t="s">
        <v>1734</v>
      </c>
      <c r="F444" t="s">
        <v>1334</v>
      </c>
      <c r="G444" t="s">
        <v>243</v>
      </c>
      <c r="H444">
        <v>24</v>
      </c>
      <c r="I444" t="b">
        <f>AND(COUNTIF(CO!A:A,A444)&gt;0,COUNTIF('O3'!A:A,A444)&gt;0,COUNTIF('PM10'!A:A,A444)&gt;0,COUNTIF('PM2.5'!A:A,A444)&gt;0,COUNTIF('SO2'!A:A,A444)&gt;0,COUNTIF(Kendaraan!A:A,A444))</f>
        <v>1</v>
      </c>
    </row>
    <row r="445" spans="1:9" x14ac:dyDescent="0.45">
      <c r="A445" s="4">
        <v>45861</v>
      </c>
      <c r="B445" t="s">
        <v>1305</v>
      </c>
      <c r="C445" t="s">
        <v>1380</v>
      </c>
      <c r="D445" t="s">
        <v>1309</v>
      </c>
      <c r="E445" t="s">
        <v>1305</v>
      </c>
      <c r="F445" t="s">
        <v>1380</v>
      </c>
      <c r="G445" t="s">
        <v>281</v>
      </c>
      <c r="H445">
        <v>2</v>
      </c>
      <c r="I445" t="b">
        <f>AND(COUNTIF(CO!A:A,A445)&gt;0,COUNTIF('O3'!A:A,A445)&gt;0,COUNTIF('PM10'!A:A,A445)&gt;0,COUNTIF('PM2.5'!A:A,A445)&gt;0,COUNTIF('SO2'!A:A,A445)&gt;0,COUNTIF(Kendaraan!A:A,A445))</f>
        <v>1</v>
      </c>
    </row>
    <row r="446" spans="1:9" x14ac:dyDescent="0.45">
      <c r="A446" s="4">
        <v>45862</v>
      </c>
      <c r="B446">
        <v>9</v>
      </c>
      <c r="C446">
        <v>9</v>
      </c>
      <c r="D446">
        <v>9</v>
      </c>
      <c r="E446">
        <v>9</v>
      </c>
      <c r="F446">
        <v>9</v>
      </c>
      <c r="G446">
        <v>0</v>
      </c>
      <c r="H446">
        <v>5</v>
      </c>
      <c r="I446" t="b">
        <f>AND(COUNTIF(CO!A:A,A446)&gt;0,COUNTIF('O3'!A:A,A446)&gt;0,COUNTIF('PM10'!A:A,A446)&gt;0,COUNTIF('PM2.5'!A:A,A446)&gt;0,COUNTIF('SO2'!A:A,A446)&gt;0,COUNTIF(Kendaraan!A:A,A446))</f>
        <v>1</v>
      </c>
    </row>
    <row r="447" spans="1:9" x14ac:dyDescent="0.45">
      <c r="A447" s="4">
        <v>45863</v>
      </c>
      <c r="B447">
        <v>9</v>
      </c>
      <c r="C447">
        <v>9</v>
      </c>
      <c r="D447">
        <v>9</v>
      </c>
      <c r="E447">
        <v>9</v>
      </c>
      <c r="F447">
        <v>9</v>
      </c>
      <c r="G447">
        <v>0</v>
      </c>
      <c r="H447">
        <v>24</v>
      </c>
      <c r="I447" t="b">
        <f>AND(COUNTIF(CO!A:A,A447)&gt;0,COUNTIF('O3'!A:A,A447)&gt;0,COUNTIF('PM10'!A:A,A447)&gt;0,COUNTIF('PM2.5'!A:A,A447)&gt;0,COUNTIF('SO2'!A:A,A447)&gt;0,COUNTIF(Kendaraan!A:A,A447))</f>
        <v>1</v>
      </c>
    </row>
    <row r="448" spans="1:9" x14ac:dyDescent="0.45">
      <c r="A448" s="4">
        <v>45864</v>
      </c>
      <c r="B448">
        <v>9</v>
      </c>
      <c r="C448">
        <v>9</v>
      </c>
      <c r="D448">
        <v>9</v>
      </c>
      <c r="E448">
        <v>9</v>
      </c>
      <c r="F448">
        <v>9</v>
      </c>
      <c r="G448">
        <v>0</v>
      </c>
      <c r="H448">
        <v>24</v>
      </c>
      <c r="I448" t="b">
        <f>AND(COUNTIF(CO!A:A,A448)&gt;0,COUNTIF('O3'!A:A,A448)&gt;0,COUNTIF('PM10'!A:A,A448)&gt;0,COUNTIF('PM2.5'!A:A,A448)&gt;0,COUNTIF('SO2'!A:A,A448)&gt;0,COUNTIF(Kendaraan!A:A,A448))</f>
        <v>1</v>
      </c>
    </row>
    <row r="449" spans="1:9" x14ac:dyDescent="0.45">
      <c r="A449" s="4">
        <v>45865</v>
      </c>
      <c r="B449">
        <v>9</v>
      </c>
      <c r="C449">
        <v>9</v>
      </c>
      <c r="D449">
        <v>9</v>
      </c>
      <c r="E449">
        <v>9</v>
      </c>
      <c r="F449">
        <v>9</v>
      </c>
      <c r="G449">
        <v>0</v>
      </c>
      <c r="H449">
        <v>24</v>
      </c>
      <c r="I449" t="b">
        <f>AND(COUNTIF(CO!A:A,A449)&gt;0,COUNTIF('O3'!A:A,A449)&gt;0,COUNTIF('PM10'!A:A,A449)&gt;0,COUNTIF('PM2.5'!A:A,A449)&gt;0,COUNTIF('SO2'!A:A,A449)&gt;0,COUNTIF(Kendaraan!A:A,A449))</f>
        <v>1</v>
      </c>
    </row>
    <row r="450" spans="1:9" x14ac:dyDescent="0.45">
      <c r="A450" s="4">
        <v>45866</v>
      </c>
      <c r="B450" t="s">
        <v>1735</v>
      </c>
      <c r="C450" t="s">
        <v>1208</v>
      </c>
      <c r="D450" t="s">
        <v>1736</v>
      </c>
      <c r="E450" t="s">
        <v>1737</v>
      </c>
      <c r="F450" t="s">
        <v>1164</v>
      </c>
      <c r="G450" s="1">
        <v>3374</v>
      </c>
      <c r="H450">
        <v>24</v>
      </c>
      <c r="I450" t="b">
        <f>AND(COUNTIF(CO!A:A,A450)&gt;0,COUNTIF('O3'!A:A,A450)&gt;0,COUNTIF('PM10'!A:A,A450)&gt;0,COUNTIF('PM2.5'!A:A,A450)&gt;0,COUNTIF('SO2'!A:A,A450)&gt;0,COUNTIF(Kendaraan!A:A,A450))</f>
        <v>1</v>
      </c>
    </row>
    <row r="451" spans="1:9" x14ac:dyDescent="0.45">
      <c r="A451" s="4">
        <v>45867</v>
      </c>
      <c r="B451" t="s">
        <v>1738</v>
      </c>
      <c r="C451" t="s">
        <v>1271</v>
      </c>
      <c r="D451" t="s">
        <v>1161</v>
      </c>
      <c r="E451" t="s">
        <v>1739</v>
      </c>
      <c r="F451" t="s">
        <v>1443</v>
      </c>
      <c r="G451" t="s">
        <v>1740</v>
      </c>
      <c r="H451">
        <v>24</v>
      </c>
      <c r="I451" t="b">
        <f>AND(COUNTIF(CO!A:A,A451)&gt;0,COUNTIF('O3'!A:A,A451)&gt;0,COUNTIF('PM10'!A:A,A451)&gt;0,COUNTIF('PM2.5'!A:A,A451)&gt;0,COUNTIF('SO2'!A:A,A451)&gt;0,COUNTIF(Kendaraan!A:A,A451))</f>
        <v>1</v>
      </c>
    </row>
    <row r="452" spans="1:9" x14ac:dyDescent="0.45">
      <c r="A452" s="4">
        <v>45868</v>
      </c>
      <c r="B452" t="s">
        <v>1741</v>
      </c>
      <c r="C452" t="s">
        <v>1742</v>
      </c>
      <c r="D452" t="s">
        <v>1743</v>
      </c>
      <c r="E452" t="s">
        <v>1744</v>
      </c>
      <c r="F452" t="s">
        <v>1127</v>
      </c>
      <c r="G452" s="1">
        <v>1863</v>
      </c>
      <c r="H452">
        <v>24</v>
      </c>
      <c r="I452" t="b">
        <f>AND(COUNTIF(CO!A:A,A452)&gt;0,COUNTIF('O3'!A:A,A452)&gt;0,COUNTIF('PM10'!A:A,A452)&gt;0,COUNTIF('PM2.5'!A:A,A452)&gt;0,COUNTIF('SO2'!A:A,A452)&gt;0,COUNTIF(Kendaraan!A:A,A452))</f>
        <v>1</v>
      </c>
    </row>
    <row r="453" spans="1:9" x14ac:dyDescent="0.45">
      <c r="A453" s="4">
        <v>45869</v>
      </c>
      <c r="B453" t="s">
        <v>1745</v>
      </c>
      <c r="C453" t="s">
        <v>1350</v>
      </c>
      <c r="D453" t="s">
        <v>1350</v>
      </c>
      <c r="E453" t="s">
        <v>1746</v>
      </c>
      <c r="F453" t="s">
        <v>1350</v>
      </c>
      <c r="G453" t="s">
        <v>226</v>
      </c>
      <c r="H453">
        <v>24</v>
      </c>
      <c r="I453" t="b">
        <f>AND(COUNTIF(CO!A:A,A453)&gt;0,COUNTIF('O3'!A:A,A453)&gt;0,COUNTIF('PM10'!A:A,A453)&gt;0,COUNTIF('PM2.5'!A:A,A453)&gt;0,COUNTIF('SO2'!A:A,A453)&gt;0,COUNTIF(Kendaraan!A:A,A453))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C46D-7C11-4D8F-94FA-B63357F71E9D}">
  <dimension ref="A1:I453"/>
  <sheetViews>
    <sheetView workbookViewId="0">
      <selection activeCell="K451" sqref="K451"/>
    </sheetView>
  </sheetViews>
  <sheetFormatPr defaultRowHeight="14.25" x14ac:dyDescent="0.45"/>
  <cols>
    <col min="1" max="1" width="12.7304687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>
        <v>23</v>
      </c>
      <c r="C2" t="s">
        <v>2138</v>
      </c>
      <c r="D2" t="s">
        <v>2139</v>
      </c>
      <c r="E2" t="s">
        <v>2140</v>
      </c>
      <c r="F2" t="s">
        <v>2043</v>
      </c>
      <c r="G2" s="1">
        <v>2593</v>
      </c>
      <c r="H2">
        <v>24</v>
      </c>
      <c r="I2" t="b">
        <f>AND(COUNTIF(CO!A:A,A2)&gt;0,COUNTIF('NO2'!A:A,A2)&gt;0,COUNTIF('PM10'!A:A,A2)&gt;0,COUNTIF('PM2.5'!A:A,A2)&gt;0,COUNTIF('SO2'!A:A,A2)&gt;0,COUNTIF(Kendaraan!A:A,A2)&gt;0)</f>
        <v>1</v>
      </c>
    </row>
    <row r="3" spans="1:9" x14ac:dyDescent="0.45">
      <c r="A3" s="4">
        <v>45338</v>
      </c>
      <c r="B3" t="s">
        <v>2141</v>
      </c>
      <c r="C3" t="s">
        <v>2142</v>
      </c>
      <c r="D3" t="s">
        <v>2143</v>
      </c>
      <c r="E3" t="s">
        <v>1275</v>
      </c>
      <c r="F3" t="s">
        <v>343</v>
      </c>
      <c r="G3" s="1">
        <v>8396</v>
      </c>
      <c r="H3">
        <v>24</v>
      </c>
      <c r="I3" t="b">
        <f>AND(COUNTIF(CO!A:A,A3)&gt;0,COUNTIF('NO2'!A:A,A3)&gt;0,COUNTIF('PM10'!A:A,A3)&gt;0,COUNTIF('PM2.5'!A:A,A3)&gt;0,COUNTIF('SO2'!A:A,A3)&gt;0,COUNTIF(Kendaraan!A:A,A3)&gt;0)</f>
        <v>1</v>
      </c>
    </row>
    <row r="4" spans="1:9" x14ac:dyDescent="0.45">
      <c r="A4" s="4">
        <v>45342</v>
      </c>
      <c r="B4" t="s">
        <v>476</v>
      </c>
      <c r="C4" t="s">
        <v>2144</v>
      </c>
      <c r="D4" t="s">
        <v>2145</v>
      </c>
      <c r="E4" t="s">
        <v>846</v>
      </c>
      <c r="F4" t="s">
        <v>2146</v>
      </c>
      <c r="G4" s="1">
        <v>3514</v>
      </c>
      <c r="H4">
        <v>19</v>
      </c>
      <c r="I4" t="b">
        <f>AND(COUNTIF(CO!A:A,A4)&gt;0,COUNTIF('NO2'!A:A,A4)&gt;0,COUNTIF('PM10'!A:A,A4)&gt;0,COUNTIF('PM2.5'!A:A,A4)&gt;0,COUNTIF('SO2'!A:A,A4)&gt;0,COUNTIF(Kendaraan!A:A,A4)&gt;0)</f>
        <v>1</v>
      </c>
    </row>
    <row r="5" spans="1:9" x14ac:dyDescent="0.45">
      <c r="A5" s="4">
        <v>45343</v>
      </c>
      <c r="B5" t="s">
        <v>1859</v>
      </c>
      <c r="C5" t="s">
        <v>2147</v>
      </c>
      <c r="D5" t="s">
        <v>2148</v>
      </c>
      <c r="E5" t="s">
        <v>2149</v>
      </c>
      <c r="F5" t="s">
        <v>2150</v>
      </c>
      <c r="G5" s="1">
        <v>6687</v>
      </c>
      <c r="H5">
        <v>24</v>
      </c>
      <c r="I5" t="b">
        <f>AND(COUNTIF(CO!A:A,A5)&gt;0,COUNTIF('NO2'!A:A,A5)&gt;0,COUNTIF('PM10'!A:A,A5)&gt;0,COUNTIF('PM2.5'!A:A,A5)&gt;0,COUNTIF('SO2'!A:A,A5)&gt;0,COUNTIF(Kendaraan!A:A,A5)&gt;0)</f>
        <v>1</v>
      </c>
    </row>
    <row r="6" spans="1:9" x14ac:dyDescent="0.45">
      <c r="A6" s="4">
        <v>45344</v>
      </c>
      <c r="B6" t="s">
        <v>8</v>
      </c>
      <c r="C6" t="s">
        <v>2151</v>
      </c>
      <c r="D6" t="s">
        <v>1722</v>
      </c>
      <c r="E6" t="s">
        <v>2152</v>
      </c>
      <c r="F6" t="s">
        <v>2153</v>
      </c>
      <c r="G6" s="1">
        <v>2418</v>
      </c>
      <c r="H6">
        <v>7</v>
      </c>
      <c r="I6" t="b">
        <f>AND(COUNTIF(CO!A:A,A6)&gt;0,COUNTIF('NO2'!A:A,A6)&gt;0,COUNTIF('PM10'!A:A,A6)&gt;0,COUNTIF('PM2.5'!A:A,A6)&gt;0,COUNTIF('SO2'!A:A,A6)&gt;0,COUNTIF(Kendaraan!A:A,A6)&gt;0)</f>
        <v>1</v>
      </c>
    </row>
    <row r="7" spans="1:9" x14ac:dyDescent="0.45">
      <c r="A7" s="4">
        <v>45372</v>
      </c>
      <c r="B7" t="s">
        <v>2154</v>
      </c>
      <c r="C7" t="s">
        <v>2155</v>
      </c>
      <c r="D7" t="s">
        <v>2156</v>
      </c>
      <c r="E7" t="s">
        <v>2157</v>
      </c>
      <c r="F7" t="s">
        <v>2158</v>
      </c>
      <c r="G7" t="s">
        <v>229</v>
      </c>
      <c r="H7">
        <v>9</v>
      </c>
      <c r="I7" t="b">
        <f>AND(COUNTIF(CO!A:A,A7)&gt;0,COUNTIF('NO2'!A:A,A7)&gt;0,COUNTIF('PM10'!A:A,A7)&gt;0,COUNTIF('PM2.5'!A:A,A7)&gt;0,COUNTIF('SO2'!A:A,A7)&gt;0,COUNTIF(Kendaraan!A:A,A7)&gt;0)</f>
        <v>1</v>
      </c>
    </row>
    <row r="8" spans="1:9" x14ac:dyDescent="0.45">
      <c r="A8" s="4">
        <v>45373</v>
      </c>
      <c r="B8" t="s">
        <v>2159</v>
      </c>
      <c r="C8" t="s">
        <v>2160</v>
      </c>
      <c r="D8" t="s">
        <v>2161</v>
      </c>
      <c r="E8" t="s">
        <v>2162</v>
      </c>
      <c r="F8" t="s">
        <v>2163</v>
      </c>
      <c r="G8" t="s">
        <v>176</v>
      </c>
      <c r="H8">
        <v>4</v>
      </c>
      <c r="I8" t="b">
        <f>AND(COUNTIF(CO!A:A,A8)&gt;0,COUNTIF('NO2'!A:A,A8)&gt;0,COUNTIF('PM10'!A:A,A8)&gt;0,COUNTIF('PM2.5'!A:A,A8)&gt;0,COUNTIF('SO2'!A:A,A8)&gt;0,COUNTIF(Kendaraan!A:A,A8)&gt;0)</f>
        <v>1</v>
      </c>
    </row>
    <row r="9" spans="1:9" x14ac:dyDescent="0.45">
      <c r="A9" s="4">
        <v>45377</v>
      </c>
      <c r="B9" t="s">
        <v>2164</v>
      </c>
      <c r="C9" t="s">
        <v>2164</v>
      </c>
      <c r="D9" t="s">
        <v>2164</v>
      </c>
      <c r="E9" t="s">
        <v>2164</v>
      </c>
      <c r="F9" t="s">
        <v>2164</v>
      </c>
      <c r="G9">
        <v>0</v>
      </c>
      <c r="H9">
        <v>1</v>
      </c>
      <c r="I9" t="b">
        <f>AND(COUNTIF(CO!A:A,A9)&gt;0,COUNTIF('NO2'!A:A,A9)&gt;0,COUNTIF('PM10'!A:A,A9)&gt;0,COUNTIF('PM2.5'!A:A,A9)&gt;0,COUNTIF('SO2'!A:A,A9)&gt;0,COUNTIF(Kendaraan!A:A,A9)&gt;0)</f>
        <v>1</v>
      </c>
    </row>
    <row r="10" spans="1:9" x14ac:dyDescent="0.45">
      <c r="A10" s="4">
        <v>45383</v>
      </c>
      <c r="B10" t="s">
        <v>1948</v>
      </c>
      <c r="C10" t="s">
        <v>2165</v>
      </c>
      <c r="D10" t="s">
        <v>2166</v>
      </c>
      <c r="E10" t="s">
        <v>2167</v>
      </c>
      <c r="F10" t="s">
        <v>2168</v>
      </c>
      <c r="G10" t="s">
        <v>2169</v>
      </c>
      <c r="H10">
        <v>21</v>
      </c>
      <c r="I10" t="b">
        <f>AND(COUNTIF(CO!A:A,A10)&gt;0,COUNTIF('NO2'!A:A,A10)&gt;0,COUNTIF('PM10'!A:A,A10)&gt;0,COUNTIF('PM2.5'!A:A,A10)&gt;0,COUNTIF('SO2'!A:A,A10)&gt;0,COUNTIF(Kendaraan!A:A,A10)&gt;0)</f>
        <v>1</v>
      </c>
    </row>
    <row r="11" spans="1:9" x14ac:dyDescent="0.45">
      <c r="A11" s="4">
        <v>45384</v>
      </c>
      <c r="B11" t="s">
        <v>2170</v>
      </c>
      <c r="C11" t="s">
        <v>2171</v>
      </c>
      <c r="D11" t="s">
        <v>2172</v>
      </c>
      <c r="E11" t="s">
        <v>2173</v>
      </c>
      <c r="F11" t="s">
        <v>2174</v>
      </c>
      <c r="G11" s="1">
        <v>1096</v>
      </c>
      <c r="H11">
        <v>24</v>
      </c>
      <c r="I11" t="b">
        <f>AND(COUNTIF(CO!A:A,A11)&gt;0,COUNTIF('NO2'!A:A,A11)&gt;0,COUNTIF('PM10'!A:A,A11)&gt;0,COUNTIF('PM2.5'!A:A,A11)&gt;0,COUNTIF('SO2'!A:A,A11)&gt;0,COUNTIF(Kendaraan!A:A,A11)&gt;0)</f>
        <v>1</v>
      </c>
    </row>
    <row r="12" spans="1:9" x14ac:dyDescent="0.45">
      <c r="A12" s="4">
        <v>45385</v>
      </c>
      <c r="B12" t="s">
        <v>2175</v>
      </c>
      <c r="C12" t="s">
        <v>2176</v>
      </c>
      <c r="D12" t="s">
        <v>2177</v>
      </c>
      <c r="E12" t="s">
        <v>2178</v>
      </c>
      <c r="F12" t="s">
        <v>2179</v>
      </c>
      <c r="G12" s="1">
        <v>1956</v>
      </c>
      <c r="H12">
        <v>24</v>
      </c>
      <c r="I12" t="b">
        <f>AND(COUNTIF(CO!A:A,A12)&gt;0,COUNTIF('NO2'!A:A,A12)&gt;0,COUNTIF('PM10'!A:A,A12)&gt;0,COUNTIF('PM2.5'!A:A,A12)&gt;0,COUNTIF('SO2'!A:A,A12)&gt;0,COUNTIF(Kendaraan!A:A,A12)&gt;0)</f>
        <v>1</v>
      </c>
    </row>
    <row r="13" spans="1:9" x14ac:dyDescent="0.45">
      <c r="A13" s="4">
        <v>45386</v>
      </c>
      <c r="B13" t="s">
        <v>2180</v>
      </c>
      <c r="C13" t="s">
        <v>2181</v>
      </c>
      <c r="D13" t="s">
        <v>2182</v>
      </c>
      <c r="E13" t="s">
        <v>2183</v>
      </c>
      <c r="F13" t="s">
        <v>2184</v>
      </c>
      <c r="G13" s="1">
        <v>1328</v>
      </c>
      <c r="H13">
        <v>24</v>
      </c>
      <c r="I13" t="b">
        <f>AND(COUNTIF(CO!A:A,A13)&gt;0,COUNTIF('NO2'!A:A,A13)&gt;0,COUNTIF('PM10'!A:A,A13)&gt;0,COUNTIF('PM2.5'!A:A,A13)&gt;0,COUNTIF('SO2'!A:A,A13)&gt;0,COUNTIF(Kendaraan!A:A,A13)&gt;0)</f>
        <v>1</v>
      </c>
    </row>
    <row r="14" spans="1:9" x14ac:dyDescent="0.45">
      <c r="A14" s="4">
        <v>45387</v>
      </c>
      <c r="B14">
        <v>39</v>
      </c>
      <c r="C14" t="s">
        <v>2185</v>
      </c>
      <c r="D14" t="s">
        <v>2186</v>
      </c>
      <c r="E14" t="s">
        <v>2187</v>
      </c>
      <c r="F14" t="s">
        <v>2188</v>
      </c>
      <c r="G14" s="1">
        <v>1436</v>
      </c>
      <c r="H14">
        <v>23</v>
      </c>
      <c r="I14" t="b">
        <f>AND(COUNTIF(CO!A:A,A14)&gt;0,COUNTIF('NO2'!A:A,A14)&gt;0,COUNTIF('PM10'!A:A,A14)&gt;0,COUNTIF('PM2.5'!A:A,A14)&gt;0,COUNTIF('SO2'!A:A,A14)&gt;0,COUNTIF(Kendaraan!A:A,A14)&gt;0)</f>
        <v>1</v>
      </c>
    </row>
    <row r="15" spans="1:9" x14ac:dyDescent="0.45">
      <c r="A15" s="4">
        <v>45388</v>
      </c>
      <c r="B15" t="s">
        <v>2189</v>
      </c>
      <c r="C15" t="s">
        <v>2190</v>
      </c>
      <c r="D15" t="s">
        <v>2191</v>
      </c>
      <c r="E15" t="s">
        <v>2192</v>
      </c>
      <c r="F15" t="s">
        <v>2193</v>
      </c>
      <c r="G15" t="s">
        <v>2194</v>
      </c>
      <c r="H15">
        <v>24</v>
      </c>
      <c r="I15" t="b">
        <f>AND(COUNTIF(CO!A:A,A15)&gt;0,COUNTIF('NO2'!A:A,A15)&gt;0,COUNTIF('PM10'!A:A,A15)&gt;0,COUNTIF('PM2.5'!A:A,A15)&gt;0,COUNTIF('SO2'!A:A,A15)&gt;0,COUNTIF(Kendaraan!A:A,A15)&gt;0)</f>
        <v>1</v>
      </c>
    </row>
    <row r="16" spans="1:9" x14ac:dyDescent="0.45">
      <c r="A16" s="4">
        <v>45389</v>
      </c>
      <c r="B16" t="s">
        <v>2195</v>
      </c>
      <c r="C16" t="s">
        <v>2196</v>
      </c>
      <c r="D16" t="s">
        <v>2175</v>
      </c>
      <c r="E16" t="s">
        <v>2197</v>
      </c>
      <c r="F16" t="s">
        <v>2198</v>
      </c>
      <c r="G16" t="s">
        <v>2199</v>
      </c>
      <c r="H16">
        <v>24</v>
      </c>
      <c r="I16" t="b">
        <f>AND(COUNTIF(CO!A:A,A16)&gt;0,COUNTIF('NO2'!A:A,A16)&gt;0,COUNTIF('PM10'!A:A,A16)&gt;0,COUNTIF('PM2.5'!A:A,A16)&gt;0,COUNTIF('SO2'!A:A,A16)&gt;0,COUNTIF(Kendaraan!A:A,A16)&gt;0)</f>
        <v>1</v>
      </c>
    </row>
    <row r="17" spans="1:9" x14ac:dyDescent="0.45">
      <c r="A17" s="4">
        <v>45390</v>
      </c>
      <c r="B17" t="s">
        <v>2200</v>
      </c>
      <c r="C17" t="s">
        <v>2201</v>
      </c>
      <c r="D17" t="s">
        <v>2202</v>
      </c>
      <c r="E17" t="s">
        <v>2203</v>
      </c>
      <c r="F17" t="s">
        <v>2204</v>
      </c>
      <c r="G17" s="1">
        <v>1111</v>
      </c>
      <c r="H17">
        <v>24</v>
      </c>
      <c r="I17" t="b">
        <f>AND(COUNTIF(CO!A:A,A17)&gt;0,COUNTIF('NO2'!A:A,A17)&gt;0,COUNTIF('PM10'!A:A,A17)&gt;0,COUNTIF('PM2.5'!A:A,A17)&gt;0,COUNTIF('SO2'!A:A,A17)&gt;0,COUNTIF(Kendaraan!A:A,A17)&gt;0)</f>
        <v>1</v>
      </c>
    </row>
    <row r="18" spans="1:9" x14ac:dyDescent="0.45">
      <c r="A18" s="4">
        <v>45391</v>
      </c>
      <c r="B18" t="s">
        <v>2205</v>
      </c>
      <c r="C18" t="s">
        <v>2206</v>
      </c>
      <c r="D18" t="s">
        <v>2189</v>
      </c>
      <c r="E18" t="s">
        <v>2207</v>
      </c>
      <c r="F18" t="s">
        <v>2208</v>
      </c>
      <c r="G18" t="s">
        <v>2209</v>
      </c>
      <c r="H18">
        <v>24</v>
      </c>
      <c r="I18" t="b">
        <f>AND(COUNTIF(CO!A:A,A18)&gt;0,COUNTIF('NO2'!A:A,A18)&gt;0,COUNTIF('PM10'!A:A,A18)&gt;0,COUNTIF('PM2.5'!A:A,A18)&gt;0,COUNTIF('SO2'!A:A,A18)&gt;0,COUNTIF(Kendaraan!A:A,A18)&gt;0)</f>
        <v>1</v>
      </c>
    </row>
    <row r="19" spans="1:9" x14ac:dyDescent="0.45">
      <c r="A19" s="4">
        <v>45392</v>
      </c>
      <c r="B19" t="s">
        <v>1893</v>
      </c>
      <c r="C19" t="s">
        <v>2205</v>
      </c>
      <c r="D19" t="s">
        <v>2210</v>
      </c>
      <c r="E19" t="s">
        <v>2211</v>
      </c>
      <c r="F19" t="s">
        <v>2212</v>
      </c>
      <c r="G19" t="s">
        <v>2213</v>
      </c>
      <c r="H19">
        <v>24</v>
      </c>
      <c r="I19" t="b">
        <f>AND(COUNTIF(CO!A:A,A19)&gt;0,COUNTIF('NO2'!A:A,A19)&gt;0,COUNTIF('PM10'!A:A,A19)&gt;0,COUNTIF('PM2.5'!A:A,A19)&gt;0,COUNTIF('SO2'!A:A,A19)&gt;0,COUNTIF(Kendaraan!A:A,A19)&gt;0)</f>
        <v>1</v>
      </c>
    </row>
    <row r="20" spans="1:9" x14ac:dyDescent="0.45">
      <c r="A20" s="4">
        <v>45393</v>
      </c>
      <c r="B20" t="s">
        <v>2214</v>
      </c>
      <c r="C20" t="s">
        <v>2215</v>
      </c>
      <c r="D20" t="s">
        <v>2216</v>
      </c>
      <c r="E20" t="s">
        <v>1521</v>
      </c>
      <c r="F20" t="s">
        <v>2010</v>
      </c>
      <c r="G20" t="s">
        <v>302</v>
      </c>
      <c r="H20">
        <v>24</v>
      </c>
      <c r="I20" t="b">
        <f>AND(COUNTIF(CO!A:A,A20)&gt;0,COUNTIF('NO2'!A:A,A20)&gt;0,COUNTIF('PM10'!A:A,A20)&gt;0,COUNTIF('PM2.5'!A:A,A20)&gt;0,COUNTIF('SO2'!A:A,A20)&gt;0,COUNTIF(Kendaraan!A:A,A20)&gt;0)</f>
        <v>1</v>
      </c>
    </row>
    <row r="21" spans="1:9" x14ac:dyDescent="0.45">
      <c r="A21" s="4">
        <v>45394</v>
      </c>
      <c r="B21" t="s">
        <v>2217</v>
      </c>
      <c r="C21" t="s">
        <v>2202</v>
      </c>
      <c r="D21" t="s">
        <v>2218</v>
      </c>
      <c r="E21" t="s">
        <v>2219</v>
      </c>
      <c r="F21" t="s">
        <v>2220</v>
      </c>
      <c r="G21" s="1">
        <v>1892</v>
      </c>
      <c r="H21">
        <v>24</v>
      </c>
      <c r="I21" t="b">
        <f>AND(COUNTIF(CO!A:A,A21)&gt;0,COUNTIF('NO2'!A:A,A21)&gt;0,COUNTIF('PM10'!A:A,A21)&gt;0,COUNTIF('PM2.5'!A:A,A21)&gt;0,COUNTIF('SO2'!A:A,A21)&gt;0,COUNTIF(Kendaraan!A:A,A21)&gt;0)</f>
        <v>1</v>
      </c>
    </row>
    <row r="22" spans="1:9" x14ac:dyDescent="0.45">
      <c r="A22" s="4">
        <v>45395</v>
      </c>
      <c r="B22" t="s">
        <v>2221</v>
      </c>
      <c r="C22" t="s">
        <v>2222</v>
      </c>
      <c r="D22" t="s">
        <v>2223</v>
      </c>
      <c r="E22" t="s">
        <v>2224</v>
      </c>
      <c r="F22" t="s">
        <v>2225</v>
      </c>
      <c r="G22" t="s">
        <v>15</v>
      </c>
      <c r="H22">
        <v>24</v>
      </c>
      <c r="I22" t="b">
        <f>AND(COUNTIF(CO!A:A,A22)&gt;0,COUNTIF('NO2'!A:A,A22)&gt;0,COUNTIF('PM10'!A:A,A22)&gt;0,COUNTIF('PM2.5'!A:A,A22)&gt;0,COUNTIF('SO2'!A:A,A22)&gt;0,COUNTIF(Kendaraan!A:A,A22)&gt;0)</f>
        <v>1</v>
      </c>
    </row>
    <row r="23" spans="1:9" x14ac:dyDescent="0.45">
      <c r="A23" s="4">
        <v>45396</v>
      </c>
      <c r="B23" t="s">
        <v>2226</v>
      </c>
      <c r="C23" t="s">
        <v>2227</v>
      </c>
      <c r="D23" t="s">
        <v>2228</v>
      </c>
      <c r="E23" t="s">
        <v>2229</v>
      </c>
      <c r="F23" t="s">
        <v>2230</v>
      </c>
      <c r="G23" t="s">
        <v>1108</v>
      </c>
      <c r="H23">
        <v>24</v>
      </c>
      <c r="I23" t="b">
        <f>AND(COUNTIF(CO!A:A,A23)&gt;0,COUNTIF('NO2'!A:A,A23)&gt;0,COUNTIF('PM10'!A:A,A23)&gt;0,COUNTIF('PM2.5'!A:A,A23)&gt;0,COUNTIF('SO2'!A:A,A23)&gt;0,COUNTIF(Kendaraan!A:A,A23)&gt;0)</f>
        <v>1</v>
      </c>
    </row>
    <row r="24" spans="1:9" x14ac:dyDescent="0.45">
      <c r="A24" s="4">
        <v>45397</v>
      </c>
      <c r="B24" t="s">
        <v>2231</v>
      </c>
      <c r="C24" t="s">
        <v>2232</v>
      </c>
      <c r="D24" t="s">
        <v>2233</v>
      </c>
      <c r="E24" t="s">
        <v>2234</v>
      </c>
      <c r="F24" t="s">
        <v>2235</v>
      </c>
      <c r="G24" s="1">
        <v>1512</v>
      </c>
      <c r="H24">
        <v>24</v>
      </c>
      <c r="I24" t="b">
        <f>AND(COUNTIF(CO!A:A,A24)&gt;0,COUNTIF('NO2'!A:A,A24)&gt;0,COUNTIF('PM10'!A:A,A24)&gt;0,COUNTIF('PM2.5'!A:A,A24)&gt;0,COUNTIF('SO2'!A:A,A24)&gt;0,COUNTIF(Kendaraan!A:A,A24)&gt;0)</f>
        <v>1</v>
      </c>
    </row>
    <row r="25" spans="1:9" x14ac:dyDescent="0.45">
      <c r="A25" s="4">
        <v>45398</v>
      </c>
      <c r="B25" t="s">
        <v>2236</v>
      </c>
      <c r="C25" t="s">
        <v>2237</v>
      </c>
      <c r="D25" t="s">
        <v>2238</v>
      </c>
      <c r="E25" t="s">
        <v>2239</v>
      </c>
      <c r="F25" t="s">
        <v>2240</v>
      </c>
      <c r="G25" s="1">
        <v>1671</v>
      </c>
      <c r="H25">
        <v>24</v>
      </c>
      <c r="I25" t="b">
        <f>AND(COUNTIF(CO!A:A,A25)&gt;0,COUNTIF('NO2'!A:A,A25)&gt;0,COUNTIF('PM10'!A:A,A25)&gt;0,COUNTIF('PM2.5'!A:A,A25)&gt;0,COUNTIF('SO2'!A:A,A25)&gt;0,COUNTIF(Kendaraan!A:A,A25)&gt;0)</f>
        <v>1</v>
      </c>
    </row>
    <row r="26" spans="1:9" x14ac:dyDescent="0.45">
      <c r="A26" s="4">
        <v>45399</v>
      </c>
      <c r="B26" t="s">
        <v>2241</v>
      </c>
      <c r="C26" t="s">
        <v>2242</v>
      </c>
      <c r="D26" t="s">
        <v>2243</v>
      </c>
      <c r="E26" t="s">
        <v>2244</v>
      </c>
      <c r="F26" t="s">
        <v>2245</v>
      </c>
      <c r="G26" t="s">
        <v>2246</v>
      </c>
      <c r="H26">
        <v>24</v>
      </c>
      <c r="I26" t="b">
        <f>AND(COUNTIF(CO!A:A,A26)&gt;0,COUNTIF('NO2'!A:A,A26)&gt;0,COUNTIF('PM10'!A:A,A26)&gt;0,COUNTIF('PM2.5'!A:A,A26)&gt;0,COUNTIF('SO2'!A:A,A26)&gt;0,COUNTIF(Kendaraan!A:A,A26)&gt;0)</f>
        <v>1</v>
      </c>
    </row>
    <row r="27" spans="1:9" x14ac:dyDescent="0.45">
      <c r="A27" s="4">
        <v>45400</v>
      </c>
      <c r="B27" t="s">
        <v>2247</v>
      </c>
      <c r="C27" t="s">
        <v>2248</v>
      </c>
      <c r="D27" t="s">
        <v>2249</v>
      </c>
      <c r="E27" t="s">
        <v>2250</v>
      </c>
      <c r="F27" t="s">
        <v>2251</v>
      </c>
      <c r="G27" t="s">
        <v>594</v>
      </c>
      <c r="H27">
        <v>24</v>
      </c>
      <c r="I27" t="b">
        <f>AND(COUNTIF(CO!A:A,A27)&gt;0,COUNTIF('NO2'!A:A,A27)&gt;0,COUNTIF('PM10'!A:A,A27)&gt;0,COUNTIF('PM2.5'!A:A,A27)&gt;0,COUNTIF('SO2'!A:A,A27)&gt;0,COUNTIF(Kendaraan!A:A,A27)&gt;0)</f>
        <v>1</v>
      </c>
    </row>
    <row r="28" spans="1:9" x14ac:dyDescent="0.45">
      <c r="A28" s="4">
        <v>45401</v>
      </c>
      <c r="B28" t="s">
        <v>1521</v>
      </c>
      <c r="C28" t="s">
        <v>2252</v>
      </c>
      <c r="D28" t="s">
        <v>2253</v>
      </c>
      <c r="E28" t="s">
        <v>2254</v>
      </c>
      <c r="F28" t="s">
        <v>2255</v>
      </c>
      <c r="G28" t="s">
        <v>700</v>
      </c>
      <c r="H28">
        <v>24</v>
      </c>
      <c r="I28" t="b">
        <f>AND(COUNTIF(CO!A:A,A28)&gt;0,COUNTIF('NO2'!A:A,A28)&gt;0,COUNTIF('PM10'!A:A,A28)&gt;0,COUNTIF('PM2.5'!A:A,A28)&gt;0,COUNTIF('SO2'!A:A,A28)&gt;0,COUNTIF(Kendaraan!A:A,A28)&gt;0)</f>
        <v>1</v>
      </c>
    </row>
    <row r="29" spans="1:9" x14ac:dyDescent="0.45">
      <c r="A29" s="4">
        <v>45402</v>
      </c>
      <c r="B29" t="s">
        <v>1988</v>
      </c>
      <c r="C29" t="s">
        <v>2256</v>
      </c>
      <c r="D29" t="s">
        <v>2257</v>
      </c>
      <c r="E29" t="s">
        <v>2258</v>
      </c>
      <c r="F29" t="s">
        <v>2259</v>
      </c>
      <c r="G29" s="1">
        <v>1361</v>
      </c>
      <c r="H29">
        <v>24</v>
      </c>
      <c r="I29" t="b">
        <f>AND(COUNTIF(CO!A:A,A29)&gt;0,COUNTIF('NO2'!A:A,A29)&gt;0,COUNTIF('PM10'!A:A,A29)&gt;0,COUNTIF('PM2.5'!A:A,A29)&gt;0,COUNTIF('SO2'!A:A,A29)&gt;0,COUNTIF(Kendaraan!A:A,A29)&gt;0)</f>
        <v>1</v>
      </c>
    </row>
    <row r="30" spans="1:9" x14ac:dyDescent="0.45">
      <c r="A30" s="4">
        <v>45403</v>
      </c>
      <c r="B30" t="s">
        <v>2260</v>
      </c>
      <c r="C30" t="s">
        <v>2261</v>
      </c>
      <c r="D30" t="s">
        <v>2262</v>
      </c>
      <c r="E30" t="s">
        <v>2263</v>
      </c>
      <c r="F30" t="s">
        <v>2202</v>
      </c>
      <c r="G30" s="1">
        <v>1475</v>
      </c>
      <c r="H30">
        <v>24</v>
      </c>
      <c r="I30" t="b">
        <f>AND(COUNTIF(CO!A:A,A30)&gt;0,COUNTIF('NO2'!A:A,A30)&gt;0,COUNTIF('PM10'!A:A,A30)&gt;0,COUNTIF('PM2.5'!A:A,A30)&gt;0,COUNTIF('SO2'!A:A,A30)&gt;0,COUNTIF(Kendaraan!A:A,A30)&gt;0)</f>
        <v>1</v>
      </c>
    </row>
    <row r="31" spans="1:9" x14ac:dyDescent="0.45">
      <c r="A31" s="4">
        <v>45404</v>
      </c>
      <c r="B31" t="s">
        <v>1524</v>
      </c>
      <c r="C31" t="s">
        <v>2264</v>
      </c>
      <c r="D31" t="s">
        <v>2265</v>
      </c>
      <c r="E31" t="s">
        <v>2266</v>
      </c>
      <c r="F31" t="s">
        <v>2259</v>
      </c>
      <c r="G31" s="1">
        <v>1536</v>
      </c>
      <c r="H31">
        <v>24</v>
      </c>
      <c r="I31" t="b">
        <f>AND(COUNTIF(CO!A:A,A31)&gt;0,COUNTIF('NO2'!A:A,A31)&gt;0,COUNTIF('PM10'!A:A,A31)&gt;0,COUNTIF('PM2.5'!A:A,A31)&gt;0,COUNTIF('SO2'!A:A,A31)&gt;0,COUNTIF(Kendaraan!A:A,A31)&gt;0)</f>
        <v>1</v>
      </c>
    </row>
    <row r="32" spans="1:9" x14ac:dyDescent="0.45">
      <c r="A32" s="4">
        <v>45405</v>
      </c>
      <c r="B32" t="s">
        <v>2267</v>
      </c>
      <c r="C32" t="s">
        <v>2268</v>
      </c>
      <c r="D32" t="s">
        <v>336</v>
      </c>
      <c r="E32" t="s">
        <v>2269</v>
      </c>
      <c r="F32" t="s">
        <v>2192</v>
      </c>
      <c r="G32" t="s">
        <v>170</v>
      </c>
      <c r="H32">
        <v>24</v>
      </c>
      <c r="I32" t="b">
        <f>AND(COUNTIF(CO!A:A,A32)&gt;0,COUNTIF('NO2'!A:A,A32)&gt;0,COUNTIF('PM10'!A:A,A32)&gt;0,COUNTIF('PM2.5'!A:A,A32)&gt;0,COUNTIF('SO2'!A:A,A32)&gt;0,COUNTIF(Kendaraan!A:A,A32)&gt;0)</f>
        <v>1</v>
      </c>
    </row>
    <row r="33" spans="1:9" x14ac:dyDescent="0.45">
      <c r="A33" s="4">
        <v>45406</v>
      </c>
      <c r="B33" t="s">
        <v>337</v>
      </c>
      <c r="C33" t="s">
        <v>2270</v>
      </c>
      <c r="D33" t="s">
        <v>694</v>
      </c>
      <c r="E33" t="s">
        <v>2271</v>
      </c>
      <c r="F33" t="s">
        <v>2272</v>
      </c>
      <c r="G33" s="1">
        <v>2127</v>
      </c>
      <c r="H33">
        <v>24</v>
      </c>
      <c r="I33" t="b">
        <f>AND(COUNTIF(CO!A:A,A33)&gt;0,COUNTIF('NO2'!A:A,A33)&gt;0,COUNTIF('PM10'!A:A,A33)&gt;0,COUNTIF('PM2.5'!A:A,A33)&gt;0,COUNTIF('SO2'!A:A,A33)&gt;0,COUNTIF(Kendaraan!A:A,A33)&gt;0)</f>
        <v>1</v>
      </c>
    </row>
    <row r="34" spans="1:9" x14ac:dyDescent="0.45">
      <c r="A34" s="4">
        <v>45407</v>
      </c>
      <c r="B34" t="s">
        <v>2268</v>
      </c>
      <c r="C34" t="s">
        <v>2273</v>
      </c>
      <c r="D34" t="s">
        <v>2274</v>
      </c>
      <c r="E34" t="s">
        <v>335</v>
      </c>
      <c r="F34" t="s">
        <v>2275</v>
      </c>
      <c r="G34" t="s">
        <v>2276</v>
      </c>
      <c r="H34">
        <v>24</v>
      </c>
      <c r="I34" t="b">
        <f>AND(COUNTIF(CO!A:A,A34)&gt;0,COUNTIF('NO2'!A:A,A34)&gt;0,COUNTIF('PM10'!A:A,A34)&gt;0,COUNTIF('PM2.5'!A:A,A34)&gt;0,COUNTIF('SO2'!A:A,A34)&gt;0,COUNTIF(Kendaraan!A:A,A34)&gt;0)</f>
        <v>1</v>
      </c>
    </row>
    <row r="35" spans="1:9" x14ac:dyDescent="0.45">
      <c r="A35" s="4">
        <v>45408</v>
      </c>
      <c r="B35" t="s">
        <v>2261</v>
      </c>
      <c r="C35" t="s">
        <v>2277</v>
      </c>
      <c r="D35" t="s">
        <v>2278</v>
      </c>
      <c r="E35" t="s">
        <v>2279</v>
      </c>
      <c r="F35" t="s">
        <v>2280</v>
      </c>
      <c r="G35" s="1">
        <v>1272</v>
      </c>
      <c r="H35">
        <v>24</v>
      </c>
      <c r="I35" t="b">
        <f>AND(COUNTIF(CO!A:A,A35)&gt;0,COUNTIF('NO2'!A:A,A35)&gt;0,COUNTIF('PM10'!A:A,A35)&gt;0,COUNTIF('PM2.5'!A:A,A35)&gt;0,COUNTIF('SO2'!A:A,A35)&gt;0,COUNTIF(Kendaraan!A:A,A35)&gt;0)</f>
        <v>1</v>
      </c>
    </row>
    <row r="36" spans="1:9" x14ac:dyDescent="0.45">
      <c r="A36" s="4">
        <v>45409</v>
      </c>
      <c r="B36" t="s">
        <v>2281</v>
      </c>
      <c r="C36" t="s">
        <v>2282</v>
      </c>
      <c r="D36" t="s">
        <v>2283</v>
      </c>
      <c r="E36" t="s">
        <v>2284</v>
      </c>
      <c r="F36" t="s">
        <v>2285</v>
      </c>
      <c r="G36" t="s">
        <v>1970</v>
      </c>
      <c r="H36">
        <v>24</v>
      </c>
      <c r="I36" t="b">
        <f>AND(COUNTIF(CO!A:A,A36)&gt;0,COUNTIF('NO2'!A:A,A36)&gt;0,COUNTIF('PM10'!A:A,A36)&gt;0,COUNTIF('PM2.5'!A:A,A36)&gt;0,COUNTIF('SO2'!A:A,A36)&gt;0,COUNTIF(Kendaraan!A:A,A36)&gt;0)</f>
        <v>1</v>
      </c>
    </row>
    <row r="37" spans="1:9" x14ac:dyDescent="0.45">
      <c r="A37" s="4">
        <v>45410</v>
      </c>
      <c r="B37">
        <v>44</v>
      </c>
      <c r="C37" t="s">
        <v>2286</v>
      </c>
      <c r="D37" t="s">
        <v>2287</v>
      </c>
      <c r="E37" t="s">
        <v>2288</v>
      </c>
      <c r="F37" t="s">
        <v>2289</v>
      </c>
      <c r="G37" t="s">
        <v>2290</v>
      </c>
      <c r="H37">
        <v>24</v>
      </c>
      <c r="I37" t="b">
        <f>AND(COUNTIF(CO!A:A,A37)&gt;0,COUNTIF('NO2'!A:A,A37)&gt;0,COUNTIF('PM10'!A:A,A37)&gt;0,COUNTIF('PM2.5'!A:A,A37)&gt;0,COUNTIF('SO2'!A:A,A37)&gt;0,COUNTIF(Kendaraan!A:A,A37)&gt;0)</f>
        <v>1</v>
      </c>
    </row>
    <row r="38" spans="1:9" x14ac:dyDescent="0.45">
      <c r="A38" s="4">
        <v>45411</v>
      </c>
      <c r="B38" t="s">
        <v>2125</v>
      </c>
      <c r="C38" t="s">
        <v>2123</v>
      </c>
      <c r="D38" t="s">
        <v>2291</v>
      </c>
      <c r="E38" t="s">
        <v>2292</v>
      </c>
      <c r="F38" t="s">
        <v>2293</v>
      </c>
      <c r="G38" t="s">
        <v>75</v>
      </c>
      <c r="H38">
        <v>24</v>
      </c>
      <c r="I38" t="b">
        <f>AND(COUNTIF(CO!A:A,A38)&gt;0,COUNTIF('NO2'!A:A,A38)&gt;0,COUNTIF('PM10'!A:A,A38)&gt;0,COUNTIF('PM2.5'!A:A,A38)&gt;0,COUNTIF('SO2'!A:A,A38)&gt;0,COUNTIF(Kendaraan!A:A,A38)&gt;0)</f>
        <v>1</v>
      </c>
    </row>
    <row r="39" spans="1:9" x14ac:dyDescent="0.45">
      <c r="A39" s="4">
        <v>45412</v>
      </c>
      <c r="B39" t="s">
        <v>2294</v>
      </c>
      <c r="C39" t="s">
        <v>2144</v>
      </c>
      <c r="D39" t="s">
        <v>2295</v>
      </c>
      <c r="E39" t="s">
        <v>2296</v>
      </c>
      <c r="F39" t="s">
        <v>2297</v>
      </c>
      <c r="G39" s="1">
        <v>1267</v>
      </c>
      <c r="H39">
        <v>24</v>
      </c>
      <c r="I39" t="b">
        <f>AND(COUNTIF(CO!A:A,A39)&gt;0,COUNTIF('NO2'!A:A,A39)&gt;0,COUNTIF('PM10'!A:A,A39)&gt;0,COUNTIF('PM2.5'!A:A,A39)&gt;0,COUNTIF('SO2'!A:A,A39)&gt;0,COUNTIF(Kendaraan!A:A,A39)&gt;0)</f>
        <v>1</v>
      </c>
    </row>
    <row r="40" spans="1:9" x14ac:dyDescent="0.45">
      <c r="A40" s="4">
        <v>45413</v>
      </c>
      <c r="B40" t="s">
        <v>2298</v>
      </c>
      <c r="C40" t="s">
        <v>2299</v>
      </c>
      <c r="D40" t="s">
        <v>2300</v>
      </c>
      <c r="E40" t="s">
        <v>2301</v>
      </c>
      <c r="F40" t="s">
        <v>2168</v>
      </c>
      <c r="G40" s="1">
        <v>1648</v>
      </c>
      <c r="H40">
        <v>24</v>
      </c>
      <c r="I40" t="b">
        <f>AND(COUNTIF(CO!A:A,A40)&gt;0,COUNTIF('NO2'!A:A,A40)&gt;0,COUNTIF('PM10'!A:A,A40)&gt;0,COUNTIF('PM2.5'!A:A,A40)&gt;0,COUNTIF('SO2'!A:A,A40)&gt;0,COUNTIF(Kendaraan!A:A,A40)&gt;0)</f>
        <v>1</v>
      </c>
    </row>
    <row r="41" spans="1:9" x14ac:dyDescent="0.45">
      <c r="A41" s="4">
        <v>45414</v>
      </c>
      <c r="B41" t="s">
        <v>2302</v>
      </c>
      <c r="C41" t="s">
        <v>2010</v>
      </c>
      <c r="D41" t="s">
        <v>2303</v>
      </c>
      <c r="E41" t="s">
        <v>2304</v>
      </c>
      <c r="F41" t="s">
        <v>2305</v>
      </c>
      <c r="G41" t="s">
        <v>1023</v>
      </c>
      <c r="H41">
        <v>24</v>
      </c>
      <c r="I41" t="b">
        <f>AND(COUNTIF(CO!A:A,A41)&gt;0,COUNTIF('NO2'!A:A,A41)&gt;0,COUNTIF('PM10'!A:A,A41)&gt;0,COUNTIF('PM2.5'!A:A,A41)&gt;0,COUNTIF('SO2'!A:A,A41)&gt;0,COUNTIF(Kendaraan!A:A,A41)&gt;0)</f>
        <v>1</v>
      </c>
    </row>
    <row r="42" spans="1:9" x14ac:dyDescent="0.45">
      <c r="A42" s="4">
        <v>45415</v>
      </c>
      <c r="B42" t="s">
        <v>1896</v>
      </c>
      <c r="C42" t="s">
        <v>2306</v>
      </c>
      <c r="D42" t="s">
        <v>2307</v>
      </c>
      <c r="E42" t="s">
        <v>2308</v>
      </c>
      <c r="F42" t="s">
        <v>2309</v>
      </c>
      <c r="G42" t="s">
        <v>2310</v>
      </c>
      <c r="H42">
        <v>24</v>
      </c>
      <c r="I42" t="b">
        <f>AND(COUNTIF(CO!A:A,A42)&gt;0,COUNTIF('NO2'!A:A,A42)&gt;0,COUNTIF('PM10'!A:A,A42)&gt;0,COUNTIF('PM2.5'!A:A,A42)&gt;0,COUNTIF('SO2'!A:A,A42)&gt;0,COUNTIF(Kendaraan!A:A,A42)&gt;0)</f>
        <v>1</v>
      </c>
    </row>
    <row r="43" spans="1:9" x14ac:dyDescent="0.45">
      <c r="A43" s="4">
        <v>45416</v>
      </c>
      <c r="B43" t="s">
        <v>2026</v>
      </c>
      <c r="C43" t="s">
        <v>1988</v>
      </c>
      <c r="D43" t="s">
        <v>2311</v>
      </c>
      <c r="E43" t="s">
        <v>2312</v>
      </c>
      <c r="F43" t="s">
        <v>2313</v>
      </c>
      <c r="G43" t="s">
        <v>28</v>
      </c>
      <c r="H43">
        <v>16</v>
      </c>
      <c r="I43" t="b">
        <f>AND(COUNTIF(CO!A:A,A43)&gt;0,COUNTIF('NO2'!A:A,A43)&gt;0,COUNTIF('PM10'!A:A,A43)&gt;0,COUNTIF('PM2.5'!A:A,A43)&gt;0,COUNTIF('SO2'!A:A,A43)&gt;0,COUNTIF(Kendaraan!A:A,A43)&gt;0)</f>
        <v>1</v>
      </c>
    </row>
    <row r="44" spans="1:9" x14ac:dyDescent="0.45">
      <c r="A44" s="4">
        <v>45417</v>
      </c>
      <c r="B44" t="s">
        <v>401</v>
      </c>
      <c r="C44" t="s">
        <v>2314</v>
      </c>
      <c r="D44" t="s">
        <v>2315</v>
      </c>
      <c r="E44">
        <v>27</v>
      </c>
      <c r="F44" t="s">
        <v>2316</v>
      </c>
      <c r="G44" t="s">
        <v>2005</v>
      </c>
      <c r="H44">
        <v>21</v>
      </c>
      <c r="I44" t="b">
        <f>AND(COUNTIF(CO!A:A,A44)&gt;0,COUNTIF('NO2'!A:A,A44)&gt;0,COUNTIF('PM10'!A:A,A44)&gt;0,COUNTIF('PM2.5'!A:A,A44)&gt;0,COUNTIF('SO2'!A:A,A44)&gt;0,COUNTIF(Kendaraan!A:A,A44)&gt;0)</f>
        <v>1</v>
      </c>
    </row>
    <row r="45" spans="1:9" x14ac:dyDescent="0.45">
      <c r="A45" s="4">
        <v>45418</v>
      </c>
      <c r="B45" t="s">
        <v>2317</v>
      </c>
      <c r="C45" t="s">
        <v>570</v>
      </c>
      <c r="D45" t="s">
        <v>562</v>
      </c>
      <c r="E45" t="s">
        <v>2318</v>
      </c>
      <c r="F45" t="s">
        <v>527</v>
      </c>
      <c r="G45" t="s">
        <v>234</v>
      </c>
      <c r="H45">
        <v>24</v>
      </c>
      <c r="I45" t="b">
        <f>AND(COUNTIF(CO!A:A,A45)&gt;0,COUNTIF('NO2'!A:A,A45)&gt;0,COUNTIF('PM10'!A:A,A45)&gt;0,COUNTIF('PM2.5'!A:A,A45)&gt;0,COUNTIF('SO2'!A:A,A45)&gt;0,COUNTIF(Kendaraan!A:A,A45)&gt;0)</f>
        <v>1</v>
      </c>
    </row>
    <row r="46" spans="1:9" x14ac:dyDescent="0.45">
      <c r="A46" s="4">
        <v>45419</v>
      </c>
      <c r="B46" t="s">
        <v>585</v>
      </c>
      <c r="C46" t="s">
        <v>2319</v>
      </c>
      <c r="D46" t="s">
        <v>567</v>
      </c>
      <c r="E46" t="s">
        <v>1426</v>
      </c>
      <c r="F46" t="s">
        <v>575</v>
      </c>
      <c r="G46" t="s">
        <v>1137</v>
      </c>
      <c r="H46">
        <v>24</v>
      </c>
      <c r="I46" t="b">
        <f>AND(COUNTIF(CO!A:A,A46)&gt;0,COUNTIF('NO2'!A:A,A46)&gt;0,COUNTIF('PM10'!A:A,A46)&gt;0,COUNTIF('PM2.5'!A:A,A46)&gt;0,COUNTIF('SO2'!A:A,A46)&gt;0,COUNTIF(Kendaraan!A:A,A46)&gt;0)</f>
        <v>1</v>
      </c>
    </row>
    <row r="47" spans="1:9" x14ac:dyDescent="0.45">
      <c r="A47" s="4">
        <v>45420</v>
      </c>
      <c r="B47" t="s">
        <v>532</v>
      </c>
      <c r="C47" t="s">
        <v>2320</v>
      </c>
      <c r="D47" t="s">
        <v>1533</v>
      </c>
      <c r="E47" t="s">
        <v>2321</v>
      </c>
      <c r="F47" t="s">
        <v>2146</v>
      </c>
      <c r="G47" t="s">
        <v>236</v>
      </c>
      <c r="H47">
        <v>24</v>
      </c>
      <c r="I47" t="b">
        <f>AND(COUNTIF(CO!A:A,A47)&gt;0,COUNTIF('NO2'!A:A,A47)&gt;0,COUNTIF('PM10'!A:A,A47)&gt;0,COUNTIF('PM2.5'!A:A,A47)&gt;0,COUNTIF('SO2'!A:A,A47)&gt;0,COUNTIF(Kendaraan!A:A,A47)&gt;0)</f>
        <v>1</v>
      </c>
    </row>
    <row r="48" spans="1:9" x14ac:dyDescent="0.45">
      <c r="A48" s="4">
        <v>45421</v>
      </c>
      <c r="B48" t="s">
        <v>819</v>
      </c>
      <c r="C48" t="s">
        <v>2139</v>
      </c>
      <c r="D48" t="s">
        <v>2322</v>
      </c>
      <c r="E48" t="s">
        <v>2323</v>
      </c>
      <c r="F48" t="s">
        <v>2324</v>
      </c>
      <c r="G48" t="s">
        <v>19</v>
      </c>
      <c r="H48">
        <v>24</v>
      </c>
      <c r="I48" t="b">
        <f>AND(COUNTIF(CO!A:A,A48)&gt;0,COUNTIF('NO2'!A:A,A48)&gt;0,COUNTIF('PM10'!A:A,A48)&gt;0,COUNTIF('PM2.5'!A:A,A48)&gt;0,COUNTIF('SO2'!A:A,A48)&gt;0,COUNTIF(Kendaraan!A:A,A48)&gt;0)</f>
        <v>1</v>
      </c>
    </row>
    <row r="49" spans="1:9" x14ac:dyDescent="0.45">
      <c r="A49" s="4">
        <v>45422</v>
      </c>
      <c r="B49" t="s">
        <v>2325</v>
      </c>
      <c r="C49" t="s">
        <v>2326</v>
      </c>
      <c r="D49" t="s">
        <v>2327</v>
      </c>
      <c r="E49" t="s">
        <v>2328</v>
      </c>
      <c r="F49" t="s">
        <v>2329</v>
      </c>
      <c r="G49" t="s">
        <v>642</v>
      </c>
      <c r="H49">
        <v>24</v>
      </c>
      <c r="I49" t="b">
        <f>AND(COUNTIF(CO!A:A,A49)&gt;0,COUNTIF('NO2'!A:A,A49)&gt;0,COUNTIF('PM10'!A:A,A49)&gt;0,COUNTIF('PM2.5'!A:A,A49)&gt;0,COUNTIF('SO2'!A:A,A49)&gt;0,COUNTIF(Kendaraan!A:A,A49)&gt;0)</f>
        <v>1</v>
      </c>
    </row>
    <row r="50" spans="1:9" x14ac:dyDescent="0.45">
      <c r="A50" s="4">
        <v>45423</v>
      </c>
      <c r="B50" t="s">
        <v>2330</v>
      </c>
      <c r="C50" t="s">
        <v>394</v>
      </c>
      <c r="D50" t="s">
        <v>2331</v>
      </c>
      <c r="E50" t="s">
        <v>2332</v>
      </c>
      <c r="F50" t="s">
        <v>2025</v>
      </c>
      <c r="G50" t="s">
        <v>131</v>
      </c>
      <c r="H50">
        <v>24</v>
      </c>
      <c r="I50" t="b">
        <f>AND(COUNTIF(CO!A:A,A50)&gt;0,COUNTIF('NO2'!A:A,A50)&gt;0,COUNTIF('PM10'!A:A,A50)&gt;0,COUNTIF('PM2.5'!A:A,A50)&gt;0,COUNTIF('SO2'!A:A,A50)&gt;0,COUNTIF(Kendaraan!A:A,A50)&gt;0)</f>
        <v>1</v>
      </c>
    </row>
    <row r="51" spans="1:9" x14ac:dyDescent="0.45">
      <c r="A51" s="4">
        <v>45424</v>
      </c>
      <c r="B51" t="s">
        <v>2333</v>
      </c>
      <c r="C51" t="s">
        <v>1519</v>
      </c>
      <c r="D51" t="s">
        <v>2334</v>
      </c>
      <c r="E51" t="s">
        <v>2335</v>
      </c>
      <c r="F51" t="s">
        <v>2023</v>
      </c>
      <c r="G51" t="s">
        <v>2336</v>
      </c>
      <c r="H51">
        <v>24</v>
      </c>
      <c r="I51" t="b">
        <f>AND(COUNTIF(CO!A:A,A51)&gt;0,COUNTIF('NO2'!A:A,A51)&gt;0,COUNTIF('PM10'!A:A,A51)&gt;0,COUNTIF('PM2.5'!A:A,A51)&gt;0,COUNTIF('SO2'!A:A,A51)&gt;0,COUNTIF(Kendaraan!A:A,A51)&gt;0)</f>
        <v>1</v>
      </c>
    </row>
    <row r="52" spans="1:9" x14ac:dyDescent="0.45">
      <c r="A52" s="4">
        <v>45425</v>
      </c>
      <c r="B52" t="s">
        <v>2337</v>
      </c>
      <c r="C52" t="s">
        <v>2023</v>
      </c>
      <c r="D52" t="s">
        <v>2338</v>
      </c>
      <c r="E52" t="s">
        <v>2339</v>
      </c>
      <c r="F52" t="s">
        <v>2340</v>
      </c>
      <c r="G52" s="1">
        <v>1073</v>
      </c>
      <c r="H52">
        <v>24</v>
      </c>
      <c r="I52" t="b">
        <f>AND(COUNTIF(CO!A:A,A52)&gt;0,COUNTIF('NO2'!A:A,A52)&gt;0,COUNTIF('PM10'!A:A,A52)&gt;0,COUNTIF('PM2.5'!A:A,A52)&gt;0,COUNTIF('SO2'!A:A,A52)&gt;0,COUNTIF(Kendaraan!A:A,A52)&gt;0)</f>
        <v>1</v>
      </c>
    </row>
    <row r="53" spans="1:9" x14ac:dyDescent="0.45">
      <c r="A53" s="4">
        <v>45426</v>
      </c>
      <c r="B53" t="s">
        <v>569</v>
      </c>
      <c r="C53" t="s">
        <v>856</v>
      </c>
      <c r="D53" t="s">
        <v>852</v>
      </c>
      <c r="E53" t="s">
        <v>1553</v>
      </c>
      <c r="F53" t="s">
        <v>2341</v>
      </c>
      <c r="G53" t="s">
        <v>1934</v>
      </c>
      <c r="H53">
        <v>24</v>
      </c>
      <c r="I53" t="b">
        <f>AND(COUNTIF(CO!A:A,A53)&gt;0,COUNTIF('NO2'!A:A,A53)&gt;0,COUNTIF('PM10'!A:A,A53)&gt;0,COUNTIF('PM2.5'!A:A,A53)&gt;0,COUNTIF('SO2'!A:A,A53)&gt;0,COUNTIF(Kendaraan!A:A,A53)&gt;0)</f>
        <v>1</v>
      </c>
    </row>
    <row r="54" spans="1:9" x14ac:dyDescent="0.45">
      <c r="A54" s="4">
        <v>45427</v>
      </c>
      <c r="B54" t="s">
        <v>549</v>
      </c>
      <c r="C54" t="s">
        <v>844</v>
      </c>
      <c r="D54" t="s">
        <v>540</v>
      </c>
      <c r="E54" t="s">
        <v>551</v>
      </c>
      <c r="F54" t="s">
        <v>573</v>
      </c>
      <c r="G54" t="s">
        <v>2342</v>
      </c>
      <c r="H54">
        <v>24</v>
      </c>
      <c r="I54" t="b">
        <f>AND(COUNTIF(CO!A:A,A54)&gt;0,COUNTIF('NO2'!A:A,A54)&gt;0,COUNTIF('PM10'!A:A,A54)&gt;0,COUNTIF('PM2.5'!A:A,A54)&gt;0,COUNTIF('SO2'!A:A,A54)&gt;0,COUNTIF(Kendaraan!A:A,A54)&gt;0)</f>
        <v>1</v>
      </c>
    </row>
    <row r="55" spans="1:9" x14ac:dyDescent="0.45">
      <c r="A55" s="4">
        <v>45428</v>
      </c>
      <c r="B55" t="s">
        <v>2315</v>
      </c>
      <c r="C55" t="s">
        <v>2343</v>
      </c>
      <c r="D55" t="s">
        <v>2344</v>
      </c>
      <c r="E55" t="s">
        <v>1532</v>
      </c>
      <c r="F55" t="s">
        <v>1900</v>
      </c>
      <c r="G55" s="1">
        <v>2207</v>
      </c>
      <c r="H55">
        <v>24</v>
      </c>
      <c r="I55" t="b">
        <f>AND(COUNTIF(CO!A:A,A55)&gt;0,COUNTIF('NO2'!A:A,A55)&gt;0,COUNTIF('PM10'!A:A,A55)&gt;0,COUNTIF('PM2.5'!A:A,A55)&gt;0,COUNTIF('SO2'!A:A,A55)&gt;0,COUNTIF(Kendaraan!A:A,A55)&gt;0)</f>
        <v>1</v>
      </c>
    </row>
    <row r="56" spans="1:9" x14ac:dyDescent="0.45">
      <c r="A56" s="4">
        <v>45429</v>
      </c>
      <c r="B56" t="s">
        <v>2345</v>
      </c>
      <c r="C56" t="s">
        <v>2346</v>
      </c>
      <c r="D56" t="s">
        <v>2347</v>
      </c>
      <c r="E56" t="s">
        <v>2212</v>
      </c>
      <c r="F56" t="s">
        <v>2249</v>
      </c>
      <c r="G56" t="s">
        <v>2348</v>
      </c>
      <c r="H56">
        <v>24</v>
      </c>
      <c r="I56" t="b">
        <f>AND(COUNTIF(CO!A:A,A56)&gt;0,COUNTIF('NO2'!A:A,A56)&gt;0,COUNTIF('PM10'!A:A,A56)&gt;0,COUNTIF('PM2.5'!A:A,A56)&gt;0,COUNTIF('SO2'!A:A,A56)&gt;0,COUNTIF(Kendaraan!A:A,A56)&gt;0)</f>
        <v>1</v>
      </c>
    </row>
    <row r="57" spans="1:9" x14ac:dyDescent="0.45">
      <c r="A57" s="4">
        <v>45430</v>
      </c>
      <c r="B57" t="s">
        <v>2349</v>
      </c>
      <c r="C57" t="s">
        <v>2350</v>
      </c>
      <c r="D57" t="s">
        <v>2351</v>
      </c>
      <c r="E57" t="s">
        <v>2352</v>
      </c>
      <c r="F57" t="s">
        <v>2229</v>
      </c>
      <c r="G57" t="s">
        <v>2353</v>
      </c>
      <c r="H57">
        <v>24</v>
      </c>
      <c r="I57" t="b">
        <f>AND(COUNTIF(CO!A:A,A57)&gt;0,COUNTIF('NO2'!A:A,A57)&gt;0,COUNTIF('PM10'!A:A,A57)&gt;0,COUNTIF('PM2.5'!A:A,A57)&gt;0,COUNTIF('SO2'!A:A,A57)&gt;0,COUNTIF(Kendaraan!A:A,A57)&gt;0)</f>
        <v>1</v>
      </c>
    </row>
    <row r="58" spans="1:9" x14ac:dyDescent="0.45">
      <c r="A58" s="4">
        <v>45431</v>
      </c>
      <c r="B58" t="s">
        <v>2354</v>
      </c>
      <c r="C58" t="s">
        <v>2355</v>
      </c>
      <c r="D58" t="s">
        <v>2356</v>
      </c>
      <c r="E58" t="s">
        <v>2357</v>
      </c>
      <c r="F58" t="s">
        <v>2358</v>
      </c>
      <c r="G58" t="s">
        <v>2359</v>
      </c>
      <c r="H58">
        <v>24</v>
      </c>
      <c r="I58" t="b">
        <f>AND(COUNTIF(CO!A:A,A58)&gt;0,COUNTIF('NO2'!A:A,A58)&gt;0,COUNTIF('PM10'!A:A,A58)&gt;0,COUNTIF('PM2.5'!A:A,A58)&gt;0,COUNTIF('SO2'!A:A,A58)&gt;0,COUNTIF(Kendaraan!A:A,A58)&gt;0)</f>
        <v>1</v>
      </c>
    </row>
    <row r="59" spans="1:9" x14ac:dyDescent="0.45">
      <c r="A59" s="4">
        <v>45432</v>
      </c>
      <c r="B59" t="s">
        <v>2360</v>
      </c>
      <c r="C59" t="s">
        <v>2361</v>
      </c>
      <c r="D59" t="s">
        <v>2362</v>
      </c>
      <c r="E59" t="s">
        <v>2363</v>
      </c>
      <c r="F59" t="s">
        <v>2272</v>
      </c>
      <c r="G59" t="s">
        <v>1959</v>
      </c>
      <c r="H59">
        <v>24</v>
      </c>
      <c r="I59" t="b">
        <f>AND(COUNTIF(CO!A:A,A59)&gt;0,COUNTIF('NO2'!A:A,A59)&gt;0,COUNTIF('PM10'!A:A,A59)&gt;0,COUNTIF('PM2.5'!A:A,A59)&gt;0,COUNTIF('SO2'!A:A,A59)&gt;0,COUNTIF(Kendaraan!A:A,A59)&gt;0)</f>
        <v>1</v>
      </c>
    </row>
    <row r="60" spans="1:9" x14ac:dyDescent="0.45">
      <c r="A60" s="4">
        <v>45433</v>
      </c>
      <c r="B60" t="s">
        <v>395</v>
      </c>
      <c r="C60" t="s">
        <v>2364</v>
      </c>
      <c r="D60" t="s">
        <v>2365</v>
      </c>
      <c r="E60" t="s">
        <v>2366</v>
      </c>
      <c r="F60" t="s">
        <v>2355</v>
      </c>
      <c r="G60" t="s">
        <v>2367</v>
      </c>
      <c r="H60">
        <v>24</v>
      </c>
      <c r="I60" t="b">
        <f>AND(COUNTIF(CO!A:A,A60)&gt;0,COUNTIF('NO2'!A:A,A60)&gt;0,COUNTIF('PM10'!A:A,A60)&gt;0,COUNTIF('PM2.5'!A:A,A60)&gt;0,COUNTIF('SO2'!A:A,A60)&gt;0,COUNTIF(Kendaraan!A:A,A60)&gt;0)</f>
        <v>1</v>
      </c>
    </row>
    <row r="61" spans="1:9" x14ac:dyDescent="0.45">
      <c r="A61" s="4">
        <v>45434</v>
      </c>
      <c r="B61" t="s">
        <v>2170</v>
      </c>
      <c r="C61" t="s">
        <v>2368</v>
      </c>
      <c r="D61" t="s">
        <v>2236</v>
      </c>
      <c r="E61" t="s">
        <v>2369</v>
      </c>
      <c r="F61" t="s">
        <v>2370</v>
      </c>
      <c r="G61" t="s">
        <v>2371</v>
      </c>
      <c r="H61">
        <v>18</v>
      </c>
      <c r="I61" t="b">
        <f>AND(COUNTIF(CO!A:A,A61)&gt;0,COUNTIF('NO2'!A:A,A61)&gt;0,COUNTIF('PM10'!A:A,A61)&gt;0,COUNTIF('PM2.5'!A:A,A61)&gt;0,COUNTIF('SO2'!A:A,A61)&gt;0,COUNTIF(Kendaraan!A:A,A61)&gt;0)</f>
        <v>1</v>
      </c>
    </row>
    <row r="62" spans="1:9" x14ac:dyDescent="0.45">
      <c r="A62" s="4">
        <v>45435</v>
      </c>
      <c r="B62" t="s">
        <v>2241</v>
      </c>
      <c r="C62" t="s">
        <v>2372</v>
      </c>
      <c r="D62" t="s">
        <v>2373</v>
      </c>
      <c r="E62" t="s">
        <v>2374</v>
      </c>
      <c r="F62" t="s">
        <v>2375</v>
      </c>
      <c r="G62" s="1">
        <v>1157</v>
      </c>
      <c r="H62">
        <v>18</v>
      </c>
      <c r="I62" t="b">
        <f>AND(COUNTIF(CO!A:A,A62)&gt;0,COUNTIF('NO2'!A:A,A62)&gt;0,COUNTIF('PM10'!A:A,A62)&gt;0,COUNTIF('PM2.5'!A:A,A62)&gt;0,COUNTIF('SO2'!A:A,A62)&gt;0,COUNTIF(Kendaraan!A:A,A62)&gt;0)</f>
        <v>1</v>
      </c>
    </row>
    <row r="63" spans="1:9" x14ac:dyDescent="0.45">
      <c r="A63" s="4">
        <v>45446</v>
      </c>
      <c r="B63" t="s">
        <v>2376</v>
      </c>
      <c r="C63">
        <v>176</v>
      </c>
      <c r="D63" t="s">
        <v>2377</v>
      </c>
      <c r="E63" t="s">
        <v>2378</v>
      </c>
      <c r="F63" t="s">
        <v>2379</v>
      </c>
      <c r="G63" s="1">
        <v>40624</v>
      </c>
      <c r="H63">
        <v>17</v>
      </c>
      <c r="I63" t="b">
        <f>AND(COUNTIF(CO!A:A,A63)&gt;0,COUNTIF('NO2'!A:A,A63)&gt;0,COUNTIF('PM10'!A:A,A63)&gt;0,COUNTIF('PM2.5'!A:A,A63)&gt;0,COUNTIF('SO2'!A:A,A63)&gt;0,COUNTIF(Kendaraan!A:A,A63)&gt;0)</f>
        <v>1</v>
      </c>
    </row>
    <row r="64" spans="1:9" x14ac:dyDescent="0.45">
      <c r="A64" s="4">
        <v>45447</v>
      </c>
      <c r="B64" t="s">
        <v>925</v>
      </c>
      <c r="C64" t="s">
        <v>1158</v>
      </c>
      <c r="D64" t="s">
        <v>2380</v>
      </c>
      <c r="E64" t="s">
        <v>348</v>
      </c>
      <c r="F64" t="s">
        <v>1663</v>
      </c>
      <c r="G64" s="1">
        <v>2056</v>
      </c>
      <c r="H64">
        <v>24</v>
      </c>
      <c r="I64" t="b">
        <f>AND(COUNTIF(CO!A:A,A64)&gt;0,COUNTIF('NO2'!A:A,A64)&gt;0,COUNTIF('PM10'!A:A,A64)&gt;0,COUNTIF('PM2.5'!A:A,A64)&gt;0,COUNTIF('SO2'!A:A,A64)&gt;0,COUNTIF(Kendaraan!A:A,A64)&gt;0)</f>
        <v>1</v>
      </c>
    </row>
    <row r="65" spans="1:9" x14ac:dyDescent="0.45">
      <c r="A65" s="4">
        <v>45448</v>
      </c>
      <c r="B65" t="s">
        <v>2381</v>
      </c>
      <c r="C65" t="s">
        <v>2382</v>
      </c>
      <c r="D65" t="s">
        <v>1640</v>
      </c>
      <c r="E65" t="s">
        <v>2383</v>
      </c>
      <c r="F65" t="s">
        <v>1932</v>
      </c>
      <c r="G65" s="1">
        <v>2471</v>
      </c>
      <c r="H65">
        <v>23</v>
      </c>
      <c r="I65" t="b">
        <f>AND(COUNTIF(CO!A:A,A65)&gt;0,COUNTIF('NO2'!A:A,A65)&gt;0,COUNTIF('PM10'!A:A,A65)&gt;0,COUNTIF('PM2.5'!A:A,A65)&gt;0,COUNTIF('SO2'!A:A,A65)&gt;0,COUNTIF(Kendaraan!A:A,A65)&gt;0)</f>
        <v>1</v>
      </c>
    </row>
    <row r="66" spans="1:9" x14ac:dyDescent="0.45">
      <c r="A66" s="4">
        <v>45449</v>
      </c>
      <c r="B66" t="s">
        <v>2384</v>
      </c>
      <c r="C66" t="s">
        <v>2385</v>
      </c>
      <c r="D66" t="s">
        <v>1752</v>
      </c>
      <c r="E66" t="s">
        <v>1787</v>
      </c>
      <c r="F66" t="s">
        <v>1324</v>
      </c>
      <c r="G66" t="s">
        <v>1846</v>
      </c>
      <c r="H66">
        <v>24</v>
      </c>
      <c r="I66" t="b">
        <f>AND(COUNTIF(CO!A:A,A66)&gt;0,COUNTIF('NO2'!A:A,A66)&gt;0,COUNTIF('PM10'!A:A,A66)&gt;0,COUNTIF('PM2.5'!A:A,A66)&gt;0,COUNTIF('SO2'!A:A,A66)&gt;0,COUNTIF(Kendaraan!A:A,A66)&gt;0)</f>
        <v>1</v>
      </c>
    </row>
    <row r="67" spans="1:9" x14ac:dyDescent="0.45">
      <c r="A67" s="4">
        <v>45450</v>
      </c>
      <c r="B67" t="s">
        <v>1790</v>
      </c>
      <c r="C67" t="s">
        <v>1752</v>
      </c>
      <c r="D67" t="s">
        <v>1791</v>
      </c>
      <c r="E67" t="s">
        <v>1716</v>
      </c>
      <c r="F67" t="s">
        <v>1750</v>
      </c>
      <c r="G67" t="s">
        <v>160</v>
      </c>
      <c r="H67">
        <v>24</v>
      </c>
      <c r="I67" t="b">
        <f>AND(COUNTIF(CO!A:A,A67)&gt;0,COUNTIF('NO2'!A:A,A67)&gt;0,COUNTIF('PM10'!A:A,A67)&gt;0,COUNTIF('PM2.5'!A:A,A67)&gt;0,COUNTIF('SO2'!A:A,A67)&gt;0,COUNTIF(Kendaraan!A:A,A67)&gt;0)</f>
        <v>1</v>
      </c>
    </row>
    <row r="68" spans="1:9" x14ac:dyDescent="0.45">
      <c r="A68" s="4">
        <v>45451</v>
      </c>
      <c r="B68" t="s">
        <v>1815</v>
      </c>
      <c r="C68" t="s">
        <v>1789</v>
      </c>
      <c r="D68" t="s">
        <v>1714</v>
      </c>
      <c r="E68" t="s">
        <v>2386</v>
      </c>
      <c r="F68" t="s">
        <v>1807</v>
      </c>
      <c r="G68" t="s">
        <v>243</v>
      </c>
      <c r="H68">
        <v>24</v>
      </c>
      <c r="I68" t="b">
        <f>AND(COUNTIF(CO!A:A,A68)&gt;0,COUNTIF('NO2'!A:A,A68)&gt;0,COUNTIF('PM10'!A:A,A68)&gt;0,COUNTIF('PM2.5'!A:A,A68)&gt;0,COUNTIF('SO2'!A:A,A68)&gt;0,COUNTIF(Kendaraan!A:A,A68)&gt;0)</f>
        <v>1</v>
      </c>
    </row>
    <row r="69" spans="1:9" x14ac:dyDescent="0.45">
      <c r="A69" s="4">
        <v>45452</v>
      </c>
      <c r="B69" t="s">
        <v>1787</v>
      </c>
      <c r="C69" t="s">
        <v>1362</v>
      </c>
      <c r="D69" t="s">
        <v>2387</v>
      </c>
      <c r="E69" t="s">
        <v>365</v>
      </c>
      <c r="F69" t="s">
        <v>1494</v>
      </c>
      <c r="G69" t="s">
        <v>662</v>
      </c>
      <c r="H69">
        <v>24</v>
      </c>
      <c r="I69" t="b">
        <f>AND(COUNTIF(CO!A:A,A69)&gt;0,COUNTIF('NO2'!A:A,A69)&gt;0,COUNTIF('PM10'!A:A,A69)&gt;0,COUNTIF('PM2.5'!A:A,A69)&gt;0,COUNTIF('SO2'!A:A,A69)&gt;0,COUNTIF(Kendaraan!A:A,A69)&gt;0)</f>
        <v>1</v>
      </c>
    </row>
    <row r="70" spans="1:9" x14ac:dyDescent="0.45">
      <c r="A70" s="4">
        <v>45453</v>
      </c>
      <c r="B70" t="s">
        <v>2388</v>
      </c>
      <c r="C70" t="s">
        <v>1303</v>
      </c>
      <c r="D70" t="s">
        <v>1360</v>
      </c>
      <c r="E70" t="s">
        <v>1635</v>
      </c>
      <c r="F70" t="s">
        <v>1362</v>
      </c>
      <c r="G70" t="s">
        <v>68</v>
      </c>
      <c r="H70">
        <v>24</v>
      </c>
      <c r="I70" t="b">
        <f>AND(COUNTIF(CO!A:A,A70)&gt;0,COUNTIF('NO2'!A:A,A70)&gt;0,COUNTIF('PM10'!A:A,A70)&gt;0,COUNTIF('PM2.5'!A:A,A70)&gt;0,COUNTIF('SO2'!A:A,A70)&gt;0,COUNTIF(Kendaraan!A:A,A70)&gt;0)</f>
        <v>1</v>
      </c>
    </row>
    <row r="71" spans="1:9" x14ac:dyDescent="0.45">
      <c r="A71" s="4">
        <v>45454</v>
      </c>
      <c r="B71" t="s">
        <v>1635</v>
      </c>
      <c r="C71" t="s">
        <v>2389</v>
      </c>
      <c r="D71" t="s">
        <v>2390</v>
      </c>
      <c r="E71" t="s">
        <v>2380</v>
      </c>
      <c r="F71" t="s">
        <v>1312</v>
      </c>
      <c r="G71" t="s">
        <v>197</v>
      </c>
      <c r="H71">
        <v>24</v>
      </c>
      <c r="I71" t="b">
        <f>AND(COUNTIF(CO!A:A,A71)&gt;0,COUNTIF('NO2'!A:A,A71)&gt;0,COUNTIF('PM10'!A:A,A71)&gt;0,COUNTIF('PM2.5'!A:A,A71)&gt;0,COUNTIF('SO2'!A:A,A71)&gt;0,COUNTIF(Kendaraan!A:A,A71)&gt;0)</f>
        <v>1</v>
      </c>
    </row>
    <row r="72" spans="1:9" x14ac:dyDescent="0.45">
      <c r="A72" s="4">
        <v>45455</v>
      </c>
      <c r="B72" t="s">
        <v>1300</v>
      </c>
      <c r="C72" t="s">
        <v>1720</v>
      </c>
      <c r="D72" t="s">
        <v>2391</v>
      </c>
      <c r="E72" t="s">
        <v>2392</v>
      </c>
      <c r="F72" t="s">
        <v>2393</v>
      </c>
      <c r="G72" t="s">
        <v>138</v>
      </c>
      <c r="H72">
        <v>24</v>
      </c>
      <c r="I72" t="b">
        <f>AND(COUNTIF(CO!A:A,A72)&gt;0,COUNTIF('NO2'!A:A,A72)&gt;0,COUNTIF('PM10'!A:A,A72)&gt;0,COUNTIF('PM2.5'!A:A,A72)&gt;0,COUNTIF('SO2'!A:A,A72)&gt;0,COUNTIF(Kendaraan!A:A,A72)&gt;0)</f>
        <v>1</v>
      </c>
    </row>
    <row r="73" spans="1:9" x14ac:dyDescent="0.45">
      <c r="A73" s="4">
        <v>45456</v>
      </c>
      <c r="B73" t="s">
        <v>1360</v>
      </c>
      <c r="C73" t="s">
        <v>1324</v>
      </c>
      <c r="D73" t="s">
        <v>1304</v>
      </c>
      <c r="E73" t="s">
        <v>1362</v>
      </c>
      <c r="F73" t="s">
        <v>1301</v>
      </c>
      <c r="G73" t="s">
        <v>282</v>
      </c>
      <c r="H73">
        <v>24</v>
      </c>
      <c r="I73" t="b">
        <f>AND(COUNTIF(CO!A:A,A73)&gt;0,COUNTIF('NO2'!A:A,A73)&gt;0,COUNTIF('PM10'!A:A,A73)&gt;0,COUNTIF('PM2.5'!A:A,A73)&gt;0,COUNTIF('SO2'!A:A,A73)&gt;0,COUNTIF(Kendaraan!A:A,A73)&gt;0)</f>
        <v>1</v>
      </c>
    </row>
    <row r="74" spans="1:9" x14ac:dyDescent="0.45">
      <c r="A74" s="4">
        <v>45457</v>
      </c>
      <c r="B74" t="s">
        <v>1344</v>
      </c>
      <c r="C74" t="s">
        <v>1325</v>
      </c>
      <c r="D74" t="s">
        <v>1301</v>
      </c>
      <c r="E74" t="s">
        <v>1363</v>
      </c>
      <c r="F74" t="s">
        <v>1328</v>
      </c>
      <c r="G74" t="s">
        <v>2394</v>
      </c>
      <c r="H74">
        <v>19</v>
      </c>
      <c r="I74" t="b">
        <f>AND(COUNTIF(CO!A:A,A74)&gt;0,COUNTIF('NO2'!A:A,A74)&gt;0,COUNTIF('PM10'!A:A,A74)&gt;0,COUNTIF('PM2.5'!A:A,A74)&gt;0,COUNTIF('SO2'!A:A,A74)&gt;0,COUNTIF(Kendaraan!A:A,A74)&gt;0)</f>
        <v>1</v>
      </c>
    </row>
    <row r="75" spans="1:9" x14ac:dyDescent="0.45">
      <c r="A75" s="4">
        <v>45458</v>
      </c>
      <c r="B75" t="s">
        <v>1377</v>
      </c>
      <c r="C75" t="s">
        <v>1325</v>
      </c>
      <c r="D75" t="s">
        <v>1329</v>
      </c>
      <c r="E75" t="s">
        <v>1347</v>
      </c>
      <c r="F75" t="s">
        <v>1324</v>
      </c>
      <c r="G75" t="s">
        <v>1341</v>
      </c>
      <c r="H75">
        <v>23</v>
      </c>
      <c r="I75" t="b">
        <f>AND(COUNTIF(CO!A:A,A75)&gt;0,COUNTIF('NO2'!A:A,A75)&gt;0,COUNTIF('PM10'!A:A,A75)&gt;0,COUNTIF('PM2.5'!A:A,A75)&gt;0,COUNTIF('SO2'!A:A,A75)&gt;0,COUNTIF(Kendaraan!A:A,A75)&gt;0)</f>
        <v>1</v>
      </c>
    </row>
    <row r="76" spans="1:9" x14ac:dyDescent="0.45">
      <c r="A76" s="4">
        <v>45459</v>
      </c>
      <c r="B76" t="s">
        <v>2388</v>
      </c>
      <c r="C76" t="s">
        <v>1326</v>
      </c>
      <c r="D76" t="s">
        <v>2395</v>
      </c>
      <c r="E76" t="s">
        <v>1883</v>
      </c>
      <c r="F76" t="s">
        <v>1303</v>
      </c>
      <c r="G76" t="s">
        <v>2396</v>
      </c>
      <c r="H76">
        <v>24</v>
      </c>
      <c r="I76" t="b">
        <f>AND(COUNTIF(CO!A:A,A76)&gt;0,COUNTIF('NO2'!A:A,A76)&gt;0,COUNTIF('PM10'!A:A,A76)&gt;0,COUNTIF('PM2.5'!A:A,A76)&gt;0,COUNTIF('SO2'!A:A,A76)&gt;0,COUNTIF(Kendaraan!A:A,A76)&gt;0)</f>
        <v>1</v>
      </c>
    </row>
    <row r="77" spans="1:9" x14ac:dyDescent="0.45">
      <c r="A77" s="4">
        <v>45460</v>
      </c>
      <c r="B77" t="s">
        <v>1328</v>
      </c>
      <c r="C77" t="s">
        <v>1368</v>
      </c>
      <c r="D77" t="s">
        <v>2397</v>
      </c>
      <c r="E77" t="s">
        <v>2398</v>
      </c>
      <c r="F77" t="s">
        <v>2399</v>
      </c>
      <c r="G77" t="s">
        <v>1346</v>
      </c>
      <c r="H77">
        <v>24</v>
      </c>
      <c r="I77" t="b">
        <f>AND(COUNTIF(CO!A:A,A77)&gt;0,COUNTIF('NO2'!A:A,A77)&gt;0,COUNTIF('PM10'!A:A,A77)&gt;0,COUNTIF('PM2.5'!A:A,A77)&gt;0,COUNTIF('SO2'!A:A,A77)&gt;0,COUNTIF(Kendaraan!A:A,A77)&gt;0)</f>
        <v>1</v>
      </c>
    </row>
    <row r="78" spans="1:9" x14ac:dyDescent="0.45">
      <c r="A78" s="4">
        <v>45461</v>
      </c>
      <c r="B78" t="s">
        <v>1941</v>
      </c>
      <c r="C78" t="s">
        <v>2400</v>
      </c>
      <c r="D78" t="s">
        <v>2401</v>
      </c>
      <c r="E78" t="s">
        <v>1373</v>
      </c>
      <c r="F78" t="s">
        <v>1646</v>
      </c>
      <c r="G78" t="s">
        <v>1179</v>
      </c>
      <c r="H78">
        <v>24</v>
      </c>
      <c r="I78" t="b">
        <f>AND(COUNTIF(CO!A:A,A78)&gt;0,COUNTIF('NO2'!A:A,A78)&gt;0,COUNTIF('PM10'!A:A,A78)&gt;0,COUNTIF('PM2.5'!A:A,A78)&gt;0,COUNTIF('SO2'!A:A,A78)&gt;0,COUNTIF(Kendaraan!A:A,A78)&gt;0)</f>
        <v>1</v>
      </c>
    </row>
    <row r="79" spans="1:9" x14ac:dyDescent="0.45">
      <c r="A79" s="4">
        <v>45462</v>
      </c>
      <c r="B79" t="s">
        <v>1857</v>
      </c>
      <c r="C79" t="s">
        <v>1091</v>
      </c>
      <c r="D79" t="s">
        <v>1080</v>
      </c>
      <c r="E79" t="s">
        <v>2402</v>
      </c>
      <c r="F79" t="s">
        <v>2403</v>
      </c>
      <c r="G79" t="s">
        <v>2404</v>
      </c>
      <c r="H79">
        <v>24</v>
      </c>
      <c r="I79" t="b">
        <f>AND(COUNTIF(CO!A:A,A79)&gt;0,COUNTIF('NO2'!A:A,A79)&gt;0,COUNTIF('PM10'!A:A,A79)&gt;0,COUNTIF('PM2.5'!A:A,A79)&gt;0,COUNTIF('SO2'!A:A,A79)&gt;0,COUNTIF(Kendaraan!A:A,A79)&gt;0)</f>
        <v>1</v>
      </c>
    </row>
    <row r="80" spans="1:9" x14ac:dyDescent="0.45">
      <c r="A80" s="4">
        <v>45463</v>
      </c>
      <c r="B80" t="s">
        <v>1088</v>
      </c>
      <c r="C80" t="s">
        <v>1963</v>
      </c>
      <c r="D80" t="s">
        <v>1090</v>
      </c>
      <c r="E80">
        <v>16</v>
      </c>
      <c r="F80" t="s">
        <v>1084</v>
      </c>
      <c r="G80" t="s">
        <v>289</v>
      </c>
      <c r="H80">
        <v>24</v>
      </c>
      <c r="I80" t="b">
        <f>AND(COUNTIF(CO!A:A,A80)&gt;0,COUNTIF('NO2'!A:A,A80)&gt;0,COUNTIF('PM10'!A:A,A80)&gt;0,COUNTIF('PM2.5'!A:A,A80)&gt;0,COUNTIF('SO2'!A:A,A80)&gt;0,COUNTIF(Kendaraan!A:A,A80)&gt;0)</f>
        <v>1</v>
      </c>
    </row>
    <row r="81" spans="1:9" x14ac:dyDescent="0.45">
      <c r="A81" s="4">
        <v>45464</v>
      </c>
      <c r="B81" t="s">
        <v>1088</v>
      </c>
      <c r="C81" t="s">
        <v>1130</v>
      </c>
      <c r="D81" t="s">
        <v>2405</v>
      </c>
      <c r="E81" t="s">
        <v>1136</v>
      </c>
      <c r="F81" t="s">
        <v>2406</v>
      </c>
      <c r="G81" t="s">
        <v>70</v>
      </c>
      <c r="H81">
        <v>24</v>
      </c>
      <c r="I81" t="b">
        <f>AND(COUNTIF(CO!A:A,A81)&gt;0,COUNTIF('NO2'!A:A,A81)&gt;0,COUNTIF('PM10'!A:A,A81)&gt;0,COUNTIF('PM2.5'!A:A,A81)&gt;0,COUNTIF('SO2'!A:A,A81)&gt;0,COUNTIF(Kendaraan!A:A,A81)&gt;0)</f>
        <v>1</v>
      </c>
    </row>
    <row r="82" spans="1:9" x14ac:dyDescent="0.45">
      <c r="A82" s="4">
        <v>45465</v>
      </c>
      <c r="B82" t="s">
        <v>1080</v>
      </c>
      <c r="C82" t="s">
        <v>1963</v>
      </c>
      <c r="D82">
        <v>16</v>
      </c>
      <c r="E82" t="s">
        <v>942</v>
      </c>
      <c r="F82" t="s">
        <v>1962</v>
      </c>
      <c r="G82" t="s">
        <v>57</v>
      </c>
      <c r="H82">
        <v>24</v>
      </c>
      <c r="I82" t="b">
        <f>AND(COUNTIF(CO!A:A,A82)&gt;0,COUNTIF('NO2'!A:A,A82)&gt;0,COUNTIF('PM10'!A:A,A82)&gt;0,COUNTIF('PM2.5'!A:A,A82)&gt;0,COUNTIF('SO2'!A:A,A82)&gt;0,COUNTIF(Kendaraan!A:A,A82)&gt;0)</f>
        <v>1</v>
      </c>
    </row>
    <row r="83" spans="1:9" x14ac:dyDescent="0.45">
      <c r="A83" s="4">
        <v>45466</v>
      </c>
      <c r="B83" t="s">
        <v>1085</v>
      </c>
      <c r="C83" t="s">
        <v>934</v>
      </c>
      <c r="D83" t="s">
        <v>2407</v>
      </c>
      <c r="E83" t="s">
        <v>2408</v>
      </c>
      <c r="F83" t="s">
        <v>2409</v>
      </c>
      <c r="G83" t="s">
        <v>195</v>
      </c>
      <c r="H83">
        <v>24</v>
      </c>
      <c r="I83" t="b">
        <f>AND(COUNTIF(CO!A:A,A83)&gt;0,COUNTIF('NO2'!A:A,A83)&gt;0,COUNTIF('PM10'!A:A,A83)&gt;0,COUNTIF('PM2.5'!A:A,A83)&gt;0,COUNTIF('SO2'!A:A,A83)&gt;0,COUNTIF(Kendaraan!A:A,A83)&gt;0)</f>
        <v>1</v>
      </c>
    </row>
    <row r="84" spans="1:9" x14ac:dyDescent="0.45">
      <c r="A84" s="4">
        <v>45467</v>
      </c>
      <c r="B84" t="s">
        <v>1111</v>
      </c>
      <c r="C84">
        <v>17</v>
      </c>
      <c r="D84" t="s">
        <v>1096</v>
      </c>
      <c r="E84" t="s">
        <v>1117</v>
      </c>
      <c r="F84" t="s">
        <v>1167</v>
      </c>
      <c r="G84" t="s">
        <v>2410</v>
      </c>
      <c r="H84">
        <v>24</v>
      </c>
      <c r="I84" t="b">
        <f>AND(COUNTIF(CO!A:A,A84)&gt;0,COUNTIF('NO2'!A:A,A84)&gt;0,COUNTIF('PM10'!A:A,A84)&gt;0,COUNTIF('PM2.5'!A:A,A84)&gt;0,COUNTIF('SO2'!A:A,A84)&gt;0,COUNTIF(Kendaraan!A:A,A84)&gt;0)</f>
        <v>1</v>
      </c>
    </row>
    <row r="85" spans="1:9" x14ac:dyDescent="0.45">
      <c r="A85" s="4">
        <v>45468</v>
      </c>
      <c r="B85" t="s">
        <v>1080</v>
      </c>
      <c r="C85" t="s">
        <v>1115</v>
      </c>
      <c r="D85" t="s">
        <v>1136</v>
      </c>
      <c r="E85" t="s">
        <v>2411</v>
      </c>
      <c r="F85" t="s">
        <v>1296</v>
      </c>
      <c r="G85" t="s">
        <v>2412</v>
      </c>
      <c r="H85">
        <v>24</v>
      </c>
      <c r="I85" t="b">
        <f>AND(COUNTIF(CO!A:A,A85)&gt;0,COUNTIF('NO2'!A:A,A85)&gt;0,COUNTIF('PM10'!A:A,A85)&gt;0,COUNTIF('PM2.5'!A:A,A85)&gt;0,COUNTIF('SO2'!A:A,A85)&gt;0,COUNTIF(Kendaraan!A:A,A85)&gt;0)</f>
        <v>1</v>
      </c>
    </row>
    <row r="86" spans="1:9" x14ac:dyDescent="0.45">
      <c r="A86" s="4">
        <v>45469</v>
      </c>
      <c r="B86" t="s">
        <v>2411</v>
      </c>
      <c r="C86" t="s">
        <v>1117</v>
      </c>
      <c r="D86" t="s">
        <v>2413</v>
      </c>
      <c r="E86" t="s">
        <v>2414</v>
      </c>
      <c r="F86" t="s">
        <v>1115</v>
      </c>
      <c r="G86" t="s">
        <v>2109</v>
      </c>
      <c r="H86">
        <v>24</v>
      </c>
      <c r="I86" t="b">
        <f>AND(COUNTIF(CO!A:A,A86)&gt;0,COUNTIF('NO2'!A:A,A86)&gt;0,COUNTIF('PM10'!A:A,A86)&gt;0,COUNTIF('PM2.5'!A:A,A86)&gt;0,COUNTIF('SO2'!A:A,A86)&gt;0,COUNTIF(Kendaraan!A:A,A86)&gt;0)</f>
        <v>1</v>
      </c>
    </row>
    <row r="87" spans="1:9" x14ac:dyDescent="0.45">
      <c r="A87" s="4">
        <v>45470</v>
      </c>
      <c r="B87">
        <v>16</v>
      </c>
      <c r="C87" t="s">
        <v>2415</v>
      </c>
      <c r="D87" t="s">
        <v>2416</v>
      </c>
      <c r="E87" t="s">
        <v>1084</v>
      </c>
      <c r="F87" t="s">
        <v>2417</v>
      </c>
      <c r="G87" s="1">
        <v>26023</v>
      </c>
      <c r="H87">
        <v>23</v>
      </c>
      <c r="I87" t="b">
        <f>AND(COUNTIF(CO!A:A,A87)&gt;0,COUNTIF('NO2'!A:A,A87)&gt;0,COUNTIF('PM10'!A:A,A87)&gt;0,COUNTIF('PM2.5'!A:A,A87)&gt;0,COUNTIF('SO2'!A:A,A87)&gt;0,COUNTIF(Kendaraan!A:A,A87)&gt;0)</f>
        <v>1</v>
      </c>
    </row>
    <row r="88" spans="1:9" x14ac:dyDescent="0.45">
      <c r="A88" s="4">
        <v>45471</v>
      </c>
      <c r="B88" t="s">
        <v>2418</v>
      </c>
      <c r="C88" t="s">
        <v>2419</v>
      </c>
      <c r="D88" t="s">
        <v>2420</v>
      </c>
      <c r="E88" t="s">
        <v>2421</v>
      </c>
      <c r="F88" t="s">
        <v>2422</v>
      </c>
      <c r="G88" t="s">
        <v>1708</v>
      </c>
      <c r="H88">
        <v>23</v>
      </c>
      <c r="I88" t="b">
        <f>AND(COUNTIF(CO!A:A,A88)&gt;0,COUNTIF('NO2'!A:A,A88)&gt;0,COUNTIF('PM10'!A:A,A88)&gt;0,COUNTIF('PM2.5'!A:A,A88)&gt;0,COUNTIF('SO2'!A:A,A88)&gt;0,COUNTIF(Kendaraan!A:A,A88)&gt;0)</f>
        <v>1</v>
      </c>
    </row>
    <row r="89" spans="1:9" x14ac:dyDescent="0.45">
      <c r="A89" s="4">
        <v>45472</v>
      </c>
      <c r="B89" t="s">
        <v>2423</v>
      </c>
      <c r="C89" t="s">
        <v>2424</v>
      </c>
      <c r="D89" t="s">
        <v>2425</v>
      </c>
      <c r="E89" t="s">
        <v>2426</v>
      </c>
      <c r="F89" t="s">
        <v>2427</v>
      </c>
      <c r="G89" s="1">
        <v>3029</v>
      </c>
      <c r="H89">
        <v>24</v>
      </c>
      <c r="I89" t="b">
        <f>AND(COUNTIF(CO!A:A,A89)&gt;0,COUNTIF('NO2'!A:A,A89)&gt;0,COUNTIF('PM10'!A:A,A89)&gt;0,COUNTIF('PM2.5'!A:A,A89)&gt;0,COUNTIF('SO2'!A:A,A89)&gt;0,COUNTIF(Kendaraan!A:A,A89)&gt;0)</f>
        <v>1</v>
      </c>
    </row>
    <row r="90" spans="1:9" x14ac:dyDescent="0.45">
      <c r="A90" s="4">
        <v>45473</v>
      </c>
      <c r="B90" t="s">
        <v>2428</v>
      </c>
      <c r="C90" t="s">
        <v>2429</v>
      </c>
      <c r="D90" t="s">
        <v>2430</v>
      </c>
      <c r="E90" t="s">
        <v>2431</v>
      </c>
      <c r="F90" t="s">
        <v>2432</v>
      </c>
      <c r="G90" t="s">
        <v>2433</v>
      </c>
      <c r="H90">
        <v>24</v>
      </c>
      <c r="I90" t="b">
        <f>AND(COUNTIF(CO!A:A,A90)&gt;0,COUNTIF('NO2'!A:A,A90)&gt;0,COUNTIF('PM10'!A:A,A90)&gt;0,COUNTIF('PM2.5'!A:A,A90)&gt;0,COUNTIF('SO2'!A:A,A90)&gt;0,COUNTIF(Kendaraan!A:A,A90)&gt;0)</f>
        <v>1</v>
      </c>
    </row>
    <row r="91" spans="1:9" x14ac:dyDescent="0.45">
      <c r="A91" s="4">
        <v>45474</v>
      </c>
      <c r="B91" t="s">
        <v>2434</v>
      </c>
      <c r="C91" t="s">
        <v>2435</v>
      </c>
      <c r="D91" t="s">
        <v>2436</v>
      </c>
      <c r="E91" t="s">
        <v>2437</v>
      </c>
      <c r="F91" t="s">
        <v>2438</v>
      </c>
      <c r="G91" t="s">
        <v>140</v>
      </c>
      <c r="H91">
        <v>24</v>
      </c>
      <c r="I91" t="b">
        <f>AND(COUNTIF(CO!A:A,A91)&gt;0,COUNTIF('NO2'!A:A,A91)&gt;0,COUNTIF('PM10'!A:A,A91)&gt;0,COUNTIF('PM2.5'!A:A,A91)&gt;0,COUNTIF('SO2'!A:A,A91)&gt;0,COUNTIF(Kendaraan!A:A,A91)&gt;0)</f>
        <v>1</v>
      </c>
    </row>
    <row r="92" spans="1:9" x14ac:dyDescent="0.45">
      <c r="A92" s="4">
        <v>45475</v>
      </c>
      <c r="B92" t="s">
        <v>2439</v>
      </c>
      <c r="C92" t="s">
        <v>2440</v>
      </c>
      <c r="D92" t="s">
        <v>2441</v>
      </c>
      <c r="E92" t="s">
        <v>2442</v>
      </c>
      <c r="F92" t="s">
        <v>2443</v>
      </c>
      <c r="G92" t="s">
        <v>2444</v>
      </c>
      <c r="H92">
        <v>24</v>
      </c>
      <c r="I92" t="b">
        <f>AND(COUNTIF(CO!A:A,A92)&gt;0,COUNTIF('NO2'!A:A,A92)&gt;0,COUNTIF('PM10'!A:A,A92)&gt;0,COUNTIF('PM2.5'!A:A,A92)&gt;0,COUNTIF('SO2'!A:A,A92)&gt;0,COUNTIF(Kendaraan!A:A,A92)&gt;0)</f>
        <v>1</v>
      </c>
    </row>
    <row r="93" spans="1:9" x14ac:dyDescent="0.45">
      <c r="A93" s="4">
        <v>45476</v>
      </c>
      <c r="B93" t="s">
        <v>2445</v>
      </c>
      <c r="C93" t="s">
        <v>2446</v>
      </c>
      <c r="D93" t="s">
        <v>2447</v>
      </c>
      <c r="E93" t="s">
        <v>2448</v>
      </c>
      <c r="F93" t="s">
        <v>2449</v>
      </c>
      <c r="G93" t="s">
        <v>2450</v>
      </c>
      <c r="H93">
        <v>23</v>
      </c>
      <c r="I93" t="b">
        <f>AND(COUNTIF(CO!A:A,A93)&gt;0,COUNTIF('NO2'!A:A,A93)&gt;0,COUNTIF('PM10'!A:A,A93)&gt;0,COUNTIF('PM2.5'!A:A,A93)&gt;0,COUNTIF('SO2'!A:A,A93)&gt;0,COUNTIF(Kendaraan!A:A,A93)&gt;0)</f>
        <v>1</v>
      </c>
    </row>
    <row r="94" spans="1:9" x14ac:dyDescent="0.45">
      <c r="A94" s="4">
        <v>45477</v>
      </c>
      <c r="B94" t="s">
        <v>2451</v>
      </c>
      <c r="C94" t="s">
        <v>2452</v>
      </c>
      <c r="D94" t="s">
        <v>2453</v>
      </c>
      <c r="E94" t="s">
        <v>2454</v>
      </c>
      <c r="F94" t="s">
        <v>2455</v>
      </c>
      <c r="G94" t="s">
        <v>2456</v>
      </c>
      <c r="H94">
        <v>24</v>
      </c>
      <c r="I94" t="b">
        <f>AND(COUNTIF(CO!A:A,A94)&gt;0,COUNTIF('NO2'!A:A,A94)&gt;0,COUNTIF('PM10'!A:A,A94)&gt;0,COUNTIF('PM2.5'!A:A,A94)&gt;0,COUNTIF('SO2'!A:A,A94)&gt;0,COUNTIF(Kendaraan!A:A,A94)&gt;0)</f>
        <v>1</v>
      </c>
    </row>
    <row r="95" spans="1:9" x14ac:dyDescent="0.45">
      <c r="A95" s="4">
        <v>45478</v>
      </c>
      <c r="B95" t="s">
        <v>2457</v>
      </c>
      <c r="C95" t="s">
        <v>2458</v>
      </c>
      <c r="D95" t="s">
        <v>2459</v>
      </c>
      <c r="E95" t="s">
        <v>2460</v>
      </c>
      <c r="F95" t="s">
        <v>2461</v>
      </c>
      <c r="G95" t="s">
        <v>2462</v>
      </c>
      <c r="H95">
        <v>24</v>
      </c>
      <c r="I95" t="b">
        <f>AND(COUNTIF(CO!A:A,A95)&gt;0,COUNTIF('NO2'!A:A,A95)&gt;0,COUNTIF('PM10'!A:A,A95)&gt;0,COUNTIF('PM2.5'!A:A,A95)&gt;0,COUNTIF('SO2'!A:A,A95)&gt;0,COUNTIF(Kendaraan!A:A,A95)&gt;0)</f>
        <v>1</v>
      </c>
    </row>
    <row r="96" spans="1:9" x14ac:dyDescent="0.45">
      <c r="A96" s="4">
        <v>45479</v>
      </c>
      <c r="B96" t="s">
        <v>2463</v>
      </c>
      <c r="C96" t="s">
        <v>2464</v>
      </c>
      <c r="D96" t="s">
        <v>2465</v>
      </c>
      <c r="E96" t="s">
        <v>2466</v>
      </c>
      <c r="F96" t="s">
        <v>2467</v>
      </c>
      <c r="G96" s="1">
        <v>1718</v>
      </c>
      <c r="H96">
        <v>24</v>
      </c>
      <c r="I96" t="b">
        <f>AND(COUNTIF(CO!A:A,A96)&gt;0,COUNTIF('NO2'!A:A,A96)&gt;0,COUNTIF('PM10'!A:A,A96)&gt;0,COUNTIF('PM2.5'!A:A,A96)&gt;0,COUNTIF('SO2'!A:A,A96)&gt;0,COUNTIF(Kendaraan!A:A,A96)&gt;0)</f>
        <v>1</v>
      </c>
    </row>
    <row r="97" spans="1:9" x14ac:dyDescent="0.45">
      <c r="A97" s="4">
        <v>45480</v>
      </c>
      <c r="B97" t="s">
        <v>2468</v>
      </c>
      <c r="C97" t="s">
        <v>2469</v>
      </c>
      <c r="D97" t="s">
        <v>2470</v>
      </c>
      <c r="E97" t="s">
        <v>2471</v>
      </c>
      <c r="F97" t="s">
        <v>2472</v>
      </c>
      <c r="G97" t="s">
        <v>2473</v>
      </c>
      <c r="H97">
        <v>24</v>
      </c>
      <c r="I97" t="b">
        <f>AND(COUNTIF(CO!A:A,A97)&gt;0,COUNTIF('NO2'!A:A,A97)&gt;0,COUNTIF('PM10'!A:A,A97)&gt;0,COUNTIF('PM2.5'!A:A,A97)&gt;0,COUNTIF('SO2'!A:A,A97)&gt;0,COUNTIF(Kendaraan!A:A,A97)&gt;0)</f>
        <v>1</v>
      </c>
    </row>
    <row r="98" spans="1:9" x14ac:dyDescent="0.45">
      <c r="A98" s="4">
        <v>45481</v>
      </c>
      <c r="B98" t="s">
        <v>2474</v>
      </c>
      <c r="C98" t="s">
        <v>2475</v>
      </c>
      <c r="D98" t="s">
        <v>2476</v>
      </c>
      <c r="E98" t="s">
        <v>2472</v>
      </c>
      <c r="F98" t="s">
        <v>2477</v>
      </c>
      <c r="G98" t="s">
        <v>2478</v>
      </c>
      <c r="H98">
        <v>24</v>
      </c>
      <c r="I98" t="b">
        <f>AND(COUNTIF(CO!A:A,A98)&gt;0,COUNTIF('NO2'!A:A,A98)&gt;0,COUNTIF('PM10'!A:A,A98)&gt;0,COUNTIF('PM2.5'!A:A,A98)&gt;0,COUNTIF('SO2'!A:A,A98)&gt;0,COUNTIF(Kendaraan!A:A,A98)&gt;0)</f>
        <v>1</v>
      </c>
    </row>
    <row r="99" spans="1:9" x14ac:dyDescent="0.45">
      <c r="A99" s="4">
        <v>45482</v>
      </c>
      <c r="B99" t="s">
        <v>2479</v>
      </c>
      <c r="C99" t="s">
        <v>2457</v>
      </c>
      <c r="D99" t="s">
        <v>2480</v>
      </c>
      <c r="E99" t="s">
        <v>2465</v>
      </c>
      <c r="F99" t="s">
        <v>2481</v>
      </c>
      <c r="G99" t="s">
        <v>2482</v>
      </c>
      <c r="H99">
        <v>24</v>
      </c>
      <c r="I99" t="b">
        <f>AND(COUNTIF(CO!A:A,A99)&gt;0,COUNTIF('NO2'!A:A,A99)&gt;0,COUNTIF('PM10'!A:A,A99)&gt;0,COUNTIF('PM2.5'!A:A,A99)&gt;0,COUNTIF('SO2'!A:A,A99)&gt;0,COUNTIF(Kendaraan!A:A,A99)&gt;0)</f>
        <v>1</v>
      </c>
    </row>
    <row r="100" spans="1:9" x14ac:dyDescent="0.45">
      <c r="A100" s="4">
        <v>45483</v>
      </c>
      <c r="B100" t="s">
        <v>392</v>
      </c>
      <c r="C100" t="s">
        <v>2483</v>
      </c>
      <c r="D100" t="s">
        <v>2484</v>
      </c>
      <c r="E100">
        <v>127</v>
      </c>
      <c r="F100" t="s">
        <v>2485</v>
      </c>
      <c r="G100" s="1">
        <v>1398</v>
      </c>
      <c r="H100">
        <v>15</v>
      </c>
      <c r="I100" t="b">
        <f>AND(COUNTIF(CO!A:A,A100)&gt;0,COUNTIF('NO2'!A:A,A100)&gt;0,COUNTIF('PM10'!A:A,A100)&gt;0,COUNTIF('PM2.5'!A:A,A100)&gt;0,COUNTIF('SO2'!A:A,A100)&gt;0,COUNTIF(Kendaraan!A:A,A100)&gt;0)</f>
        <v>1</v>
      </c>
    </row>
    <row r="101" spans="1:9" x14ac:dyDescent="0.45">
      <c r="A101" s="4">
        <v>45484</v>
      </c>
      <c r="B101" t="s">
        <v>2486</v>
      </c>
      <c r="C101" t="s">
        <v>2486</v>
      </c>
      <c r="D101" t="s">
        <v>2486</v>
      </c>
      <c r="E101" t="s">
        <v>2486</v>
      </c>
      <c r="F101" t="s">
        <v>2486</v>
      </c>
      <c r="G101">
        <v>0</v>
      </c>
      <c r="H101">
        <v>1</v>
      </c>
      <c r="I101" t="b">
        <f>AND(COUNTIF(CO!A:A,A101)&gt;0,COUNTIF('NO2'!A:A,A101)&gt;0,COUNTIF('PM10'!A:A,A101)&gt;0,COUNTIF('PM2.5'!A:A,A101)&gt;0,COUNTIF('SO2'!A:A,A101)&gt;0,COUNTIF(Kendaraan!A:A,A101)&gt;0)</f>
        <v>1</v>
      </c>
    </row>
    <row r="102" spans="1:9" x14ac:dyDescent="0.45">
      <c r="A102" s="4">
        <v>45485</v>
      </c>
      <c r="B102" t="s">
        <v>2487</v>
      </c>
      <c r="C102" t="s">
        <v>2488</v>
      </c>
      <c r="D102" t="s">
        <v>2489</v>
      </c>
      <c r="E102" t="s">
        <v>2490</v>
      </c>
      <c r="F102" t="s">
        <v>2491</v>
      </c>
      <c r="G102" t="s">
        <v>2492</v>
      </c>
      <c r="H102">
        <v>24</v>
      </c>
      <c r="I102" t="b">
        <f>AND(COUNTIF(CO!A:A,A102)&gt;0,COUNTIF('NO2'!A:A,A102)&gt;0,COUNTIF('PM10'!A:A,A102)&gt;0,COUNTIF('PM2.5'!A:A,A102)&gt;0,COUNTIF('SO2'!A:A,A102)&gt;0,COUNTIF(Kendaraan!A:A,A102)&gt;0)</f>
        <v>1</v>
      </c>
    </row>
    <row r="103" spans="1:9" x14ac:dyDescent="0.45">
      <c r="A103" s="4">
        <v>45486</v>
      </c>
      <c r="B103" t="s">
        <v>2375</v>
      </c>
      <c r="C103" t="s">
        <v>2493</v>
      </c>
      <c r="D103" t="s">
        <v>2494</v>
      </c>
      <c r="E103" t="s">
        <v>2495</v>
      </c>
      <c r="F103" t="s">
        <v>2496</v>
      </c>
      <c r="G103" s="1">
        <v>1068</v>
      </c>
      <c r="H103">
        <v>24</v>
      </c>
      <c r="I103" t="b">
        <f>AND(COUNTIF(CO!A:A,A103)&gt;0,COUNTIF('NO2'!A:A,A103)&gt;0,COUNTIF('PM10'!A:A,A103)&gt;0,COUNTIF('PM2.5'!A:A,A103)&gt;0,COUNTIF('SO2'!A:A,A103)&gt;0,COUNTIF(Kendaraan!A:A,A103)&gt;0)</f>
        <v>1</v>
      </c>
    </row>
    <row r="104" spans="1:9" x14ac:dyDescent="0.45">
      <c r="A104" s="4">
        <v>45487</v>
      </c>
      <c r="B104" t="s">
        <v>2268</v>
      </c>
      <c r="C104" t="s">
        <v>2497</v>
      </c>
      <c r="D104" t="s">
        <v>2498</v>
      </c>
      <c r="E104" t="s">
        <v>2499</v>
      </c>
      <c r="F104" t="s">
        <v>2500</v>
      </c>
      <c r="G104" t="s">
        <v>2501</v>
      </c>
      <c r="H104">
        <v>24</v>
      </c>
      <c r="I104" t="b">
        <f>AND(COUNTIF(CO!A:A,A104)&gt;0,COUNTIF('NO2'!A:A,A104)&gt;0,COUNTIF('PM10'!A:A,A104)&gt;0,COUNTIF('PM2.5'!A:A,A104)&gt;0,COUNTIF('SO2'!A:A,A104)&gt;0,COUNTIF(Kendaraan!A:A,A104)&gt;0)</f>
        <v>1</v>
      </c>
    </row>
    <row r="105" spans="1:9" x14ac:dyDescent="0.45">
      <c r="A105" s="4">
        <v>45488</v>
      </c>
      <c r="B105" t="s">
        <v>2502</v>
      </c>
      <c r="C105" t="s">
        <v>2503</v>
      </c>
      <c r="D105" t="s">
        <v>2504</v>
      </c>
      <c r="E105" t="s">
        <v>2505</v>
      </c>
      <c r="F105" t="s">
        <v>2506</v>
      </c>
      <c r="G105" t="s">
        <v>25</v>
      </c>
      <c r="H105">
        <v>24</v>
      </c>
      <c r="I105" t="b">
        <f>AND(COUNTIF(CO!A:A,A105)&gt;0,COUNTIF('NO2'!A:A,A105)&gt;0,COUNTIF('PM10'!A:A,A105)&gt;0,COUNTIF('PM2.5'!A:A,A105)&gt;0,COUNTIF('SO2'!A:A,A105)&gt;0,COUNTIF(Kendaraan!A:A,A105)&gt;0)</f>
        <v>1</v>
      </c>
    </row>
    <row r="106" spans="1:9" x14ac:dyDescent="0.45">
      <c r="A106" s="4">
        <v>45489</v>
      </c>
      <c r="B106">
        <v>42</v>
      </c>
      <c r="C106" t="s">
        <v>2507</v>
      </c>
      <c r="D106" t="s">
        <v>2508</v>
      </c>
      <c r="E106" t="s">
        <v>2171</v>
      </c>
      <c r="F106" t="s">
        <v>2509</v>
      </c>
      <c r="G106" t="s">
        <v>2510</v>
      </c>
      <c r="H106">
        <v>24</v>
      </c>
      <c r="I106" t="b">
        <f>AND(COUNTIF(CO!A:A,A106)&gt;0,COUNTIF('NO2'!A:A,A106)&gt;0,COUNTIF('PM10'!A:A,A106)&gt;0,COUNTIF('PM2.5'!A:A,A106)&gt;0,COUNTIF('SO2'!A:A,A106)&gt;0,COUNTIF(Kendaraan!A:A,A106)&gt;0)</f>
        <v>1</v>
      </c>
    </row>
    <row r="107" spans="1:9" x14ac:dyDescent="0.45">
      <c r="A107" s="4">
        <v>45490</v>
      </c>
      <c r="B107" t="s">
        <v>2511</v>
      </c>
      <c r="C107" t="s">
        <v>2512</v>
      </c>
      <c r="D107" t="s">
        <v>2513</v>
      </c>
      <c r="E107" t="s">
        <v>2514</v>
      </c>
      <c r="F107" t="s">
        <v>2515</v>
      </c>
      <c r="G107" s="1">
        <v>1371</v>
      </c>
      <c r="H107">
        <v>24</v>
      </c>
      <c r="I107" t="b">
        <f>AND(COUNTIF(CO!A:A,A107)&gt;0,COUNTIF('NO2'!A:A,A107)&gt;0,COUNTIF('PM10'!A:A,A107)&gt;0,COUNTIF('PM2.5'!A:A,A107)&gt;0,COUNTIF('SO2'!A:A,A107)&gt;0,COUNTIF(Kendaraan!A:A,A107)&gt;0)</f>
        <v>1</v>
      </c>
    </row>
    <row r="108" spans="1:9" x14ac:dyDescent="0.45">
      <c r="A108" s="4">
        <v>45491</v>
      </c>
      <c r="B108" t="s">
        <v>2516</v>
      </c>
      <c r="C108" t="s">
        <v>2517</v>
      </c>
      <c r="D108" t="s">
        <v>746</v>
      </c>
      <c r="E108" t="s">
        <v>2518</v>
      </c>
      <c r="F108" t="s">
        <v>2519</v>
      </c>
      <c r="G108" s="1">
        <v>1629</v>
      </c>
      <c r="H108">
        <v>24</v>
      </c>
      <c r="I108" t="b">
        <f>AND(COUNTIF(CO!A:A,A108)&gt;0,COUNTIF('NO2'!A:A,A108)&gt;0,COUNTIF('PM10'!A:A,A108)&gt;0,COUNTIF('PM2.5'!A:A,A108)&gt;0,COUNTIF('SO2'!A:A,A108)&gt;0,COUNTIF(Kendaraan!A:A,A108)&gt;0)</f>
        <v>1</v>
      </c>
    </row>
    <row r="109" spans="1:9" x14ac:dyDescent="0.45">
      <c r="A109" s="4">
        <v>45492</v>
      </c>
      <c r="B109" t="s">
        <v>2486</v>
      </c>
      <c r="C109" t="s">
        <v>2520</v>
      </c>
      <c r="D109" t="s">
        <v>2521</v>
      </c>
      <c r="E109" t="s">
        <v>2522</v>
      </c>
      <c r="F109" t="s">
        <v>2523</v>
      </c>
      <c r="G109" s="1">
        <v>2823</v>
      </c>
      <c r="H109">
        <v>24</v>
      </c>
      <c r="I109" t="b">
        <f>AND(COUNTIF(CO!A:A,A109)&gt;0,COUNTIF('NO2'!A:A,A109)&gt;0,COUNTIF('PM10'!A:A,A109)&gt;0,COUNTIF('PM2.5'!A:A,A109)&gt;0,COUNTIF('SO2'!A:A,A109)&gt;0,COUNTIF(Kendaraan!A:A,A109)&gt;0)</f>
        <v>1</v>
      </c>
    </row>
    <row r="110" spans="1:9" x14ac:dyDescent="0.45">
      <c r="A110" s="4">
        <v>45493</v>
      </c>
      <c r="B110" t="s">
        <v>2524</v>
      </c>
      <c r="C110" t="s">
        <v>2525</v>
      </c>
      <c r="D110" t="s">
        <v>2526</v>
      </c>
      <c r="E110" t="s">
        <v>2527</v>
      </c>
      <c r="F110" t="s">
        <v>2528</v>
      </c>
      <c r="G110" t="s">
        <v>1012</v>
      </c>
      <c r="H110">
        <v>24</v>
      </c>
      <c r="I110" t="b">
        <f>AND(COUNTIF(CO!A:A,A110)&gt;0,COUNTIF('NO2'!A:A,A110)&gt;0,COUNTIF('PM10'!A:A,A110)&gt;0,COUNTIF('PM2.5'!A:A,A110)&gt;0,COUNTIF('SO2'!A:A,A110)&gt;0,COUNTIF(Kendaraan!A:A,A110)&gt;0)</f>
        <v>1</v>
      </c>
    </row>
    <row r="111" spans="1:9" x14ac:dyDescent="0.45">
      <c r="A111" s="4">
        <v>45494</v>
      </c>
      <c r="B111" t="s">
        <v>2529</v>
      </c>
      <c r="C111" t="s">
        <v>2530</v>
      </c>
      <c r="D111" t="s">
        <v>2531</v>
      </c>
      <c r="E111" t="s">
        <v>2532</v>
      </c>
      <c r="F111" t="s">
        <v>2533</v>
      </c>
      <c r="G111" t="s">
        <v>2534</v>
      </c>
      <c r="H111">
        <v>23</v>
      </c>
      <c r="I111" t="b">
        <f>AND(COUNTIF(CO!A:A,A111)&gt;0,COUNTIF('NO2'!A:A,A111)&gt;0,COUNTIF('PM10'!A:A,A111)&gt;0,COUNTIF('PM2.5'!A:A,A111)&gt;0,COUNTIF('SO2'!A:A,A111)&gt;0,COUNTIF(Kendaraan!A:A,A111)&gt;0)</f>
        <v>1</v>
      </c>
    </row>
    <row r="112" spans="1:9" x14ac:dyDescent="0.45">
      <c r="A112" s="4">
        <v>45495</v>
      </c>
      <c r="B112" t="s">
        <v>2535</v>
      </c>
      <c r="C112" t="s">
        <v>2536</v>
      </c>
      <c r="D112" t="s">
        <v>2129</v>
      </c>
      <c r="E112" t="s">
        <v>2537</v>
      </c>
      <c r="F112" t="s">
        <v>2538</v>
      </c>
      <c r="G112" t="s">
        <v>2310</v>
      </c>
      <c r="H112">
        <v>24</v>
      </c>
      <c r="I112" t="b">
        <f>AND(COUNTIF(CO!A:A,A112)&gt;0,COUNTIF('NO2'!A:A,A112)&gt;0,COUNTIF('PM10'!A:A,A112)&gt;0,COUNTIF('PM2.5'!A:A,A112)&gt;0,COUNTIF('SO2'!A:A,A112)&gt;0,COUNTIF(Kendaraan!A:A,A112)&gt;0)</f>
        <v>1</v>
      </c>
    </row>
    <row r="113" spans="1:9" x14ac:dyDescent="0.45">
      <c r="A113" s="4">
        <v>45496</v>
      </c>
      <c r="B113" t="s">
        <v>2156</v>
      </c>
      <c r="C113" t="s">
        <v>2539</v>
      </c>
      <c r="D113" t="s">
        <v>2540</v>
      </c>
      <c r="E113" t="s">
        <v>2541</v>
      </c>
      <c r="F113" t="s">
        <v>1024</v>
      </c>
      <c r="G113" s="1">
        <v>1368</v>
      </c>
      <c r="H113">
        <v>24</v>
      </c>
      <c r="I113" t="b">
        <f>AND(COUNTIF(CO!A:A,A113)&gt;0,COUNTIF('NO2'!A:A,A113)&gt;0,COUNTIF('PM10'!A:A,A113)&gt;0,COUNTIF('PM2.5'!A:A,A113)&gt;0,COUNTIF('SO2'!A:A,A113)&gt;0,COUNTIF(Kendaraan!A:A,A113)&gt;0)</f>
        <v>1</v>
      </c>
    </row>
    <row r="114" spans="1:9" x14ac:dyDescent="0.45">
      <c r="A114" s="4">
        <v>45497</v>
      </c>
      <c r="B114" t="s">
        <v>2542</v>
      </c>
      <c r="C114" t="s">
        <v>368</v>
      </c>
      <c r="D114" t="s">
        <v>2240</v>
      </c>
      <c r="E114" t="s">
        <v>2543</v>
      </c>
      <c r="F114" t="s">
        <v>2054</v>
      </c>
      <c r="G114" s="1">
        <v>2187</v>
      </c>
      <c r="H114">
        <v>24</v>
      </c>
      <c r="I114" t="b">
        <f>AND(COUNTIF(CO!A:A,A114)&gt;0,COUNTIF('NO2'!A:A,A114)&gt;0,COUNTIF('PM10'!A:A,A114)&gt;0,COUNTIF('PM2.5'!A:A,A114)&gt;0,COUNTIF('SO2'!A:A,A114)&gt;0,COUNTIF(Kendaraan!A:A,A114)&gt;0)</f>
        <v>1</v>
      </c>
    </row>
    <row r="115" spans="1:9" x14ac:dyDescent="0.45">
      <c r="A115" s="4">
        <v>45498</v>
      </c>
      <c r="B115" t="s">
        <v>2544</v>
      </c>
      <c r="C115" t="s">
        <v>691</v>
      </c>
      <c r="D115" t="s">
        <v>2545</v>
      </c>
      <c r="E115" t="s">
        <v>2546</v>
      </c>
      <c r="F115" t="s">
        <v>2547</v>
      </c>
      <c r="G115" s="1">
        <v>1715</v>
      </c>
      <c r="H115">
        <v>24</v>
      </c>
      <c r="I115" t="b">
        <f>AND(COUNTIF(CO!A:A,A115)&gt;0,COUNTIF('NO2'!A:A,A115)&gt;0,COUNTIF('PM10'!A:A,A115)&gt;0,COUNTIF('PM2.5'!A:A,A115)&gt;0,COUNTIF('SO2'!A:A,A115)&gt;0,COUNTIF(Kendaraan!A:A,A115)&gt;0)</f>
        <v>1</v>
      </c>
    </row>
    <row r="116" spans="1:9" x14ac:dyDescent="0.45">
      <c r="A116" s="4">
        <v>45499</v>
      </c>
      <c r="B116" t="s">
        <v>2548</v>
      </c>
      <c r="C116" t="s">
        <v>2549</v>
      </c>
      <c r="D116" t="s">
        <v>2225</v>
      </c>
      <c r="E116" t="s">
        <v>2550</v>
      </c>
      <c r="F116">
        <v>45</v>
      </c>
      <c r="G116" s="1">
        <v>5053</v>
      </c>
      <c r="H116">
        <v>24</v>
      </c>
      <c r="I116" t="b">
        <f>AND(COUNTIF(CO!A:A,A116)&gt;0,COUNTIF('NO2'!A:A,A116)&gt;0,COUNTIF('PM10'!A:A,A116)&gt;0,COUNTIF('PM2.5'!A:A,A116)&gt;0,COUNTIF('SO2'!A:A,A116)&gt;0,COUNTIF(Kendaraan!A:A,A116)&gt;0)</f>
        <v>1</v>
      </c>
    </row>
    <row r="117" spans="1:9" x14ac:dyDescent="0.45">
      <c r="A117" s="4">
        <v>45500</v>
      </c>
      <c r="B117" t="s">
        <v>2551</v>
      </c>
      <c r="C117" t="s">
        <v>2552</v>
      </c>
      <c r="D117" t="s">
        <v>2553</v>
      </c>
      <c r="E117" t="s">
        <v>2554</v>
      </c>
      <c r="F117" t="s">
        <v>2555</v>
      </c>
      <c r="G117" t="s">
        <v>2556</v>
      </c>
      <c r="H117">
        <v>24</v>
      </c>
      <c r="I117" t="b">
        <f>AND(COUNTIF(CO!A:A,A117)&gt;0,COUNTIF('NO2'!A:A,A117)&gt;0,COUNTIF('PM10'!A:A,A117)&gt;0,COUNTIF('PM2.5'!A:A,A117)&gt;0,COUNTIF('SO2'!A:A,A117)&gt;0,COUNTIF(Kendaraan!A:A,A117)&gt;0)</f>
        <v>1</v>
      </c>
    </row>
    <row r="118" spans="1:9" x14ac:dyDescent="0.45">
      <c r="A118" s="4">
        <v>45501</v>
      </c>
      <c r="B118" t="s">
        <v>544</v>
      </c>
      <c r="C118" t="s">
        <v>2137</v>
      </c>
      <c r="D118" t="s">
        <v>2147</v>
      </c>
      <c r="E118" t="s">
        <v>1530</v>
      </c>
      <c r="F118" t="s">
        <v>2325</v>
      </c>
      <c r="G118" t="s">
        <v>989</v>
      </c>
      <c r="H118">
        <v>24</v>
      </c>
      <c r="I118" t="b">
        <f>AND(COUNTIF(CO!A:A,A118)&gt;0,COUNTIF('NO2'!A:A,A118)&gt;0,COUNTIF('PM10'!A:A,A118)&gt;0,COUNTIF('PM2.5'!A:A,A118)&gt;0,COUNTIF('SO2'!A:A,A118)&gt;0,COUNTIF(Kendaraan!A:A,A118)&gt;0)</f>
        <v>1</v>
      </c>
    </row>
    <row r="119" spans="1:9" x14ac:dyDescent="0.45">
      <c r="A119" s="4">
        <v>45502</v>
      </c>
      <c r="B119" t="s">
        <v>2557</v>
      </c>
      <c r="C119" t="s">
        <v>2146</v>
      </c>
      <c r="D119" t="s">
        <v>1516</v>
      </c>
      <c r="E119" t="s">
        <v>534</v>
      </c>
      <c r="F119" t="s">
        <v>2558</v>
      </c>
      <c r="G119" t="s">
        <v>2559</v>
      </c>
      <c r="H119">
        <v>24</v>
      </c>
      <c r="I119" t="b">
        <f>AND(COUNTIF(CO!A:A,A119)&gt;0,COUNTIF('NO2'!A:A,A119)&gt;0,COUNTIF('PM10'!A:A,A119)&gt;0,COUNTIF('PM2.5'!A:A,A119)&gt;0,COUNTIF('SO2'!A:A,A119)&gt;0,COUNTIF(Kendaraan!A:A,A119)&gt;0)</f>
        <v>1</v>
      </c>
    </row>
    <row r="120" spans="1:9" x14ac:dyDescent="0.45">
      <c r="A120" s="4">
        <v>45503</v>
      </c>
      <c r="B120" t="s">
        <v>2551</v>
      </c>
      <c r="C120" t="s">
        <v>833</v>
      </c>
      <c r="D120" t="s">
        <v>2031</v>
      </c>
      <c r="E120" t="s">
        <v>2560</v>
      </c>
      <c r="F120" t="s">
        <v>2561</v>
      </c>
      <c r="G120" t="s">
        <v>2071</v>
      </c>
      <c r="H120">
        <v>24</v>
      </c>
      <c r="I120" t="b">
        <f>AND(COUNTIF(CO!A:A,A120)&gt;0,COUNTIF('NO2'!A:A,A120)&gt;0,COUNTIF('PM10'!A:A,A120)&gt;0,COUNTIF('PM2.5'!A:A,A120)&gt;0,COUNTIF('SO2'!A:A,A120)&gt;0,COUNTIF(Kendaraan!A:A,A120)&gt;0)</f>
        <v>1</v>
      </c>
    </row>
    <row r="121" spans="1:9" x14ac:dyDescent="0.45">
      <c r="A121" s="4">
        <v>45504</v>
      </c>
      <c r="B121" t="s">
        <v>2558</v>
      </c>
      <c r="C121" t="s">
        <v>864</v>
      </c>
      <c r="D121" t="s">
        <v>2562</v>
      </c>
      <c r="E121" t="s">
        <v>396</v>
      </c>
      <c r="F121" t="s">
        <v>830</v>
      </c>
      <c r="G121" t="s">
        <v>894</v>
      </c>
      <c r="H121">
        <v>24</v>
      </c>
      <c r="I121" t="b">
        <f>AND(COUNTIF(CO!A:A,A121)&gt;0,COUNTIF('NO2'!A:A,A121)&gt;0,COUNTIF('PM10'!A:A,A121)&gt;0,COUNTIF('PM2.5'!A:A,A121)&gt;0,COUNTIF('SO2'!A:A,A121)&gt;0,COUNTIF(Kendaraan!A:A,A121)&gt;0)</f>
        <v>1</v>
      </c>
    </row>
    <row r="122" spans="1:9" x14ac:dyDescent="0.45">
      <c r="A122" s="4">
        <v>45505</v>
      </c>
      <c r="B122" t="s">
        <v>830</v>
      </c>
      <c r="C122" t="s">
        <v>854</v>
      </c>
      <c r="D122" t="s">
        <v>2563</v>
      </c>
      <c r="E122" t="s">
        <v>2564</v>
      </c>
      <c r="F122" t="s">
        <v>2565</v>
      </c>
      <c r="G122" t="s">
        <v>277</v>
      </c>
      <c r="H122">
        <v>24</v>
      </c>
      <c r="I122" t="b">
        <f>AND(COUNTIF(CO!A:A,A122)&gt;0,COUNTIF('NO2'!A:A,A122)&gt;0,COUNTIF('PM10'!A:A,A122)&gt;0,COUNTIF('PM2.5'!A:A,A122)&gt;0,COUNTIF('SO2'!A:A,A122)&gt;0,COUNTIF(Kendaraan!A:A,A122)&gt;0)</f>
        <v>1</v>
      </c>
    </row>
    <row r="123" spans="1:9" x14ac:dyDescent="0.45">
      <c r="A123" s="4">
        <v>45506</v>
      </c>
      <c r="B123" t="s">
        <v>860</v>
      </c>
      <c r="C123" t="s">
        <v>2566</v>
      </c>
      <c r="D123" t="s">
        <v>2567</v>
      </c>
      <c r="E123" t="s">
        <v>2048</v>
      </c>
      <c r="F123" t="s">
        <v>2147</v>
      </c>
      <c r="G123" t="s">
        <v>2568</v>
      </c>
      <c r="H123">
        <v>24</v>
      </c>
      <c r="I123" t="b">
        <f>AND(COUNTIF(CO!A:A,A123)&gt;0,COUNTIF('NO2'!A:A,A123)&gt;0,COUNTIF('PM10'!A:A,A123)&gt;0,COUNTIF('PM2.5'!A:A,A123)&gt;0,COUNTIF('SO2'!A:A,A123)&gt;0,COUNTIF(Kendaraan!A:A,A123)&gt;0)</f>
        <v>1</v>
      </c>
    </row>
    <row r="124" spans="1:9" x14ac:dyDescent="0.45">
      <c r="A124" s="4">
        <v>45507</v>
      </c>
      <c r="B124" t="s">
        <v>2337</v>
      </c>
      <c r="C124" t="s">
        <v>2569</v>
      </c>
      <c r="D124" t="s">
        <v>2570</v>
      </c>
      <c r="E124" t="s">
        <v>400</v>
      </c>
      <c r="F124" t="s">
        <v>2571</v>
      </c>
      <c r="G124" t="s">
        <v>2572</v>
      </c>
      <c r="H124">
        <v>24</v>
      </c>
      <c r="I124" t="b">
        <f>AND(COUNTIF(CO!A:A,A124)&gt;0,COUNTIF('NO2'!A:A,A124)&gt;0,COUNTIF('PM10'!A:A,A124)&gt;0,COUNTIF('PM2.5'!A:A,A124)&gt;0,COUNTIF('SO2'!A:A,A124)&gt;0,COUNTIF(Kendaraan!A:A,A124)&gt;0)</f>
        <v>1</v>
      </c>
    </row>
    <row r="125" spans="1:9" x14ac:dyDescent="0.45">
      <c r="A125" s="4">
        <v>45508</v>
      </c>
      <c r="B125" t="s">
        <v>477</v>
      </c>
      <c r="C125" t="s">
        <v>2314</v>
      </c>
      <c r="D125" t="s">
        <v>572</v>
      </c>
      <c r="E125" t="s">
        <v>858</v>
      </c>
      <c r="F125" t="s">
        <v>831</v>
      </c>
      <c r="G125" t="s">
        <v>2573</v>
      </c>
      <c r="H125">
        <v>24</v>
      </c>
      <c r="I125" t="b">
        <f>AND(COUNTIF(CO!A:A,A125)&gt;0,COUNTIF('NO2'!A:A,A125)&gt;0,COUNTIF('PM10'!A:A,A125)&gt;0,COUNTIF('PM2.5'!A:A,A125)&gt;0,COUNTIF('SO2'!A:A,A125)&gt;0,COUNTIF(Kendaraan!A:A,A125)&gt;0)</f>
        <v>1</v>
      </c>
    </row>
    <row r="126" spans="1:9" x14ac:dyDescent="0.45">
      <c r="A126" s="4">
        <v>45509</v>
      </c>
      <c r="B126" t="s">
        <v>2574</v>
      </c>
      <c r="C126" t="s">
        <v>631</v>
      </c>
      <c r="D126" t="s">
        <v>2575</v>
      </c>
      <c r="E126" t="s">
        <v>2576</v>
      </c>
      <c r="F126" t="s">
        <v>607</v>
      </c>
      <c r="G126" t="s">
        <v>2577</v>
      </c>
      <c r="H126">
        <v>24</v>
      </c>
      <c r="I126" t="b">
        <f>AND(COUNTIF(CO!A:A,A126)&gt;0,COUNTIF('NO2'!A:A,A126)&gt;0,COUNTIF('PM10'!A:A,A126)&gt;0,COUNTIF('PM2.5'!A:A,A126)&gt;0,COUNTIF('SO2'!A:A,A126)&gt;0,COUNTIF(Kendaraan!A:A,A126)&gt;0)</f>
        <v>1</v>
      </c>
    </row>
    <row r="127" spans="1:9" x14ac:dyDescent="0.45">
      <c r="A127" s="4">
        <v>45510</v>
      </c>
      <c r="B127" t="s">
        <v>446</v>
      </c>
      <c r="C127" t="s">
        <v>617</v>
      </c>
      <c r="D127" t="s">
        <v>1566</v>
      </c>
      <c r="E127" t="s">
        <v>1238</v>
      </c>
      <c r="F127" t="s">
        <v>2578</v>
      </c>
      <c r="G127" t="s">
        <v>2579</v>
      </c>
      <c r="H127">
        <v>24</v>
      </c>
      <c r="I127" t="b">
        <f>AND(COUNTIF(CO!A:A,A127)&gt;0,COUNTIF('NO2'!A:A,A127)&gt;0,COUNTIF('PM10'!A:A,A127)&gt;0,COUNTIF('PM2.5'!A:A,A127)&gt;0,COUNTIF('SO2'!A:A,A127)&gt;0,COUNTIF(Kendaraan!A:A,A127)&gt;0)</f>
        <v>1</v>
      </c>
    </row>
    <row r="128" spans="1:9" x14ac:dyDescent="0.45">
      <c r="A128" s="4">
        <v>45511</v>
      </c>
      <c r="B128" t="s">
        <v>2580</v>
      </c>
      <c r="C128" t="s">
        <v>464</v>
      </c>
      <c r="D128" t="s">
        <v>916</v>
      </c>
      <c r="E128" t="s">
        <v>440</v>
      </c>
      <c r="F128" t="s">
        <v>2581</v>
      </c>
      <c r="G128" t="s">
        <v>2582</v>
      </c>
      <c r="H128">
        <v>24</v>
      </c>
      <c r="I128" t="b">
        <f>AND(COUNTIF(CO!A:A,A128)&gt;0,COUNTIF('NO2'!A:A,A128)&gt;0,COUNTIF('PM10'!A:A,A128)&gt;0,COUNTIF('PM2.5'!A:A,A128)&gt;0,COUNTIF('SO2'!A:A,A128)&gt;0,COUNTIF(Kendaraan!A:A,A128)&gt;0)</f>
        <v>1</v>
      </c>
    </row>
    <row r="129" spans="1:9" x14ac:dyDescent="0.45">
      <c r="A129" s="4">
        <v>45512</v>
      </c>
      <c r="B129" t="s">
        <v>680</v>
      </c>
      <c r="C129" t="s">
        <v>2583</v>
      </c>
      <c r="D129" t="s">
        <v>2584</v>
      </c>
      <c r="E129" t="s">
        <v>2585</v>
      </c>
      <c r="F129" t="s">
        <v>634</v>
      </c>
      <c r="G129" t="s">
        <v>2572</v>
      </c>
      <c r="H129">
        <v>24</v>
      </c>
      <c r="I129" t="b">
        <f>AND(COUNTIF(CO!A:A,A129)&gt;0,COUNTIF('NO2'!A:A,A129)&gt;0,COUNTIF('PM10'!A:A,A129)&gt;0,COUNTIF('PM2.5'!A:A,A129)&gt;0,COUNTIF('SO2'!A:A,A129)&gt;0,COUNTIF(Kendaraan!A:A,A129)&gt;0)</f>
        <v>1</v>
      </c>
    </row>
    <row r="130" spans="1:9" x14ac:dyDescent="0.45">
      <c r="A130" s="4">
        <v>45513</v>
      </c>
      <c r="B130" t="s">
        <v>890</v>
      </c>
      <c r="C130" t="s">
        <v>602</v>
      </c>
      <c r="D130" t="s">
        <v>2586</v>
      </c>
      <c r="E130" t="s">
        <v>424</v>
      </c>
      <c r="F130" t="s">
        <v>1544</v>
      </c>
      <c r="G130" s="1">
        <v>1514</v>
      </c>
      <c r="H130">
        <v>24</v>
      </c>
      <c r="I130" t="b">
        <f>AND(COUNTIF(CO!A:A,A130)&gt;0,COUNTIF('NO2'!A:A,A130)&gt;0,COUNTIF('PM10'!A:A,A130)&gt;0,COUNTIF('PM2.5'!A:A,A130)&gt;0,COUNTIF('SO2'!A:A,A130)&gt;0,COUNTIF(Kendaraan!A:A,A130)&gt;0)</f>
        <v>1</v>
      </c>
    </row>
    <row r="131" spans="1:9" x14ac:dyDescent="0.45">
      <c r="A131" s="4">
        <v>45514</v>
      </c>
      <c r="B131">
        <v>21</v>
      </c>
      <c r="C131">
        <v>22</v>
      </c>
      <c r="D131" t="s">
        <v>873</v>
      </c>
      <c r="E131">
        <v>21</v>
      </c>
      <c r="F131">
        <v>22</v>
      </c>
      <c r="G131" t="s">
        <v>181</v>
      </c>
      <c r="H131">
        <v>2</v>
      </c>
      <c r="I131" t="b">
        <f>AND(COUNTIF(CO!A:A,A131)&gt;0,COUNTIF('NO2'!A:A,A131)&gt;0,COUNTIF('PM10'!A:A,A131)&gt;0,COUNTIF('PM2.5'!A:A,A131)&gt;0,COUNTIF('SO2'!A:A,A131)&gt;0,COUNTIF(Kendaraan!A:A,A131)&gt;0)</f>
        <v>1</v>
      </c>
    </row>
    <row r="132" spans="1:9" x14ac:dyDescent="0.45">
      <c r="A132" s="4">
        <v>45516</v>
      </c>
      <c r="B132" t="s">
        <v>2587</v>
      </c>
      <c r="C132">
        <v>13</v>
      </c>
      <c r="D132" t="s">
        <v>1381</v>
      </c>
      <c r="E132" t="s">
        <v>1807</v>
      </c>
      <c r="F132" t="s">
        <v>1345</v>
      </c>
      <c r="G132" t="s">
        <v>510</v>
      </c>
      <c r="H132">
        <v>9</v>
      </c>
      <c r="I132" t="b">
        <f>AND(COUNTIF(CO!A:A,A132)&gt;0,COUNTIF('NO2'!A:A,A132)&gt;0,COUNTIF('PM10'!A:A,A132)&gt;0,COUNTIF('PM2.5'!A:A,A132)&gt;0,COUNTIF('SO2'!A:A,A132)&gt;0,COUNTIF(Kendaraan!A:A,A132)&gt;0)</f>
        <v>1</v>
      </c>
    </row>
    <row r="133" spans="1:9" x14ac:dyDescent="0.45">
      <c r="A133" s="4">
        <v>45517</v>
      </c>
      <c r="B133" t="s">
        <v>1434</v>
      </c>
      <c r="C133" t="s">
        <v>1483</v>
      </c>
      <c r="D133" t="s">
        <v>1997</v>
      </c>
      <c r="E133" t="s">
        <v>1562</v>
      </c>
      <c r="F133" t="s">
        <v>2588</v>
      </c>
      <c r="G133" t="s">
        <v>259</v>
      </c>
      <c r="H133">
        <v>5</v>
      </c>
      <c r="I133" t="b">
        <f>AND(COUNTIF(CO!A:A,A133)&gt;0,COUNTIF('NO2'!A:A,A133)&gt;0,COUNTIF('PM10'!A:A,A133)&gt;0,COUNTIF('PM2.5'!A:A,A133)&gt;0,COUNTIF('SO2'!A:A,A133)&gt;0,COUNTIF(Kendaraan!A:A,A133)&gt;0)</f>
        <v>1</v>
      </c>
    </row>
    <row r="134" spans="1:9" x14ac:dyDescent="0.45">
      <c r="A134" s="4">
        <v>45518</v>
      </c>
      <c r="B134" t="s">
        <v>2589</v>
      </c>
      <c r="C134" t="s">
        <v>1239</v>
      </c>
      <c r="D134" t="s">
        <v>1472</v>
      </c>
      <c r="E134" t="s">
        <v>1252</v>
      </c>
      <c r="F134" t="s">
        <v>1270</v>
      </c>
      <c r="G134" t="s">
        <v>1192</v>
      </c>
      <c r="H134">
        <v>24</v>
      </c>
      <c r="I134" t="b">
        <f>AND(COUNTIF(CO!A:A,A134)&gt;0,COUNTIF('NO2'!A:A,A134)&gt;0,COUNTIF('PM10'!A:A,A134)&gt;0,COUNTIF('PM2.5'!A:A,A134)&gt;0,COUNTIF('SO2'!A:A,A134)&gt;0,COUNTIF(Kendaraan!A:A,A134)&gt;0)</f>
        <v>1</v>
      </c>
    </row>
    <row r="135" spans="1:9" x14ac:dyDescent="0.45">
      <c r="A135" s="4">
        <v>45519</v>
      </c>
      <c r="B135" t="s">
        <v>892</v>
      </c>
      <c r="C135" t="s">
        <v>1485</v>
      </c>
      <c r="D135" t="s">
        <v>1487</v>
      </c>
      <c r="E135" t="s">
        <v>1241</v>
      </c>
      <c r="F135" t="s">
        <v>883</v>
      </c>
      <c r="G135" t="s">
        <v>296</v>
      </c>
      <c r="H135">
        <v>15</v>
      </c>
      <c r="I135" t="b">
        <f>AND(COUNTIF(CO!A:A,A135)&gt;0,COUNTIF('NO2'!A:A,A135)&gt;0,COUNTIF('PM10'!A:A,A135)&gt;0,COUNTIF('PM2.5'!A:A,A135)&gt;0,COUNTIF('SO2'!A:A,A135)&gt;0,COUNTIF(Kendaraan!A:A,A135)&gt;0)</f>
        <v>1</v>
      </c>
    </row>
    <row r="136" spans="1:9" x14ac:dyDescent="0.45">
      <c r="A136" s="4">
        <v>45521</v>
      </c>
      <c r="B136">
        <v>29</v>
      </c>
      <c r="C136" t="s">
        <v>2590</v>
      </c>
      <c r="D136">
        <v>29</v>
      </c>
      <c r="E136">
        <v>29</v>
      </c>
      <c r="F136" t="s">
        <v>2046</v>
      </c>
      <c r="G136" t="s">
        <v>2591</v>
      </c>
      <c r="H136">
        <v>24</v>
      </c>
      <c r="I136" t="b">
        <f>AND(COUNTIF(CO!A:A,A136)&gt;0,COUNTIF('NO2'!A:A,A136)&gt;0,COUNTIF('PM10'!A:A,A136)&gt;0,COUNTIF('PM2.5'!A:A,A136)&gt;0,COUNTIF('SO2'!A:A,A136)&gt;0,COUNTIF(Kendaraan!A:A,A136)&gt;0)</f>
        <v>1</v>
      </c>
    </row>
    <row r="137" spans="1:9" x14ac:dyDescent="0.45">
      <c r="A137" s="4">
        <v>45522</v>
      </c>
      <c r="B137">
        <v>29</v>
      </c>
      <c r="C137">
        <v>29</v>
      </c>
      <c r="D137">
        <v>29</v>
      </c>
      <c r="E137">
        <v>29</v>
      </c>
      <c r="F137">
        <v>29</v>
      </c>
      <c r="G137">
        <v>0</v>
      </c>
      <c r="H137">
        <v>24</v>
      </c>
      <c r="I137" t="b">
        <f>AND(COUNTIF(CO!A:A,A137)&gt;0,COUNTIF('NO2'!A:A,A137)&gt;0,COUNTIF('PM10'!A:A,A137)&gt;0,COUNTIF('PM2.5'!A:A,A137)&gt;0,COUNTIF('SO2'!A:A,A137)&gt;0,COUNTIF(Kendaraan!A:A,A137)&gt;0)</f>
        <v>1</v>
      </c>
    </row>
    <row r="138" spans="1:9" x14ac:dyDescent="0.45">
      <c r="A138" s="4">
        <v>45523</v>
      </c>
      <c r="B138">
        <v>29</v>
      </c>
      <c r="C138">
        <v>29</v>
      </c>
      <c r="D138">
        <v>29</v>
      </c>
      <c r="E138">
        <v>29</v>
      </c>
      <c r="F138">
        <v>29</v>
      </c>
      <c r="G138">
        <v>0</v>
      </c>
      <c r="H138">
        <v>24</v>
      </c>
      <c r="I138" t="b">
        <f>AND(COUNTIF(CO!A:A,A138)&gt;0,COUNTIF('NO2'!A:A,A138)&gt;0,COUNTIF('PM10'!A:A,A138)&gt;0,COUNTIF('PM2.5'!A:A,A138)&gt;0,COUNTIF('SO2'!A:A,A138)&gt;0,COUNTIF(Kendaraan!A:A,A138)&gt;0)</f>
        <v>1</v>
      </c>
    </row>
    <row r="139" spans="1:9" x14ac:dyDescent="0.45">
      <c r="A139" s="4">
        <v>45524</v>
      </c>
      <c r="B139">
        <v>29</v>
      </c>
      <c r="C139">
        <v>29</v>
      </c>
      <c r="D139">
        <v>29</v>
      </c>
      <c r="E139">
        <v>29</v>
      </c>
      <c r="F139">
        <v>29</v>
      </c>
      <c r="G139">
        <v>0</v>
      </c>
      <c r="H139">
        <v>22</v>
      </c>
      <c r="I139" t="b">
        <f>AND(COUNTIF(CO!A:A,A139)&gt;0,COUNTIF('NO2'!A:A,A139)&gt;0,COUNTIF('PM10'!A:A,A139)&gt;0,COUNTIF('PM2.5'!A:A,A139)&gt;0,COUNTIF('SO2'!A:A,A139)&gt;0,COUNTIF(Kendaraan!A:A,A139)&gt;0)</f>
        <v>1</v>
      </c>
    </row>
    <row r="140" spans="1:9" x14ac:dyDescent="0.45">
      <c r="A140" s="4">
        <v>45525</v>
      </c>
      <c r="B140">
        <v>29</v>
      </c>
      <c r="C140">
        <v>29</v>
      </c>
      <c r="D140">
        <v>29</v>
      </c>
      <c r="E140">
        <v>29</v>
      </c>
      <c r="F140">
        <v>29</v>
      </c>
      <c r="G140">
        <v>0</v>
      </c>
      <c r="H140">
        <v>24</v>
      </c>
      <c r="I140" t="b">
        <f>AND(COUNTIF(CO!A:A,A140)&gt;0,COUNTIF('NO2'!A:A,A140)&gt;0,COUNTIF('PM10'!A:A,A140)&gt;0,COUNTIF('PM2.5'!A:A,A140)&gt;0,COUNTIF('SO2'!A:A,A140)&gt;0,COUNTIF(Kendaraan!A:A,A140)&gt;0)</f>
        <v>1</v>
      </c>
    </row>
    <row r="141" spans="1:9" x14ac:dyDescent="0.45">
      <c r="A141" s="4">
        <v>45526</v>
      </c>
      <c r="B141">
        <v>29</v>
      </c>
      <c r="C141">
        <v>29</v>
      </c>
      <c r="D141">
        <v>29</v>
      </c>
      <c r="E141">
        <v>29</v>
      </c>
      <c r="F141">
        <v>29</v>
      </c>
      <c r="G141">
        <v>0</v>
      </c>
      <c r="H141">
        <v>24</v>
      </c>
      <c r="I141" t="b">
        <f>AND(COUNTIF(CO!A:A,A141)&gt;0,COUNTIF('NO2'!A:A,A141)&gt;0,COUNTIF('PM10'!A:A,A141)&gt;0,COUNTIF('PM2.5'!A:A,A141)&gt;0,COUNTIF('SO2'!A:A,A141)&gt;0,COUNTIF(Kendaraan!A:A,A141)&gt;0)</f>
        <v>1</v>
      </c>
    </row>
    <row r="142" spans="1:9" x14ac:dyDescent="0.45">
      <c r="A142" s="4">
        <v>45527</v>
      </c>
      <c r="B142" t="s">
        <v>869</v>
      </c>
      <c r="C142">
        <v>30</v>
      </c>
      <c r="D142" t="s">
        <v>2592</v>
      </c>
      <c r="E142" t="s">
        <v>1414</v>
      </c>
      <c r="F142" t="s">
        <v>2593</v>
      </c>
      <c r="G142" s="1">
        <v>2406</v>
      </c>
      <c r="H142">
        <v>24</v>
      </c>
      <c r="I142" t="b">
        <f>AND(COUNTIF(CO!A:A,A142)&gt;0,COUNTIF('NO2'!A:A,A142)&gt;0,COUNTIF('PM10'!A:A,A142)&gt;0,COUNTIF('PM2.5'!A:A,A142)&gt;0,COUNTIF('SO2'!A:A,A142)&gt;0,COUNTIF(Kendaraan!A:A,A142)&gt;0)</f>
        <v>1</v>
      </c>
    </row>
    <row r="143" spans="1:9" x14ac:dyDescent="0.45">
      <c r="A143" s="4">
        <v>45528</v>
      </c>
      <c r="B143" t="s">
        <v>1203</v>
      </c>
      <c r="C143" t="s">
        <v>429</v>
      </c>
      <c r="D143" t="s">
        <v>2594</v>
      </c>
      <c r="E143" t="s">
        <v>1560</v>
      </c>
      <c r="F143" t="s">
        <v>883</v>
      </c>
      <c r="G143" t="s">
        <v>2595</v>
      </c>
      <c r="H143">
        <v>24</v>
      </c>
      <c r="I143" t="b">
        <f>AND(COUNTIF(CO!A:A,A143)&gt;0,COUNTIF('NO2'!A:A,A143)&gt;0,COUNTIF('PM10'!A:A,A143)&gt;0,COUNTIF('PM2.5'!A:A,A143)&gt;0,COUNTIF('SO2'!A:A,A143)&gt;0,COUNTIF(Kendaraan!A:A,A143)&gt;0)</f>
        <v>1</v>
      </c>
    </row>
    <row r="144" spans="1:9" x14ac:dyDescent="0.45">
      <c r="A144" s="4">
        <v>45529</v>
      </c>
      <c r="B144" t="s">
        <v>1216</v>
      </c>
      <c r="C144" t="s">
        <v>442</v>
      </c>
      <c r="D144" t="s">
        <v>1560</v>
      </c>
      <c r="E144" t="s">
        <v>2596</v>
      </c>
      <c r="F144" t="s">
        <v>2597</v>
      </c>
      <c r="G144" t="s">
        <v>2598</v>
      </c>
      <c r="H144">
        <v>24</v>
      </c>
      <c r="I144" t="b">
        <f>AND(COUNTIF(CO!A:A,A144)&gt;0,COUNTIF('NO2'!A:A,A144)&gt;0,COUNTIF('PM10'!A:A,A144)&gt;0,COUNTIF('PM2.5'!A:A,A144)&gt;0,COUNTIF('SO2'!A:A,A144)&gt;0,COUNTIF(Kendaraan!A:A,A144)&gt;0)</f>
        <v>1</v>
      </c>
    </row>
    <row r="145" spans="1:9" x14ac:dyDescent="0.45">
      <c r="A145" s="4">
        <v>45530</v>
      </c>
      <c r="B145" t="s">
        <v>1963</v>
      </c>
      <c r="C145" t="s">
        <v>1873</v>
      </c>
      <c r="D145" t="s">
        <v>2599</v>
      </c>
      <c r="E145" t="s">
        <v>1661</v>
      </c>
      <c r="F145" t="s">
        <v>922</v>
      </c>
      <c r="G145" t="s">
        <v>2600</v>
      </c>
      <c r="H145">
        <v>24</v>
      </c>
      <c r="I145" t="b">
        <f>AND(COUNTIF(CO!A:A,A145)&gt;0,COUNTIF('NO2'!A:A,A145)&gt;0,COUNTIF('PM10'!A:A,A145)&gt;0,COUNTIF('PM2.5'!A:A,A145)&gt;0,COUNTIF('SO2'!A:A,A145)&gt;0,COUNTIF(Kendaraan!A:A,A145)&gt;0)</f>
        <v>1</v>
      </c>
    </row>
    <row r="146" spans="1:9" x14ac:dyDescent="0.45">
      <c r="A146" s="4">
        <v>45531</v>
      </c>
      <c r="B146" t="s">
        <v>2601</v>
      </c>
      <c r="C146" t="s">
        <v>2602</v>
      </c>
      <c r="D146" t="s">
        <v>1576</v>
      </c>
      <c r="E146" t="s">
        <v>1138</v>
      </c>
      <c r="F146" t="s">
        <v>1093</v>
      </c>
      <c r="G146" t="s">
        <v>2603</v>
      </c>
      <c r="H146">
        <v>24</v>
      </c>
      <c r="I146" t="b">
        <f>AND(COUNTIF(CO!A:A,A146)&gt;0,COUNTIF('NO2'!A:A,A146)&gt;0,COUNTIF('PM10'!A:A,A146)&gt;0,COUNTIF('PM2.5'!A:A,A146)&gt;0,COUNTIF('SO2'!A:A,A146)&gt;0,COUNTIF(Kendaraan!A:A,A146)&gt;0)</f>
        <v>1</v>
      </c>
    </row>
    <row r="147" spans="1:9" x14ac:dyDescent="0.45">
      <c r="A147" s="4">
        <v>45532</v>
      </c>
      <c r="B147" t="s">
        <v>1660</v>
      </c>
      <c r="C147" t="s">
        <v>1759</v>
      </c>
      <c r="D147" t="s">
        <v>2604</v>
      </c>
      <c r="E147" t="s">
        <v>1429</v>
      </c>
      <c r="F147" t="s">
        <v>2605</v>
      </c>
      <c r="G147" t="s">
        <v>2063</v>
      </c>
      <c r="H147">
        <v>24</v>
      </c>
      <c r="I147" t="b">
        <f>AND(COUNTIF(CO!A:A,A147)&gt;0,COUNTIF('NO2'!A:A,A147)&gt;0,COUNTIF('PM10'!A:A,A147)&gt;0,COUNTIF('PM2.5'!A:A,A147)&gt;0,COUNTIF('SO2'!A:A,A147)&gt;0,COUNTIF(Kendaraan!A:A,A147)&gt;0)</f>
        <v>1</v>
      </c>
    </row>
    <row r="148" spans="1:9" x14ac:dyDescent="0.45">
      <c r="A148" s="4">
        <v>45533</v>
      </c>
      <c r="B148" t="s">
        <v>1193</v>
      </c>
      <c r="C148" t="s">
        <v>1984</v>
      </c>
      <c r="D148" t="s">
        <v>2606</v>
      </c>
      <c r="E148" t="s">
        <v>2607</v>
      </c>
      <c r="F148" t="s">
        <v>2601</v>
      </c>
      <c r="G148" t="s">
        <v>91</v>
      </c>
      <c r="H148">
        <v>24</v>
      </c>
      <c r="I148" t="b">
        <f>AND(COUNTIF(CO!A:A,A148)&gt;0,COUNTIF('NO2'!A:A,A148)&gt;0,COUNTIF('PM10'!A:A,A148)&gt;0,COUNTIF('PM2.5'!A:A,A148)&gt;0,COUNTIF('SO2'!A:A,A148)&gt;0,COUNTIF(Kendaraan!A:A,A148)&gt;0)</f>
        <v>1</v>
      </c>
    </row>
    <row r="149" spans="1:9" x14ac:dyDescent="0.45">
      <c r="A149" s="4">
        <v>45534</v>
      </c>
      <c r="B149" t="s">
        <v>1193</v>
      </c>
      <c r="C149" t="s">
        <v>1132</v>
      </c>
      <c r="D149" t="s">
        <v>2608</v>
      </c>
      <c r="E149" t="s">
        <v>1759</v>
      </c>
      <c r="F149" t="s">
        <v>1298</v>
      </c>
      <c r="G149" t="s">
        <v>504</v>
      </c>
      <c r="H149">
        <v>24</v>
      </c>
      <c r="I149" t="b">
        <f>AND(COUNTIF(CO!A:A,A149)&gt;0,COUNTIF('NO2'!A:A,A149)&gt;0,COUNTIF('PM10'!A:A,A149)&gt;0,COUNTIF('PM2.5'!A:A,A149)&gt;0,COUNTIF('SO2'!A:A,A149)&gt;0,COUNTIF(Kendaraan!A:A,A149)&gt;0)</f>
        <v>1</v>
      </c>
    </row>
    <row r="150" spans="1:9" x14ac:dyDescent="0.45">
      <c r="A150" s="4">
        <v>45535</v>
      </c>
      <c r="B150" t="s">
        <v>1127</v>
      </c>
      <c r="C150">
        <v>19</v>
      </c>
      <c r="D150">
        <v>19</v>
      </c>
      <c r="E150" t="s">
        <v>2609</v>
      </c>
      <c r="F150">
        <v>19</v>
      </c>
      <c r="G150" t="s">
        <v>2610</v>
      </c>
      <c r="H150">
        <v>24</v>
      </c>
      <c r="I150" t="b">
        <f>AND(COUNTIF(CO!A:A,A150)&gt;0,COUNTIF('NO2'!A:A,A150)&gt;0,COUNTIF('PM10'!A:A,A150)&gt;0,COUNTIF('PM2.5'!A:A,A150)&gt;0,COUNTIF('SO2'!A:A,A150)&gt;0,COUNTIF(Kendaraan!A:A,A150)&gt;0)</f>
        <v>1</v>
      </c>
    </row>
    <row r="151" spans="1:9" x14ac:dyDescent="0.45">
      <c r="A151" s="4">
        <v>45536</v>
      </c>
      <c r="B151">
        <v>19</v>
      </c>
      <c r="C151">
        <v>19</v>
      </c>
      <c r="D151">
        <v>19</v>
      </c>
      <c r="E151">
        <v>19</v>
      </c>
      <c r="F151">
        <v>19</v>
      </c>
      <c r="G151">
        <v>0</v>
      </c>
      <c r="H151">
        <v>24</v>
      </c>
      <c r="I151" t="b">
        <f>AND(COUNTIF(CO!A:A,A151)&gt;0,COUNTIF('NO2'!A:A,A151)&gt;0,COUNTIF('PM10'!A:A,A151)&gt;0,COUNTIF('PM2.5'!A:A,A151)&gt;0,COUNTIF('SO2'!A:A,A151)&gt;0,COUNTIF(Kendaraan!A:A,A151)&gt;0)</f>
        <v>1</v>
      </c>
    </row>
    <row r="152" spans="1:9" x14ac:dyDescent="0.45">
      <c r="A152" s="4">
        <v>45537</v>
      </c>
      <c r="B152">
        <v>19</v>
      </c>
      <c r="C152" t="s">
        <v>2611</v>
      </c>
      <c r="D152" t="s">
        <v>2612</v>
      </c>
      <c r="E152">
        <v>19</v>
      </c>
      <c r="F152" t="s">
        <v>2613</v>
      </c>
      <c r="G152" s="1">
        <v>21678</v>
      </c>
      <c r="H152">
        <v>24</v>
      </c>
      <c r="I152" t="b">
        <f>AND(COUNTIF(CO!A:A,A152)&gt;0,COUNTIF('NO2'!A:A,A152)&gt;0,COUNTIF('PM10'!A:A,A152)&gt;0,COUNTIF('PM2.5'!A:A,A152)&gt;0,COUNTIF('SO2'!A:A,A152)&gt;0,COUNTIF(Kendaraan!A:A,A152)&gt;0)</f>
        <v>1</v>
      </c>
    </row>
    <row r="153" spans="1:9" x14ac:dyDescent="0.45">
      <c r="A153" s="4">
        <v>45538</v>
      </c>
      <c r="B153" t="s">
        <v>2614</v>
      </c>
      <c r="C153" t="s">
        <v>2615</v>
      </c>
      <c r="D153" t="s">
        <v>2616</v>
      </c>
      <c r="E153" t="s">
        <v>2617</v>
      </c>
      <c r="F153" t="s">
        <v>2618</v>
      </c>
      <c r="G153" s="1">
        <v>5535</v>
      </c>
      <c r="H153">
        <v>24</v>
      </c>
      <c r="I153" t="b">
        <f>AND(COUNTIF(CO!A:A,A153)&gt;0,COUNTIF('NO2'!A:A,A153)&gt;0,COUNTIF('PM10'!A:A,A153)&gt;0,COUNTIF('PM2.5'!A:A,A153)&gt;0,COUNTIF('SO2'!A:A,A153)&gt;0,COUNTIF(Kendaraan!A:A,A153)&gt;0)</f>
        <v>1</v>
      </c>
    </row>
    <row r="154" spans="1:9" x14ac:dyDescent="0.45">
      <c r="A154" s="4">
        <v>45539</v>
      </c>
      <c r="B154" t="s">
        <v>2619</v>
      </c>
      <c r="C154" t="s">
        <v>2620</v>
      </c>
      <c r="D154" t="s">
        <v>2621</v>
      </c>
      <c r="E154" t="s">
        <v>2622</v>
      </c>
      <c r="F154" t="s">
        <v>2623</v>
      </c>
      <c r="G154" s="1">
        <v>1218</v>
      </c>
      <c r="H154">
        <v>24</v>
      </c>
      <c r="I154" t="b">
        <f>AND(COUNTIF(CO!A:A,A154)&gt;0,COUNTIF('NO2'!A:A,A154)&gt;0,COUNTIF('PM10'!A:A,A154)&gt;0,COUNTIF('PM2.5'!A:A,A154)&gt;0,COUNTIF('SO2'!A:A,A154)&gt;0,COUNTIF(Kendaraan!A:A,A154)&gt;0)</f>
        <v>1</v>
      </c>
    </row>
    <row r="155" spans="1:9" x14ac:dyDescent="0.45">
      <c r="A155" s="4">
        <v>45540</v>
      </c>
      <c r="B155" t="s">
        <v>2624</v>
      </c>
      <c r="C155">
        <v>110</v>
      </c>
      <c r="D155" t="s">
        <v>2625</v>
      </c>
      <c r="E155" t="s">
        <v>2626</v>
      </c>
      <c r="F155" t="s">
        <v>2627</v>
      </c>
      <c r="G155" t="s">
        <v>2628</v>
      </c>
      <c r="H155">
        <v>24</v>
      </c>
      <c r="I155" t="b">
        <f>AND(COUNTIF(CO!A:A,A155)&gt;0,COUNTIF('NO2'!A:A,A155)&gt;0,COUNTIF('PM10'!A:A,A155)&gt;0,COUNTIF('PM2.5'!A:A,A155)&gt;0,COUNTIF('SO2'!A:A,A155)&gt;0,COUNTIF(Kendaraan!A:A,A155)&gt;0)</f>
        <v>1</v>
      </c>
    </row>
    <row r="156" spans="1:9" x14ac:dyDescent="0.45">
      <c r="A156" s="4">
        <v>45541</v>
      </c>
      <c r="B156" t="s">
        <v>2629</v>
      </c>
      <c r="C156" t="s">
        <v>2630</v>
      </c>
      <c r="D156" t="s">
        <v>2631</v>
      </c>
      <c r="E156" t="s">
        <v>2632</v>
      </c>
      <c r="F156" t="s">
        <v>2633</v>
      </c>
      <c r="G156" s="1">
        <v>1265</v>
      </c>
      <c r="H156">
        <v>24</v>
      </c>
      <c r="I156" t="b">
        <f>AND(COUNTIF(CO!A:A,A156)&gt;0,COUNTIF('NO2'!A:A,A156)&gt;0,COUNTIF('PM10'!A:A,A156)&gt;0,COUNTIF('PM2.5'!A:A,A156)&gt;0,COUNTIF('SO2'!A:A,A156)&gt;0,COUNTIF(Kendaraan!A:A,A156)&gt;0)</f>
        <v>1</v>
      </c>
    </row>
    <row r="157" spans="1:9" x14ac:dyDescent="0.45">
      <c r="A157" s="4">
        <v>45542</v>
      </c>
      <c r="B157" t="s">
        <v>2630</v>
      </c>
      <c r="C157" t="s">
        <v>2634</v>
      </c>
      <c r="D157" t="s">
        <v>2635</v>
      </c>
      <c r="E157" t="s">
        <v>2636</v>
      </c>
      <c r="F157" t="s">
        <v>2637</v>
      </c>
      <c r="G157" t="s">
        <v>662</v>
      </c>
      <c r="H157">
        <v>22</v>
      </c>
      <c r="I157" t="b">
        <f>AND(COUNTIF(CO!A:A,A157)&gt;0,COUNTIF('NO2'!A:A,A157)&gt;0,COUNTIF('PM10'!A:A,A157)&gt;0,COUNTIF('PM2.5'!A:A,A157)&gt;0,COUNTIF('SO2'!A:A,A157)&gt;0,COUNTIF(Kendaraan!A:A,A157)&gt;0)</f>
        <v>1</v>
      </c>
    </row>
    <row r="158" spans="1:9" x14ac:dyDescent="0.45">
      <c r="A158" s="4">
        <v>45543</v>
      </c>
      <c r="B158" t="s">
        <v>2638</v>
      </c>
      <c r="C158" t="s">
        <v>2635</v>
      </c>
      <c r="D158" t="s">
        <v>2631</v>
      </c>
      <c r="E158" t="s">
        <v>2639</v>
      </c>
      <c r="F158" t="s">
        <v>2640</v>
      </c>
      <c r="G158" s="1">
        <v>1682</v>
      </c>
      <c r="H158">
        <v>24</v>
      </c>
      <c r="I158" t="b">
        <f>AND(COUNTIF(CO!A:A,A158)&gt;0,COUNTIF('NO2'!A:A,A158)&gt;0,COUNTIF('PM10'!A:A,A158)&gt;0,COUNTIF('PM2.5'!A:A,A158)&gt;0,COUNTIF('SO2'!A:A,A158)&gt;0,COUNTIF(Kendaraan!A:A,A158)&gt;0)</f>
        <v>1</v>
      </c>
    </row>
    <row r="159" spans="1:9" x14ac:dyDescent="0.45">
      <c r="A159" s="4">
        <v>45544</v>
      </c>
      <c r="B159" t="s">
        <v>2641</v>
      </c>
      <c r="C159" t="s">
        <v>2642</v>
      </c>
      <c r="D159" t="s">
        <v>2643</v>
      </c>
      <c r="E159" t="s">
        <v>2644</v>
      </c>
      <c r="F159" t="s">
        <v>2645</v>
      </c>
      <c r="G159" s="1">
        <v>1132</v>
      </c>
      <c r="H159">
        <v>24</v>
      </c>
      <c r="I159" t="b">
        <f>AND(COUNTIF(CO!A:A,A159)&gt;0,COUNTIF('NO2'!A:A,A159)&gt;0,COUNTIF('PM10'!A:A,A159)&gt;0,COUNTIF('PM2.5'!A:A,A159)&gt;0,COUNTIF('SO2'!A:A,A159)&gt;0,COUNTIF(Kendaraan!A:A,A159)&gt;0)</f>
        <v>1</v>
      </c>
    </row>
    <row r="160" spans="1:9" x14ac:dyDescent="0.45">
      <c r="A160" s="4">
        <v>45545</v>
      </c>
      <c r="B160" t="s">
        <v>2646</v>
      </c>
      <c r="C160" t="s">
        <v>2647</v>
      </c>
      <c r="D160" t="s">
        <v>2648</v>
      </c>
      <c r="E160" t="s">
        <v>2649</v>
      </c>
      <c r="F160" t="s">
        <v>2650</v>
      </c>
      <c r="G160" t="s">
        <v>2651</v>
      </c>
      <c r="H160">
        <v>24</v>
      </c>
      <c r="I160" t="b">
        <f>AND(COUNTIF(CO!A:A,A160)&gt;0,COUNTIF('NO2'!A:A,A160)&gt;0,COUNTIF('PM10'!A:A,A160)&gt;0,COUNTIF('PM2.5'!A:A,A160)&gt;0,COUNTIF('SO2'!A:A,A160)&gt;0,COUNTIF(Kendaraan!A:A,A160)&gt;0)</f>
        <v>1</v>
      </c>
    </row>
    <row r="161" spans="1:9" x14ac:dyDescent="0.45">
      <c r="A161" s="4">
        <v>45546</v>
      </c>
      <c r="B161" t="s">
        <v>817</v>
      </c>
      <c r="C161" t="s">
        <v>2652</v>
      </c>
      <c r="D161" t="s">
        <v>2653</v>
      </c>
      <c r="E161" t="s">
        <v>2654</v>
      </c>
      <c r="F161" t="s">
        <v>2655</v>
      </c>
      <c r="G161" t="s">
        <v>2656</v>
      </c>
      <c r="H161">
        <v>24</v>
      </c>
      <c r="I161" t="b">
        <f>AND(COUNTIF(CO!A:A,A161)&gt;0,COUNTIF('NO2'!A:A,A161)&gt;0,COUNTIF('PM10'!A:A,A161)&gt;0,COUNTIF('PM2.5'!A:A,A161)&gt;0,COUNTIF('SO2'!A:A,A161)&gt;0,COUNTIF(Kendaraan!A:A,A161)&gt;0)</f>
        <v>1</v>
      </c>
    </row>
    <row r="162" spans="1:9" x14ac:dyDescent="0.45">
      <c r="A162" s="4">
        <v>45547</v>
      </c>
      <c r="B162" t="s">
        <v>2657</v>
      </c>
      <c r="C162" t="s">
        <v>2658</v>
      </c>
      <c r="D162" t="s">
        <v>2659</v>
      </c>
      <c r="E162" t="s">
        <v>2660</v>
      </c>
      <c r="F162" t="s">
        <v>2661</v>
      </c>
      <c r="G162" t="s">
        <v>1332</v>
      </c>
      <c r="H162">
        <v>24</v>
      </c>
      <c r="I162" t="b">
        <f>AND(COUNTIF(CO!A:A,A162)&gt;0,COUNTIF('NO2'!A:A,A162)&gt;0,COUNTIF('PM10'!A:A,A162)&gt;0,COUNTIF('PM2.5'!A:A,A162)&gt;0,COUNTIF('SO2'!A:A,A162)&gt;0,COUNTIF(Kendaraan!A:A,A162)&gt;0)</f>
        <v>1</v>
      </c>
    </row>
    <row r="163" spans="1:9" x14ac:dyDescent="0.45">
      <c r="A163" s="4">
        <v>45548</v>
      </c>
      <c r="B163" t="s">
        <v>2662</v>
      </c>
      <c r="C163" t="s">
        <v>817</v>
      </c>
      <c r="D163" t="s">
        <v>2663</v>
      </c>
      <c r="E163" t="s">
        <v>2664</v>
      </c>
      <c r="F163" t="s">
        <v>2665</v>
      </c>
      <c r="G163" t="s">
        <v>2666</v>
      </c>
      <c r="H163">
        <v>24</v>
      </c>
      <c r="I163" t="b">
        <f>AND(COUNTIF(CO!A:A,A163)&gt;0,COUNTIF('NO2'!A:A,A163)&gt;0,COUNTIF('PM10'!A:A,A163)&gt;0,COUNTIF('PM2.5'!A:A,A163)&gt;0,COUNTIF('SO2'!A:A,A163)&gt;0,COUNTIF(Kendaraan!A:A,A163)&gt;0)</f>
        <v>1</v>
      </c>
    </row>
    <row r="164" spans="1:9" x14ac:dyDescent="0.45">
      <c r="A164" s="4">
        <v>45549</v>
      </c>
      <c r="B164" t="s">
        <v>2667</v>
      </c>
      <c r="C164" t="s">
        <v>2668</v>
      </c>
      <c r="D164" t="s">
        <v>2669</v>
      </c>
      <c r="E164" t="s">
        <v>2670</v>
      </c>
      <c r="F164" t="s">
        <v>2671</v>
      </c>
      <c r="G164" t="s">
        <v>268</v>
      </c>
      <c r="H164">
        <v>24</v>
      </c>
      <c r="I164" t="b">
        <f>AND(COUNTIF(CO!A:A,A164)&gt;0,COUNTIF('NO2'!A:A,A164)&gt;0,COUNTIF('PM10'!A:A,A164)&gt;0,COUNTIF('PM2.5'!A:A,A164)&gt;0,COUNTIF('SO2'!A:A,A164)&gt;0,COUNTIF(Kendaraan!A:A,A164)&gt;0)</f>
        <v>1</v>
      </c>
    </row>
    <row r="165" spans="1:9" x14ac:dyDescent="0.45">
      <c r="A165" s="4">
        <v>45550</v>
      </c>
      <c r="B165" t="s">
        <v>2672</v>
      </c>
      <c r="C165" t="s">
        <v>2673</v>
      </c>
      <c r="D165" t="s">
        <v>2674</v>
      </c>
      <c r="E165" t="s">
        <v>2675</v>
      </c>
      <c r="F165" t="s">
        <v>2676</v>
      </c>
      <c r="G165" t="s">
        <v>2677</v>
      </c>
      <c r="H165">
        <v>24</v>
      </c>
      <c r="I165" t="b">
        <f>AND(COUNTIF(CO!A:A,A165)&gt;0,COUNTIF('NO2'!A:A,A165)&gt;0,COUNTIF('PM10'!A:A,A165)&gt;0,COUNTIF('PM2.5'!A:A,A165)&gt;0,COUNTIF('SO2'!A:A,A165)&gt;0,COUNTIF(Kendaraan!A:A,A165)&gt;0)</f>
        <v>1</v>
      </c>
    </row>
    <row r="166" spans="1:9" x14ac:dyDescent="0.45">
      <c r="A166" s="4">
        <v>45551</v>
      </c>
      <c r="B166" t="s">
        <v>2678</v>
      </c>
      <c r="C166" t="s">
        <v>2679</v>
      </c>
      <c r="D166" t="s">
        <v>2680</v>
      </c>
      <c r="E166" t="s">
        <v>2681</v>
      </c>
      <c r="F166" t="s">
        <v>317</v>
      </c>
      <c r="G166" t="s">
        <v>313</v>
      </c>
      <c r="H166">
        <v>24</v>
      </c>
      <c r="I166" t="b">
        <f>AND(COUNTIF(CO!A:A,A166)&gt;0,COUNTIF('NO2'!A:A,A166)&gt;0,COUNTIF('PM10'!A:A,A166)&gt;0,COUNTIF('PM2.5'!A:A,A166)&gt;0,COUNTIF('SO2'!A:A,A166)&gt;0,COUNTIF(Kendaraan!A:A,A166)&gt;0)</f>
        <v>1</v>
      </c>
    </row>
    <row r="167" spans="1:9" x14ac:dyDescent="0.45">
      <c r="A167" s="4">
        <v>45552</v>
      </c>
      <c r="B167" t="s">
        <v>595</v>
      </c>
      <c r="C167" t="s">
        <v>2682</v>
      </c>
      <c r="D167" t="s">
        <v>2683</v>
      </c>
      <c r="E167" t="s">
        <v>2684</v>
      </c>
      <c r="F167" t="s">
        <v>2685</v>
      </c>
      <c r="G167" s="1">
        <v>22839</v>
      </c>
      <c r="H167">
        <v>24</v>
      </c>
      <c r="I167" t="b">
        <f>AND(COUNTIF(CO!A:A,A167)&gt;0,COUNTIF('NO2'!A:A,A167)&gt;0,COUNTIF('PM10'!A:A,A167)&gt;0,COUNTIF('PM2.5'!A:A,A167)&gt;0,COUNTIF('SO2'!A:A,A167)&gt;0,COUNTIF(Kendaraan!A:A,A167)&gt;0)</f>
        <v>1</v>
      </c>
    </row>
    <row r="168" spans="1:9" x14ac:dyDescent="0.45">
      <c r="A168" s="4">
        <v>45553</v>
      </c>
      <c r="B168">
        <v>19</v>
      </c>
      <c r="C168">
        <v>22</v>
      </c>
      <c r="D168">
        <v>19</v>
      </c>
      <c r="E168">
        <v>19</v>
      </c>
      <c r="F168">
        <v>19</v>
      </c>
      <c r="G168" t="s">
        <v>2686</v>
      </c>
      <c r="H168">
        <v>24</v>
      </c>
      <c r="I168" t="b">
        <f>AND(COUNTIF(CO!A:A,A168)&gt;0,COUNTIF('NO2'!A:A,A168)&gt;0,COUNTIF('PM10'!A:A,A168)&gt;0,COUNTIF('PM2.5'!A:A,A168)&gt;0,COUNTIF('SO2'!A:A,A168)&gt;0,COUNTIF(Kendaraan!A:A,A168)&gt;0)</f>
        <v>1</v>
      </c>
    </row>
    <row r="169" spans="1:9" x14ac:dyDescent="0.45">
      <c r="A169" s="4">
        <v>45554</v>
      </c>
      <c r="B169">
        <v>19</v>
      </c>
      <c r="C169">
        <v>19</v>
      </c>
      <c r="D169">
        <v>19</v>
      </c>
      <c r="E169">
        <v>19</v>
      </c>
      <c r="F169">
        <v>19</v>
      </c>
      <c r="G169">
        <v>0</v>
      </c>
      <c r="H169">
        <v>24</v>
      </c>
      <c r="I169" t="b">
        <f>AND(COUNTIF(CO!A:A,A169)&gt;0,COUNTIF('NO2'!A:A,A169)&gt;0,COUNTIF('PM10'!A:A,A169)&gt;0,COUNTIF('PM2.5'!A:A,A169)&gt;0,COUNTIF('SO2'!A:A,A169)&gt;0,COUNTIF(Kendaraan!A:A,A169)&gt;0)</f>
        <v>1</v>
      </c>
    </row>
    <row r="170" spans="1:9" x14ac:dyDescent="0.45">
      <c r="A170" s="4">
        <v>45555</v>
      </c>
      <c r="B170">
        <v>19</v>
      </c>
      <c r="C170">
        <v>19</v>
      </c>
      <c r="D170">
        <v>19</v>
      </c>
      <c r="E170">
        <v>19</v>
      </c>
      <c r="F170">
        <v>19</v>
      </c>
      <c r="G170">
        <v>0</v>
      </c>
      <c r="H170">
        <v>24</v>
      </c>
      <c r="I170" t="b">
        <f>AND(COUNTIF(CO!A:A,A170)&gt;0,COUNTIF('NO2'!A:A,A170)&gt;0,COUNTIF('PM10'!A:A,A170)&gt;0,COUNTIF('PM2.5'!A:A,A170)&gt;0,COUNTIF('SO2'!A:A,A170)&gt;0,COUNTIF(Kendaraan!A:A,A170)&gt;0)</f>
        <v>1</v>
      </c>
    </row>
    <row r="171" spans="1:9" x14ac:dyDescent="0.45">
      <c r="A171" s="4">
        <v>45556</v>
      </c>
      <c r="B171">
        <v>19</v>
      </c>
      <c r="C171">
        <v>19</v>
      </c>
      <c r="D171">
        <v>19</v>
      </c>
      <c r="E171">
        <v>19</v>
      </c>
      <c r="F171">
        <v>19</v>
      </c>
      <c r="G171">
        <v>0</v>
      </c>
      <c r="H171">
        <v>24</v>
      </c>
      <c r="I171" t="b">
        <f>AND(COUNTIF(CO!A:A,A171)&gt;0,COUNTIF('NO2'!A:A,A171)&gt;0,COUNTIF('PM10'!A:A,A171)&gt;0,COUNTIF('PM2.5'!A:A,A171)&gt;0,COUNTIF('SO2'!A:A,A171)&gt;0,COUNTIF(Kendaraan!A:A,A171)&gt;0)</f>
        <v>1</v>
      </c>
    </row>
    <row r="172" spans="1:9" x14ac:dyDescent="0.45">
      <c r="A172" s="4">
        <v>45557</v>
      </c>
      <c r="B172">
        <v>19</v>
      </c>
      <c r="C172">
        <v>19</v>
      </c>
      <c r="D172">
        <v>19</v>
      </c>
      <c r="E172">
        <v>19</v>
      </c>
      <c r="F172">
        <v>19</v>
      </c>
      <c r="G172">
        <v>0</v>
      </c>
      <c r="H172">
        <v>24</v>
      </c>
      <c r="I172" t="b">
        <f>AND(COUNTIF(CO!A:A,A172)&gt;0,COUNTIF('NO2'!A:A,A172)&gt;0,COUNTIF('PM10'!A:A,A172)&gt;0,COUNTIF('PM2.5'!A:A,A172)&gt;0,COUNTIF('SO2'!A:A,A172)&gt;0,COUNTIF(Kendaraan!A:A,A172)&gt;0)</f>
        <v>1</v>
      </c>
    </row>
    <row r="173" spans="1:9" x14ac:dyDescent="0.45">
      <c r="A173" s="4">
        <v>45558</v>
      </c>
      <c r="B173">
        <v>19</v>
      </c>
      <c r="C173">
        <v>19</v>
      </c>
      <c r="D173">
        <v>19</v>
      </c>
      <c r="E173">
        <v>19</v>
      </c>
      <c r="F173">
        <v>19</v>
      </c>
      <c r="G173">
        <v>0</v>
      </c>
      <c r="H173">
        <v>24</v>
      </c>
      <c r="I173" t="b">
        <f>AND(COUNTIF(CO!A:A,A173)&gt;0,COUNTIF('NO2'!A:A,A173)&gt;0,COUNTIF('PM10'!A:A,A173)&gt;0,COUNTIF('PM2.5'!A:A,A173)&gt;0,COUNTIF('SO2'!A:A,A173)&gt;0,COUNTIF(Kendaraan!A:A,A173)&gt;0)</f>
        <v>1</v>
      </c>
    </row>
    <row r="174" spans="1:9" x14ac:dyDescent="0.45">
      <c r="A174" s="4">
        <v>45559</v>
      </c>
      <c r="B174">
        <v>19</v>
      </c>
      <c r="C174">
        <v>19</v>
      </c>
      <c r="D174">
        <v>19</v>
      </c>
      <c r="E174">
        <v>19</v>
      </c>
      <c r="F174">
        <v>19</v>
      </c>
      <c r="G174">
        <v>0</v>
      </c>
      <c r="H174">
        <v>24</v>
      </c>
      <c r="I174" t="b">
        <f>AND(COUNTIF(CO!A:A,A174)&gt;0,COUNTIF('NO2'!A:A,A174)&gt;0,COUNTIF('PM10'!A:A,A174)&gt;0,COUNTIF('PM2.5'!A:A,A174)&gt;0,COUNTIF('SO2'!A:A,A174)&gt;0,COUNTIF(Kendaraan!A:A,A174)&gt;0)</f>
        <v>1</v>
      </c>
    </row>
    <row r="175" spans="1:9" x14ac:dyDescent="0.45">
      <c r="A175" s="4">
        <v>45560</v>
      </c>
      <c r="B175">
        <v>19</v>
      </c>
      <c r="C175">
        <v>19</v>
      </c>
      <c r="D175">
        <v>19</v>
      </c>
      <c r="E175">
        <v>19</v>
      </c>
      <c r="F175">
        <v>19</v>
      </c>
      <c r="G175">
        <v>0</v>
      </c>
      <c r="H175">
        <v>24</v>
      </c>
      <c r="I175" t="b">
        <f>AND(COUNTIF(CO!A:A,A175)&gt;0,COUNTIF('NO2'!A:A,A175)&gt;0,COUNTIF('PM10'!A:A,A175)&gt;0,COUNTIF('PM2.5'!A:A,A175)&gt;0,COUNTIF('SO2'!A:A,A175)&gt;0,COUNTIF(Kendaraan!A:A,A175)&gt;0)</f>
        <v>1</v>
      </c>
    </row>
    <row r="176" spans="1:9" x14ac:dyDescent="0.45">
      <c r="A176" s="4">
        <v>45561</v>
      </c>
      <c r="B176">
        <v>19</v>
      </c>
      <c r="C176">
        <v>19</v>
      </c>
      <c r="D176">
        <v>19</v>
      </c>
      <c r="E176">
        <v>19</v>
      </c>
      <c r="F176">
        <v>19</v>
      </c>
      <c r="G176">
        <v>0</v>
      </c>
      <c r="H176">
        <v>24</v>
      </c>
      <c r="I176" t="b">
        <f>AND(COUNTIF(CO!A:A,A176)&gt;0,COUNTIF('NO2'!A:A,A176)&gt;0,COUNTIF('PM10'!A:A,A176)&gt;0,COUNTIF('PM2.5'!A:A,A176)&gt;0,COUNTIF('SO2'!A:A,A176)&gt;0,COUNTIF(Kendaraan!A:A,A176)&gt;0)</f>
        <v>1</v>
      </c>
    </row>
    <row r="177" spans="1:9" x14ac:dyDescent="0.45">
      <c r="A177" s="4">
        <v>45562</v>
      </c>
      <c r="B177">
        <v>19</v>
      </c>
      <c r="C177">
        <v>19</v>
      </c>
      <c r="D177">
        <v>19</v>
      </c>
      <c r="E177">
        <v>19</v>
      </c>
      <c r="F177">
        <v>19</v>
      </c>
      <c r="G177">
        <v>0</v>
      </c>
      <c r="H177">
        <v>24</v>
      </c>
      <c r="I177" t="b">
        <f>AND(COUNTIF(CO!A:A,A177)&gt;0,COUNTIF('NO2'!A:A,A177)&gt;0,COUNTIF('PM10'!A:A,A177)&gt;0,COUNTIF('PM2.5'!A:A,A177)&gt;0,COUNTIF('SO2'!A:A,A177)&gt;0,COUNTIF(Kendaraan!A:A,A177)&gt;0)</f>
        <v>1</v>
      </c>
    </row>
    <row r="178" spans="1:9" x14ac:dyDescent="0.45">
      <c r="A178" s="4">
        <v>45563</v>
      </c>
      <c r="B178">
        <v>19</v>
      </c>
      <c r="C178">
        <v>19</v>
      </c>
      <c r="D178">
        <v>19</v>
      </c>
      <c r="E178">
        <v>19</v>
      </c>
      <c r="F178">
        <v>19</v>
      </c>
      <c r="G178">
        <v>0</v>
      </c>
      <c r="H178">
        <v>24</v>
      </c>
      <c r="I178" t="b">
        <f>AND(COUNTIF(CO!A:A,A178)&gt;0,COUNTIF('NO2'!A:A,A178)&gt;0,COUNTIF('PM10'!A:A,A178)&gt;0,COUNTIF('PM2.5'!A:A,A178)&gt;0,COUNTIF('SO2'!A:A,A178)&gt;0,COUNTIF(Kendaraan!A:A,A178)&gt;0)</f>
        <v>1</v>
      </c>
    </row>
    <row r="179" spans="1:9" x14ac:dyDescent="0.45">
      <c r="A179" s="4">
        <v>45564</v>
      </c>
      <c r="B179">
        <v>19</v>
      </c>
      <c r="C179">
        <v>19</v>
      </c>
      <c r="D179">
        <v>19</v>
      </c>
      <c r="E179">
        <v>19</v>
      </c>
      <c r="F179">
        <v>19</v>
      </c>
      <c r="G179">
        <v>0</v>
      </c>
      <c r="H179">
        <v>24</v>
      </c>
      <c r="I179" t="b">
        <f>AND(COUNTIF(CO!A:A,A179)&gt;0,COUNTIF('NO2'!A:A,A179)&gt;0,COUNTIF('PM10'!A:A,A179)&gt;0,COUNTIF('PM2.5'!A:A,A179)&gt;0,COUNTIF('SO2'!A:A,A179)&gt;0,COUNTIF(Kendaraan!A:A,A179)&gt;0)</f>
        <v>1</v>
      </c>
    </row>
    <row r="180" spans="1:9" x14ac:dyDescent="0.45">
      <c r="A180" s="4">
        <v>45565</v>
      </c>
      <c r="B180">
        <v>19</v>
      </c>
      <c r="C180">
        <v>19</v>
      </c>
      <c r="D180">
        <v>19</v>
      </c>
      <c r="E180">
        <v>19</v>
      </c>
      <c r="F180">
        <v>19</v>
      </c>
      <c r="G180">
        <v>0</v>
      </c>
      <c r="H180">
        <v>24</v>
      </c>
      <c r="I180" t="b">
        <f>AND(COUNTIF(CO!A:A,A180)&gt;0,COUNTIF('NO2'!A:A,A180)&gt;0,COUNTIF('PM10'!A:A,A180)&gt;0,COUNTIF('PM2.5'!A:A,A180)&gt;0,COUNTIF('SO2'!A:A,A180)&gt;0,COUNTIF(Kendaraan!A:A,A180)&gt;0)</f>
        <v>1</v>
      </c>
    </row>
    <row r="181" spans="1:9" x14ac:dyDescent="0.45">
      <c r="A181" s="4">
        <v>45566</v>
      </c>
      <c r="B181">
        <v>19</v>
      </c>
      <c r="C181">
        <v>19</v>
      </c>
      <c r="D181">
        <v>19</v>
      </c>
      <c r="E181">
        <v>19</v>
      </c>
      <c r="F181">
        <v>19</v>
      </c>
      <c r="G181">
        <v>0</v>
      </c>
      <c r="H181">
        <v>24</v>
      </c>
      <c r="I181" t="b">
        <f>AND(COUNTIF(CO!A:A,A181)&gt;0,COUNTIF('NO2'!A:A,A181)&gt;0,COUNTIF('PM10'!A:A,A181)&gt;0,COUNTIF('PM2.5'!A:A,A181)&gt;0,COUNTIF('SO2'!A:A,A181)&gt;0,COUNTIF(Kendaraan!A:A,A181)&gt;0)</f>
        <v>1</v>
      </c>
    </row>
    <row r="182" spans="1:9" x14ac:dyDescent="0.45">
      <c r="A182" s="4">
        <v>45567</v>
      </c>
      <c r="B182">
        <v>19</v>
      </c>
      <c r="C182">
        <v>19</v>
      </c>
      <c r="D182">
        <v>19</v>
      </c>
      <c r="E182">
        <v>19</v>
      </c>
      <c r="F182">
        <v>19</v>
      </c>
      <c r="G182">
        <v>0</v>
      </c>
      <c r="H182">
        <v>24</v>
      </c>
      <c r="I182" t="b">
        <f>AND(COUNTIF(CO!A:A,A182)&gt;0,COUNTIF('NO2'!A:A,A182)&gt;0,COUNTIF('PM10'!A:A,A182)&gt;0,COUNTIF('PM2.5'!A:A,A182)&gt;0,COUNTIF('SO2'!A:A,A182)&gt;0,COUNTIF(Kendaraan!A:A,A182)&gt;0)</f>
        <v>1</v>
      </c>
    </row>
    <row r="183" spans="1:9" x14ac:dyDescent="0.45">
      <c r="A183" s="4">
        <v>45568</v>
      </c>
      <c r="B183">
        <v>19</v>
      </c>
      <c r="C183">
        <v>19</v>
      </c>
      <c r="D183">
        <v>19</v>
      </c>
      <c r="E183">
        <v>19</v>
      </c>
      <c r="F183">
        <v>19</v>
      </c>
      <c r="G183">
        <v>0</v>
      </c>
      <c r="H183">
        <v>24</v>
      </c>
      <c r="I183" t="b">
        <f>AND(COUNTIF(CO!A:A,A183)&gt;0,COUNTIF('NO2'!A:A,A183)&gt;0,COUNTIF('PM10'!A:A,A183)&gt;0,COUNTIF('PM2.5'!A:A,A183)&gt;0,COUNTIF('SO2'!A:A,A183)&gt;0,COUNTIF(Kendaraan!A:A,A183)&gt;0)</f>
        <v>1</v>
      </c>
    </row>
    <row r="184" spans="1:9" x14ac:dyDescent="0.45">
      <c r="A184" s="4">
        <v>45569</v>
      </c>
      <c r="B184">
        <v>19</v>
      </c>
      <c r="C184">
        <v>19</v>
      </c>
      <c r="D184">
        <v>19</v>
      </c>
      <c r="E184">
        <v>19</v>
      </c>
      <c r="F184">
        <v>19</v>
      </c>
      <c r="G184">
        <v>0</v>
      </c>
      <c r="H184">
        <v>24</v>
      </c>
      <c r="I184" t="b">
        <f>AND(COUNTIF(CO!A:A,A184)&gt;0,COUNTIF('NO2'!A:A,A184)&gt;0,COUNTIF('PM10'!A:A,A184)&gt;0,COUNTIF('PM2.5'!A:A,A184)&gt;0,COUNTIF('SO2'!A:A,A184)&gt;0,COUNTIF(Kendaraan!A:A,A184)&gt;0)</f>
        <v>1</v>
      </c>
    </row>
    <row r="185" spans="1:9" x14ac:dyDescent="0.45">
      <c r="A185" s="4">
        <v>45570</v>
      </c>
      <c r="B185">
        <v>19</v>
      </c>
      <c r="C185">
        <v>19</v>
      </c>
      <c r="D185">
        <v>19</v>
      </c>
      <c r="E185">
        <v>19</v>
      </c>
      <c r="F185">
        <v>19</v>
      </c>
      <c r="G185">
        <v>0</v>
      </c>
      <c r="H185">
        <v>24</v>
      </c>
      <c r="I185" t="b">
        <f>AND(COUNTIF(CO!A:A,A185)&gt;0,COUNTIF('NO2'!A:A,A185)&gt;0,COUNTIF('PM10'!A:A,A185)&gt;0,COUNTIF('PM2.5'!A:A,A185)&gt;0,COUNTIF('SO2'!A:A,A185)&gt;0,COUNTIF(Kendaraan!A:A,A185)&gt;0)</f>
        <v>1</v>
      </c>
    </row>
    <row r="186" spans="1:9" x14ac:dyDescent="0.45">
      <c r="A186" s="4">
        <v>45571</v>
      </c>
      <c r="B186">
        <v>19</v>
      </c>
      <c r="C186">
        <v>19</v>
      </c>
      <c r="D186">
        <v>19</v>
      </c>
      <c r="E186">
        <v>19</v>
      </c>
      <c r="F186">
        <v>19</v>
      </c>
      <c r="G186">
        <v>0</v>
      </c>
      <c r="H186">
        <v>14</v>
      </c>
      <c r="I186" t="b">
        <f>AND(COUNTIF(CO!A:A,A186)&gt;0,COUNTIF('NO2'!A:A,A186)&gt;0,COUNTIF('PM10'!A:A,A186)&gt;0,COUNTIF('PM2.5'!A:A,A186)&gt;0,COUNTIF('SO2'!A:A,A186)&gt;0,COUNTIF(Kendaraan!A:A,A186)&gt;0)</f>
        <v>1</v>
      </c>
    </row>
    <row r="187" spans="1:9" x14ac:dyDescent="0.45">
      <c r="A187" s="4">
        <v>45572</v>
      </c>
      <c r="B187" t="s">
        <v>2687</v>
      </c>
      <c r="C187">
        <v>12</v>
      </c>
      <c r="D187" t="s">
        <v>1747</v>
      </c>
      <c r="E187" t="s">
        <v>1895</v>
      </c>
      <c r="F187" t="s">
        <v>2688</v>
      </c>
      <c r="G187" t="s">
        <v>1484</v>
      </c>
      <c r="H187">
        <v>5</v>
      </c>
      <c r="I187" t="b">
        <f>AND(COUNTIF(CO!A:A,A187)&gt;0,COUNTIF('NO2'!A:A,A187)&gt;0,COUNTIF('PM10'!A:A,A187)&gt;0,COUNTIF('PM2.5'!A:A,A187)&gt;0,COUNTIF('SO2'!A:A,A187)&gt;0,COUNTIF(Kendaraan!A:A,A187)&gt;0)</f>
        <v>1</v>
      </c>
    </row>
    <row r="188" spans="1:9" x14ac:dyDescent="0.45">
      <c r="A188" s="4">
        <v>45573</v>
      </c>
      <c r="B188" t="s">
        <v>730</v>
      </c>
      <c r="C188" t="s">
        <v>2689</v>
      </c>
      <c r="D188" t="s">
        <v>730</v>
      </c>
      <c r="E188" t="s">
        <v>730</v>
      </c>
      <c r="F188" t="s">
        <v>1058</v>
      </c>
      <c r="G188" t="s">
        <v>2501</v>
      </c>
      <c r="H188">
        <v>24</v>
      </c>
      <c r="I188" t="b">
        <f>AND(COUNTIF(CO!A:A,A188)&gt;0,COUNTIF('NO2'!A:A,A188)&gt;0,COUNTIF('PM10'!A:A,A188)&gt;0,COUNTIF('PM2.5'!A:A,A188)&gt;0,COUNTIF('SO2'!A:A,A188)&gt;0,COUNTIF(Kendaraan!A:A,A188)&gt;0)</f>
        <v>1</v>
      </c>
    </row>
    <row r="189" spans="1:9" x14ac:dyDescent="0.45">
      <c r="A189" s="4">
        <v>45574</v>
      </c>
      <c r="B189" t="s">
        <v>730</v>
      </c>
      <c r="C189">
        <v>10</v>
      </c>
      <c r="D189">
        <v>10</v>
      </c>
      <c r="E189">
        <v>10</v>
      </c>
      <c r="F189">
        <v>10</v>
      </c>
      <c r="G189" t="s">
        <v>23</v>
      </c>
      <c r="H189">
        <v>24</v>
      </c>
      <c r="I189" t="b">
        <f>AND(COUNTIF(CO!A:A,A189)&gt;0,COUNTIF('NO2'!A:A,A189)&gt;0,COUNTIF('PM10'!A:A,A189)&gt;0,COUNTIF('PM2.5'!A:A,A189)&gt;0,COUNTIF('SO2'!A:A,A189)&gt;0,COUNTIF(Kendaraan!A:A,A189)&gt;0)</f>
        <v>1</v>
      </c>
    </row>
    <row r="190" spans="1:9" x14ac:dyDescent="0.45">
      <c r="A190" s="4">
        <v>45575</v>
      </c>
      <c r="B190">
        <v>10</v>
      </c>
      <c r="C190">
        <v>10</v>
      </c>
      <c r="D190">
        <v>10</v>
      </c>
      <c r="E190">
        <v>10</v>
      </c>
      <c r="F190">
        <v>10</v>
      </c>
      <c r="G190">
        <v>0</v>
      </c>
      <c r="H190">
        <v>24</v>
      </c>
      <c r="I190" t="b">
        <f>AND(COUNTIF(CO!A:A,A190)&gt;0,COUNTIF('NO2'!A:A,A190)&gt;0,COUNTIF('PM10'!A:A,A190)&gt;0,COUNTIF('PM2.5'!A:A,A190)&gt;0,COUNTIF('SO2'!A:A,A190)&gt;0,COUNTIF(Kendaraan!A:A,A190)&gt;0)</f>
        <v>1</v>
      </c>
    </row>
    <row r="191" spans="1:9" x14ac:dyDescent="0.45">
      <c r="A191" s="4">
        <v>45576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0</v>
      </c>
      <c r="H191">
        <v>24</v>
      </c>
      <c r="I191" t="b">
        <f>AND(COUNTIF(CO!A:A,A191)&gt;0,COUNTIF('NO2'!A:A,A191)&gt;0,COUNTIF('PM10'!A:A,A191)&gt;0,COUNTIF('PM2.5'!A:A,A191)&gt;0,COUNTIF('SO2'!A:A,A191)&gt;0,COUNTIF(Kendaraan!A:A,A191)&gt;0)</f>
        <v>1</v>
      </c>
    </row>
    <row r="192" spans="1:9" x14ac:dyDescent="0.45">
      <c r="A192" s="4">
        <v>45577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0</v>
      </c>
      <c r="H192">
        <v>24</v>
      </c>
      <c r="I192" t="b">
        <f>AND(COUNTIF(CO!A:A,A192)&gt;0,COUNTIF('NO2'!A:A,A192)&gt;0,COUNTIF('PM10'!A:A,A192)&gt;0,COUNTIF('PM2.5'!A:A,A192)&gt;0,COUNTIF('SO2'!A:A,A192)&gt;0,COUNTIF(Kendaraan!A:A,A192)&gt;0)</f>
        <v>1</v>
      </c>
    </row>
    <row r="193" spans="1:9" x14ac:dyDescent="0.45">
      <c r="A193" s="4">
        <v>45578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0</v>
      </c>
      <c r="H193">
        <v>24</v>
      </c>
      <c r="I193" t="b">
        <f>AND(COUNTIF(CO!A:A,A193)&gt;0,COUNTIF('NO2'!A:A,A193)&gt;0,COUNTIF('PM10'!A:A,A193)&gt;0,COUNTIF('PM2.5'!A:A,A193)&gt;0,COUNTIF('SO2'!A:A,A193)&gt;0,COUNTIF(Kendaraan!A:A,A193)&gt;0)</f>
        <v>1</v>
      </c>
    </row>
    <row r="194" spans="1:9" x14ac:dyDescent="0.45">
      <c r="A194" s="4">
        <v>45579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0</v>
      </c>
      <c r="H194">
        <v>24</v>
      </c>
      <c r="I194" t="b">
        <f>AND(COUNTIF(CO!A:A,A194)&gt;0,COUNTIF('NO2'!A:A,A194)&gt;0,COUNTIF('PM10'!A:A,A194)&gt;0,COUNTIF('PM2.5'!A:A,A194)&gt;0,COUNTIF('SO2'!A:A,A194)&gt;0,COUNTIF(Kendaraan!A:A,A194)&gt;0)</f>
        <v>1</v>
      </c>
    </row>
    <row r="195" spans="1:9" x14ac:dyDescent="0.45">
      <c r="A195" s="4">
        <v>45580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0</v>
      </c>
      <c r="H195">
        <v>24</v>
      </c>
      <c r="I195" t="b">
        <f>AND(COUNTIF(CO!A:A,A195)&gt;0,COUNTIF('NO2'!A:A,A195)&gt;0,COUNTIF('PM10'!A:A,A195)&gt;0,COUNTIF('PM2.5'!A:A,A195)&gt;0,COUNTIF('SO2'!A:A,A195)&gt;0,COUNTIF(Kendaraan!A:A,A195)&gt;0)</f>
        <v>1</v>
      </c>
    </row>
    <row r="196" spans="1:9" x14ac:dyDescent="0.45">
      <c r="A196" s="4">
        <v>45581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0</v>
      </c>
      <c r="H196">
        <v>24</v>
      </c>
      <c r="I196" t="b">
        <f>AND(COUNTIF(CO!A:A,A196)&gt;0,COUNTIF('NO2'!A:A,A196)&gt;0,COUNTIF('PM10'!A:A,A196)&gt;0,COUNTIF('PM2.5'!A:A,A196)&gt;0,COUNTIF('SO2'!A:A,A196)&gt;0,COUNTIF(Kendaraan!A:A,A196)&gt;0)</f>
        <v>1</v>
      </c>
    </row>
    <row r="197" spans="1:9" x14ac:dyDescent="0.45">
      <c r="A197" s="4">
        <v>45582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0</v>
      </c>
      <c r="H197">
        <v>24</v>
      </c>
      <c r="I197" t="b">
        <f>AND(COUNTIF(CO!A:A,A197)&gt;0,COUNTIF('NO2'!A:A,A197)&gt;0,COUNTIF('PM10'!A:A,A197)&gt;0,COUNTIF('PM2.5'!A:A,A197)&gt;0,COUNTIF('SO2'!A:A,A197)&gt;0,COUNTIF(Kendaraan!A:A,A197)&gt;0)</f>
        <v>1</v>
      </c>
    </row>
    <row r="198" spans="1:9" x14ac:dyDescent="0.45">
      <c r="A198" s="4">
        <v>45583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0</v>
      </c>
      <c r="H198">
        <v>24</v>
      </c>
      <c r="I198" t="b">
        <f>AND(COUNTIF(CO!A:A,A198)&gt;0,COUNTIF('NO2'!A:A,A198)&gt;0,COUNTIF('PM10'!A:A,A198)&gt;0,COUNTIF('PM2.5'!A:A,A198)&gt;0,COUNTIF('SO2'!A:A,A198)&gt;0,COUNTIF(Kendaraan!A:A,A198)&gt;0)</f>
        <v>1</v>
      </c>
    </row>
    <row r="199" spans="1:9" x14ac:dyDescent="0.45">
      <c r="A199" s="4">
        <v>45584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0</v>
      </c>
      <c r="H199">
        <v>21</v>
      </c>
      <c r="I199" t="b">
        <f>AND(COUNTIF(CO!A:A,A199)&gt;0,COUNTIF('NO2'!A:A,A199)&gt;0,COUNTIF('PM10'!A:A,A199)&gt;0,COUNTIF('PM2.5'!A:A,A199)&gt;0,COUNTIF('SO2'!A:A,A199)&gt;0,COUNTIF(Kendaraan!A:A,A199)&gt;0)</f>
        <v>1</v>
      </c>
    </row>
    <row r="200" spans="1:9" x14ac:dyDescent="0.45">
      <c r="A200" s="4">
        <v>45585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0</v>
      </c>
      <c r="H200">
        <v>24</v>
      </c>
      <c r="I200" t="b">
        <f>AND(COUNTIF(CO!A:A,A200)&gt;0,COUNTIF('NO2'!A:A,A200)&gt;0,COUNTIF('PM10'!A:A,A200)&gt;0,COUNTIF('PM2.5'!A:A,A200)&gt;0,COUNTIF('SO2'!A:A,A200)&gt;0,COUNTIF(Kendaraan!A:A,A200)&gt;0)</f>
        <v>1</v>
      </c>
    </row>
    <row r="201" spans="1:9" x14ac:dyDescent="0.45">
      <c r="A201" s="4">
        <v>45586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0</v>
      </c>
      <c r="H201">
        <v>24</v>
      </c>
      <c r="I201" t="b">
        <f>AND(COUNTIF(CO!A:A,A201)&gt;0,COUNTIF('NO2'!A:A,A201)&gt;0,COUNTIF('PM10'!A:A,A201)&gt;0,COUNTIF('PM2.5'!A:A,A201)&gt;0,COUNTIF('SO2'!A:A,A201)&gt;0,COUNTIF(Kendaraan!A:A,A201)&gt;0)</f>
        <v>1</v>
      </c>
    </row>
    <row r="202" spans="1:9" x14ac:dyDescent="0.45">
      <c r="A202" s="4">
        <v>45587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0</v>
      </c>
      <c r="H202">
        <v>24</v>
      </c>
      <c r="I202" t="b">
        <f>AND(COUNTIF(CO!A:A,A202)&gt;0,COUNTIF('NO2'!A:A,A202)&gt;0,COUNTIF('PM10'!A:A,A202)&gt;0,COUNTIF('PM2.5'!A:A,A202)&gt;0,COUNTIF('SO2'!A:A,A202)&gt;0,COUNTIF(Kendaraan!A:A,A202)&gt;0)</f>
        <v>1</v>
      </c>
    </row>
    <row r="203" spans="1:9" x14ac:dyDescent="0.45">
      <c r="A203" s="4">
        <v>45588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0</v>
      </c>
      <c r="H203">
        <v>24</v>
      </c>
      <c r="I203" t="b">
        <f>AND(COUNTIF(CO!A:A,A203)&gt;0,COUNTIF('NO2'!A:A,A203)&gt;0,COUNTIF('PM10'!A:A,A203)&gt;0,COUNTIF('PM2.5'!A:A,A203)&gt;0,COUNTIF('SO2'!A:A,A203)&gt;0,COUNTIF(Kendaraan!A:A,A203)&gt;0)</f>
        <v>1</v>
      </c>
    </row>
    <row r="204" spans="1:9" x14ac:dyDescent="0.45">
      <c r="A204" s="4">
        <v>45589</v>
      </c>
      <c r="B204">
        <v>10</v>
      </c>
      <c r="C204" t="s">
        <v>1872</v>
      </c>
      <c r="D204" t="s">
        <v>1789</v>
      </c>
      <c r="E204" t="s">
        <v>1055</v>
      </c>
      <c r="F204" t="s">
        <v>2690</v>
      </c>
      <c r="G204" s="1">
        <v>1284</v>
      </c>
      <c r="H204">
        <v>24</v>
      </c>
      <c r="I204" t="b">
        <f>AND(COUNTIF(CO!A:A,A204)&gt;0,COUNTIF('NO2'!A:A,A204)&gt;0,COUNTIF('PM10'!A:A,A204)&gt;0,COUNTIF('PM2.5'!A:A,A204)&gt;0,COUNTIF('SO2'!A:A,A204)&gt;0,COUNTIF(Kendaraan!A:A,A204)&gt;0)</f>
        <v>1</v>
      </c>
    </row>
    <row r="205" spans="1:9" x14ac:dyDescent="0.45">
      <c r="A205" s="4">
        <v>45590</v>
      </c>
      <c r="B205" t="s">
        <v>2691</v>
      </c>
      <c r="C205" t="s">
        <v>2692</v>
      </c>
      <c r="D205" t="s">
        <v>2693</v>
      </c>
      <c r="E205" t="s">
        <v>348</v>
      </c>
      <c r="F205" t="s">
        <v>1638</v>
      </c>
      <c r="G205" t="s">
        <v>280</v>
      </c>
      <c r="H205">
        <v>24</v>
      </c>
      <c r="I205" t="b">
        <f>AND(COUNTIF(CO!A:A,A205)&gt;0,COUNTIF('NO2'!A:A,A205)&gt;0,COUNTIF('PM10'!A:A,A205)&gt;0,COUNTIF('PM2.5'!A:A,A205)&gt;0,COUNTIF('SO2'!A:A,A205)&gt;0,COUNTIF(Kendaraan!A:A,A205)&gt;0)</f>
        <v>1</v>
      </c>
    </row>
    <row r="206" spans="1:9" x14ac:dyDescent="0.45">
      <c r="A206" s="4">
        <v>45591</v>
      </c>
      <c r="B206" t="s">
        <v>1887</v>
      </c>
      <c r="C206" t="s">
        <v>696</v>
      </c>
      <c r="D206" t="s">
        <v>348</v>
      </c>
      <c r="E206" t="s">
        <v>2694</v>
      </c>
      <c r="F206" t="s">
        <v>1815</v>
      </c>
      <c r="G206" t="s">
        <v>283</v>
      </c>
      <c r="H206">
        <v>24</v>
      </c>
      <c r="I206" t="b">
        <f>AND(COUNTIF(CO!A:A,A206)&gt;0,COUNTIF('NO2'!A:A,A206)&gt;0,COUNTIF('PM10'!A:A,A206)&gt;0,COUNTIF('PM2.5'!A:A,A206)&gt;0,COUNTIF('SO2'!A:A,A206)&gt;0,COUNTIF(Kendaraan!A:A,A206)&gt;0)</f>
        <v>1</v>
      </c>
    </row>
    <row r="207" spans="1:9" x14ac:dyDescent="0.45">
      <c r="A207" s="4">
        <v>45592</v>
      </c>
      <c r="B207" t="s">
        <v>1818</v>
      </c>
      <c r="C207" t="s">
        <v>1783</v>
      </c>
      <c r="D207" t="s">
        <v>1811</v>
      </c>
      <c r="E207" t="s">
        <v>1430</v>
      </c>
      <c r="F207" t="s">
        <v>2695</v>
      </c>
      <c r="G207" t="s">
        <v>1040</v>
      </c>
      <c r="H207">
        <v>24</v>
      </c>
      <c r="I207" t="b">
        <f>AND(COUNTIF(CO!A:A,A207)&gt;0,COUNTIF('NO2'!A:A,A207)&gt;0,COUNTIF('PM10'!A:A,A207)&gt;0,COUNTIF('PM2.5'!A:A,A207)&gt;0,COUNTIF('SO2'!A:A,A207)&gt;0,COUNTIF(Kendaraan!A:A,A207)&gt;0)</f>
        <v>1</v>
      </c>
    </row>
    <row r="208" spans="1:9" x14ac:dyDescent="0.45">
      <c r="A208" s="4">
        <v>45593</v>
      </c>
      <c r="B208" t="s">
        <v>1877</v>
      </c>
      <c r="C208" t="s">
        <v>1716</v>
      </c>
      <c r="D208">
        <v>12</v>
      </c>
      <c r="E208" t="s">
        <v>1383</v>
      </c>
      <c r="F208" t="s">
        <v>1807</v>
      </c>
      <c r="G208" t="s">
        <v>1137</v>
      </c>
      <c r="H208">
        <v>24</v>
      </c>
      <c r="I208" t="b">
        <f>AND(COUNTIF(CO!A:A,A208)&gt;0,COUNTIF('NO2'!A:A,A208)&gt;0,COUNTIF('PM10'!A:A,A208)&gt;0,COUNTIF('PM2.5'!A:A,A208)&gt;0,COUNTIF('SO2'!A:A,A208)&gt;0,COUNTIF(Kendaraan!A:A,A208)&gt;0)</f>
        <v>1</v>
      </c>
    </row>
    <row r="209" spans="1:9" x14ac:dyDescent="0.45">
      <c r="A209" s="4">
        <v>45594</v>
      </c>
      <c r="B209" t="s">
        <v>1825</v>
      </c>
      <c r="C209" t="s">
        <v>1789</v>
      </c>
      <c r="D209" t="s">
        <v>1788</v>
      </c>
      <c r="E209" t="s">
        <v>1852</v>
      </c>
      <c r="F209" t="s">
        <v>1851</v>
      </c>
      <c r="G209" t="s">
        <v>211</v>
      </c>
      <c r="H209">
        <v>24</v>
      </c>
      <c r="I209" t="b">
        <f>AND(COUNTIF(CO!A:A,A209)&gt;0,COUNTIF('NO2'!A:A,A209)&gt;0,COUNTIF('PM10'!A:A,A209)&gt;0,COUNTIF('PM2.5'!A:A,A209)&gt;0,COUNTIF('SO2'!A:A,A209)&gt;0,COUNTIF(Kendaraan!A:A,A209)&gt;0)</f>
        <v>1</v>
      </c>
    </row>
    <row r="210" spans="1:9" x14ac:dyDescent="0.45">
      <c r="A210" s="4">
        <v>45595</v>
      </c>
      <c r="B210" t="s">
        <v>1754</v>
      </c>
      <c r="C210" t="s">
        <v>1716</v>
      </c>
      <c r="D210" t="s">
        <v>1785</v>
      </c>
      <c r="E210" t="s">
        <v>2696</v>
      </c>
      <c r="F210" t="s">
        <v>1798</v>
      </c>
      <c r="G210" t="s">
        <v>706</v>
      </c>
      <c r="H210">
        <v>24</v>
      </c>
      <c r="I210" t="b">
        <f>AND(COUNTIF(CO!A:A,A210)&gt;0,COUNTIF('NO2'!A:A,A210)&gt;0,COUNTIF('PM10'!A:A,A210)&gt;0,COUNTIF('PM2.5'!A:A,A210)&gt;0,COUNTIF('SO2'!A:A,A210)&gt;0,COUNTIF(Kendaraan!A:A,A210)&gt;0)</f>
        <v>1</v>
      </c>
    </row>
    <row r="211" spans="1:9" x14ac:dyDescent="0.45">
      <c r="A211" s="4">
        <v>45596</v>
      </c>
      <c r="B211" t="s">
        <v>1786</v>
      </c>
      <c r="C211" t="s">
        <v>1350</v>
      </c>
      <c r="D211" t="s">
        <v>1750</v>
      </c>
      <c r="E211" t="s">
        <v>1787</v>
      </c>
      <c r="F211" t="s">
        <v>1339</v>
      </c>
      <c r="G211" t="s">
        <v>1341</v>
      </c>
      <c r="H211">
        <v>24</v>
      </c>
      <c r="I211" t="b">
        <f>AND(COUNTIF(CO!A:A,A211)&gt;0,COUNTIF('NO2'!A:A,A211)&gt;0,COUNTIF('PM10'!A:A,A211)&gt;0,COUNTIF('PM2.5'!A:A,A211)&gt;0,COUNTIF('SO2'!A:A,A211)&gt;0,COUNTIF(Kendaraan!A:A,A211)&gt;0)</f>
        <v>1</v>
      </c>
    </row>
    <row r="212" spans="1:9" x14ac:dyDescent="0.45">
      <c r="A212" s="4">
        <v>45597</v>
      </c>
      <c r="B212" t="s">
        <v>1360</v>
      </c>
      <c r="C212" t="s">
        <v>1297</v>
      </c>
      <c r="D212" t="s">
        <v>1329</v>
      </c>
      <c r="E212" t="s">
        <v>2697</v>
      </c>
      <c r="F212" t="s">
        <v>1340</v>
      </c>
      <c r="G212" t="s">
        <v>106</v>
      </c>
      <c r="H212">
        <v>24</v>
      </c>
      <c r="I212" t="b">
        <f>AND(COUNTIF(CO!A:A,A212)&gt;0,COUNTIF('NO2'!A:A,A212)&gt;0,COUNTIF('PM10'!A:A,A212)&gt;0,COUNTIF('PM2.5'!A:A,A212)&gt;0,COUNTIF('SO2'!A:A,A212)&gt;0,COUNTIF(Kendaraan!A:A,A212)&gt;0)</f>
        <v>1</v>
      </c>
    </row>
    <row r="213" spans="1:9" x14ac:dyDescent="0.45">
      <c r="A213" s="4">
        <v>45598</v>
      </c>
      <c r="B213" t="s">
        <v>1339</v>
      </c>
      <c r="C213" t="s">
        <v>1300</v>
      </c>
      <c r="D213" t="s">
        <v>1363</v>
      </c>
      <c r="E213" t="s">
        <v>1344</v>
      </c>
      <c r="F213" t="s">
        <v>2698</v>
      </c>
      <c r="G213" t="s">
        <v>1094</v>
      </c>
      <c r="H213">
        <v>24</v>
      </c>
      <c r="I213" t="b">
        <f>AND(COUNTIF(CO!A:A,A213)&gt;0,COUNTIF('NO2'!A:A,A213)&gt;0,COUNTIF('PM10'!A:A,A213)&gt;0,COUNTIF('PM2.5'!A:A,A213)&gt;0,COUNTIF('SO2'!A:A,A213)&gt;0,COUNTIF(Kendaraan!A:A,A213)&gt;0)</f>
        <v>1</v>
      </c>
    </row>
    <row r="214" spans="1:9" x14ac:dyDescent="0.45">
      <c r="A214" s="4">
        <v>45599</v>
      </c>
      <c r="B214" t="s">
        <v>1754</v>
      </c>
      <c r="C214" t="s">
        <v>1350</v>
      </c>
      <c r="D214" t="s">
        <v>1752</v>
      </c>
      <c r="E214" t="s">
        <v>2699</v>
      </c>
      <c r="F214" t="s">
        <v>1344</v>
      </c>
      <c r="G214" t="s">
        <v>259</v>
      </c>
      <c r="H214">
        <v>24</v>
      </c>
      <c r="I214" t="b">
        <f>AND(COUNTIF(CO!A:A,A214)&gt;0,COUNTIF('NO2'!A:A,A214)&gt;0,COUNTIF('PM10'!A:A,A214)&gt;0,COUNTIF('PM2.5'!A:A,A214)&gt;0,COUNTIF('SO2'!A:A,A214)&gt;0,COUNTIF(Kendaraan!A:A,A214)&gt;0)</f>
        <v>1</v>
      </c>
    </row>
    <row r="215" spans="1:9" x14ac:dyDescent="0.45">
      <c r="A215" s="4">
        <v>45600</v>
      </c>
      <c r="B215" t="s">
        <v>1877</v>
      </c>
      <c r="C215" t="s">
        <v>1786</v>
      </c>
      <c r="D215">
        <v>12</v>
      </c>
      <c r="E215" t="s">
        <v>2700</v>
      </c>
      <c r="F215" t="s">
        <v>1954</v>
      </c>
      <c r="G215" t="s">
        <v>240</v>
      </c>
      <c r="H215">
        <v>24</v>
      </c>
      <c r="I215" t="b">
        <f>AND(COUNTIF(CO!A:A,A215)&gt;0,COUNTIF('NO2'!A:A,A215)&gt;0,COUNTIF('PM10'!A:A,A215)&gt;0,COUNTIF('PM2.5'!A:A,A215)&gt;0,COUNTIF('SO2'!A:A,A215)&gt;0,COUNTIF(Kendaraan!A:A,A215)&gt;0)</f>
        <v>1</v>
      </c>
    </row>
    <row r="216" spans="1:9" x14ac:dyDescent="0.45">
      <c r="A216" s="4">
        <v>45601</v>
      </c>
      <c r="B216" t="s">
        <v>1823</v>
      </c>
      <c r="C216" t="s">
        <v>1383</v>
      </c>
      <c r="D216" t="s">
        <v>1792</v>
      </c>
      <c r="E216" t="s">
        <v>2701</v>
      </c>
      <c r="F216" t="s">
        <v>1747</v>
      </c>
      <c r="G216" t="s">
        <v>48</v>
      </c>
      <c r="H216">
        <v>24</v>
      </c>
      <c r="I216" t="b">
        <f>AND(COUNTIF(CO!A:A,A216)&gt;0,COUNTIF('NO2'!A:A,A216)&gt;0,COUNTIF('PM10'!A:A,A216)&gt;0,COUNTIF('PM2.5'!A:A,A216)&gt;0,COUNTIF('SO2'!A:A,A216)&gt;0,COUNTIF(Kendaraan!A:A,A216)&gt;0)</f>
        <v>1</v>
      </c>
    </row>
    <row r="217" spans="1:9" x14ac:dyDescent="0.45">
      <c r="A217" s="4">
        <v>45602</v>
      </c>
      <c r="B217" t="s">
        <v>1659</v>
      </c>
      <c r="C217" t="s">
        <v>1786</v>
      </c>
      <c r="D217" t="s">
        <v>1383</v>
      </c>
      <c r="E217" t="s">
        <v>1887</v>
      </c>
      <c r="F217" t="s">
        <v>1790</v>
      </c>
      <c r="G217" t="s">
        <v>2702</v>
      </c>
      <c r="H217">
        <v>24</v>
      </c>
      <c r="I217" t="b">
        <f>AND(COUNTIF(CO!A:A,A217)&gt;0,COUNTIF('NO2'!A:A,A217)&gt;0,COUNTIF('PM10'!A:A,A217)&gt;0,COUNTIF('PM2.5'!A:A,A217)&gt;0,COUNTIF('SO2'!A:A,A217)&gt;0,COUNTIF(Kendaraan!A:A,A217)&gt;0)</f>
        <v>1</v>
      </c>
    </row>
    <row r="218" spans="1:9" x14ac:dyDescent="0.45">
      <c r="A218" s="4">
        <v>45603</v>
      </c>
      <c r="B218" t="s">
        <v>1877</v>
      </c>
      <c r="C218" t="s">
        <v>1727</v>
      </c>
      <c r="D218" t="s">
        <v>1788</v>
      </c>
      <c r="E218" t="s">
        <v>2691</v>
      </c>
      <c r="F218" t="s">
        <v>1851</v>
      </c>
      <c r="G218" t="s">
        <v>300</v>
      </c>
      <c r="H218">
        <v>24</v>
      </c>
      <c r="I218" t="b">
        <f>AND(COUNTIF(CO!A:A,A218)&gt;0,COUNTIF('NO2'!A:A,A218)&gt;0,COUNTIF('PM10'!A:A,A218)&gt;0,COUNTIF('PM2.5'!A:A,A218)&gt;0,COUNTIF('SO2'!A:A,A218)&gt;0,COUNTIF(Kendaraan!A:A,A218)&gt;0)</f>
        <v>1</v>
      </c>
    </row>
    <row r="219" spans="1:9" x14ac:dyDescent="0.45">
      <c r="A219" s="4">
        <v>45604</v>
      </c>
      <c r="B219" t="s">
        <v>1877</v>
      </c>
      <c r="C219" t="s">
        <v>2691</v>
      </c>
      <c r="D219" t="s">
        <v>1430</v>
      </c>
      <c r="E219" t="s">
        <v>1952</v>
      </c>
      <c r="F219" t="s">
        <v>1895</v>
      </c>
      <c r="G219" t="s">
        <v>87</v>
      </c>
      <c r="H219">
        <v>24</v>
      </c>
      <c r="I219" t="b">
        <f>AND(COUNTIF(CO!A:A,A219)&gt;0,COUNTIF('NO2'!A:A,A219)&gt;0,COUNTIF('PM10'!A:A,A219)&gt;0,COUNTIF('PM2.5'!A:A,A219)&gt;0,COUNTIF('SO2'!A:A,A219)&gt;0,COUNTIF(Kendaraan!A:A,A219)&gt;0)</f>
        <v>1</v>
      </c>
    </row>
    <row r="220" spans="1:9" x14ac:dyDescent="0.45">
      <c r="A220" s="4">
        <v>45605</v>
      </c>
      <c r="B220" t="s">
        <v>1818</v>
      </c>
      <c r="C220" t="s">
        <v>2691</v>
      </c>
      <c r="D220" t="s">
        <v>1823</v>
      </c>
      <c r="E220" t="s">
        <v>1884</v>
      </c>
      <c r="F220" t="s">
        <v>2701</v>
      </c>
      <c r="G220" t="s">
        <v>2703</v>
      </c>
      <c r="H220">
        <v>24</v>
      </c>
      <c r="I220" t="b">
        <f>AND(COUNTIF(CO!A:A,A220)&gt;0,COUNTIF('NO2'!A:A,A220)&gt;0,COUNTIF('PM10'!A:A,A220)&gt;0,COUNTIF('PM2.5'!A:A,A220)&gt;0,COUNTIF('SO2'!A:A,A220)&gt;0,COUNTIF(Kendaraan!A:A,A220)&gt;0)</f>
        <v>1</v>
      </c>
    </row>
    <row r="221" spans="1:9" x14ac:dyDescent="0.45">
      <c r="A221" s="4">
        <v>45606</v>
      </c>
      <c r="B221" t="s">
        <v>946</v>
      </c>
      <c r="C221" t="s">
        <v>1792</v>
      </c>
      <c r="D221" t="s">
        <v>1895</v>
      </c>
      <c r="E221" t="s">
        <v>1853</v>
      </c>
      <c r="F221" t="s">
        <v>2691</v>
      </c>
      <c r="G221" t="s">
        <v>1505</v>
      </c>
      <c r="H221">
        <v>24</v>
      </c>
      <c r="I221" t="b">
        <f>AND(COUNTIF(CO!A:A,A221)&gt;0,COUNTIF('NO2'!A:A,A221)&gt;0,COUNTIF('PM10'!A:A,A221)&gt;0,COUNTIF('PM2.5'!A:A,A221)&gt;0,COUNTIF('SO2'!A:A,A221)&gt;0,COUNTIF(Kendaraan!A:A,A221)&gt;0)</f>
        <v>1</v>
      </c>
    </row>
    <row r="222" spans="1:9" x14ac:dyDescent="0.45">
      <c r="A222" s="4">
        <v>45607</v>
      </c>
      <c r="B222" t="s">
        <v>2704</v>
      </c>
      <c r="C222" t="s">
        <v>1724</v>
      </c>
      <c r="D222" t="s">
        <v>1853</v>
      </c>
      <c r="E222" t="s">
        <v>2705</v>
      </c>
      <c r="F222" t="s">
        <v>2064</v>
      </c>
      <c r="G222" t="s">
        <v>144</v>
      </c>
      <c r="H222">
        <v>24</v>
      </c>
      <c r="I222" t="b">
        <f>AND(COUNTIF(CO!A:A,A222)&gt;0,COUNTIF('NO2'!A:A,A222)&gt;0,COUNTIF('PM10'!A:A,A222)&gt;0,COUNTIF('PM2.5'!A:A,A222)&gt;0,COUNTIF('SO2'!A:A,A222)&gt;0,COUNTIF(Kendaraan!A:A,A222)&gt;0)</f>
        <v>1</v>
      </c>
    </row>
    <row r="223" spans="1:9" x14ac:dyDescent="0.45">
      <c r="A223" s="4">
        <v>45608</v>
      </c>
      <c r="B223" t="s">
        <v>1751</v>
      </c>
      <c r="C223" t="s">
        <v>1887</v>
      </c>
      <c r="D223" t="s">
        <v>2706</v>
      </c>
      <c r="E223" t="s">
        <v>2707</v>
      </c>
      <c r="F223" t="s">
        <v>1799</v>
      </c>
      <c r="G223" t="s">
        <v>2708</v>
      </c>
      <c r="H223">
        <v>24</v>
      </c>
      <c r="I223" t="b">
        <f>AND(COUNTIF(CO!A:A,A223)&gt;0,COUNTIF('NO2'!A:A,A223)&gt;0,COUNTIF('PM10'!A:A,A223)&gt;0,COUNTIF('PM2.5'!A:A,A223)&gt;0,COUNTIF('SO2'!A:A,A223)&gt;0,COUNTIF(Kendaraan!A:A,A223)&gt;0)</f>
        <v>1</v>
      </c>
    </row>
    <row r="224" spans="1:9" x14ac:dyDescent="0.45">
      <c r="A224" s="4">
        <v>45609</v>
      </c>
      <c r="B224" t="s">
        <v>2694</v>
      </c>
      <c r="C224" t="s">
        <v>1790</v>
      </c>
      <c r="D224" t="s">
        <v>2688</v>
      </c>
      <c r="E224" t="s">
        <v>1383</v>
      </c>
      <c r="F224" t="s">
        <v>1815</v>
      </c>
      <c r="G224" t="s">
        <v>295</v>
      </c>
      <c r="H224">
        <v>24</v>
      </c>
      <c r="I224" t="b">
        <f>AND(COUNTIF(CO!A:A,A224)&gt;0,COUNTIF('NO2'!A:A,A224)&gt;0,COUNTIF('PM10'!A:A,A224)&gt;0,COUNTIF('PM2.5'!A:A,A224)&gt;0,COUNTIF('SO2'!A:A,A224)&gt;0,COUNTIF(Kendaraan!A:A,A224)&gt;0)</f>
        <v>1</v>
      </c>
    </row>
    <row r="225" spans="1:9" x14ac:dyDescent="0.45">
      <c r="A225" s="4">
        <v>45610</v>
      </c>
      <c r="B225" t="s">
        <v>1807</v>
      </c>
      <c r="C225" t="s">
        <v>1310</v>
      </c>
      <c r="D225" t="s">
        <v>1307</v>
      </c>
      <c r="E225" t="s">
        <v>1329</v>
      </c>
      <c r="F225" t="s">
        <v>1889</v>
      </c>
      <c r="G225" t="s">
        <v>436</v>
      </c>
      <c r="H225">
        <v>24</v>
      </c>
      <c r="I225" t="b">
        <f>AND(COUNTIF(CO!A:A,A225)&gt;0,COUNTIF('NO2'!A:A,A225)&gt;0,COUNTIF('PM10'!A:A,A225)&gt;0,COUNTIF('PM2.5'!A:A,A225)&gt;0,COUNTIF('SO2'!A:A,A225)&gt;0,COUNTIF(Kendaraan!A:A,A225)&gt;0)</f>
        <v>1</v>
      </c>
    </row>
    <row r="226" spans="1:9" x14ac:dyDescent="0.45">
      <c r="A226" s="4">
        <v>45611</v>
      </c>
      <c r="B226" t="s">
        <v>1340</v>
      </c>
      <c r="C226" t="s">
        <v>2389</v>
      </c>
      <c r="D226" t="s">
        <v>2391</v>
      </c>
      <c r="E226" t="s">
        <v>1380</v>
      </c>
      <c r="F226" t="s">
        <v>1313</v>
      </c>
      <c r="G226" t="s">
        <v>270</v>
      </c>
      <c r="H226">
        <v>24</v>
      </c>
      <c r="I226" t="b">
        <f>AND(COUNTIF(CO!A:A,A226)&gt;0,COUNTIF('NO2'!A:A,A226)&gt;0,COUNTIF('PM10'!A:A,A226)&gt;0,COUNTIF('PM2.5'!A:A,A226)&gt;0,COUNTIF('SO2'!A:A,A226)&gt;0,COUNTIF(Kendaraan!A:A,A226)&gt;0)</f>
        <v>1</v>
      </c>
    </row>
    <row r="227" spans="1:9" x14ac:dyDescent="0.45">
      <c r="A227" s="4">
        <v>45612</v>
      </c>
      <c r="B227" t="s">
        <v>2709</v>
      </c>
      <c r="C227">
        <v>13</v>
      </c>
      <c r="D227" t="s">
        <v>2693</v>
      </c>
      <c r="E227" t="s">
        <v>1592</v>
      </c>
      <c r="F227" t="s">
        <v>1749</v>
      </c>
      <c r="G227" t="s">
        <v>2710</v>
      </c>
      <c r="H227">
        <v>24</v>
      </c>
      <c r="I227" t="b">
        <f>AND(COUNTIF(CO!A:A,A227)&gt;0,COUNTIF('NO2'!A:A,A227)&gt;0,COUNTIF('PM10'!A:A,A227)&gt;0,COUNTIF('PM2.5'!A:A,A227)&gt;0,COUNTIF('SO2'!A:A,A227)&gt;0,COUNTIF(Kendaraan!A:A,A227)&gt;0)</f>
        <v>1</v>
      </c>
    </row>
    <row r="228" spans="1:9" x14ac:dyDescent="0.45">
      <c r="A228" s="4">
        <v>45613</v>
      </c>
      <c r="B228" t="s">
        <v>1287</v>
      </c>
      <c r="C228" t="s">
        <v>2711</v>
      </c>
      <c r="D228" t="s">
        <v>2709</v>
      </c>
      <c r="E228" t="s">
        <v>1751</v>
      </c>
      <c r="F228" t="s">
        <v>2712</v>
      </c>
      <c r="G228" t="s">
        <v>46</v>
      </c>
      <c r="H228">
        <v>24</v>
      </c>
      <c r="I228" t="b">
        <f>AND(COUNTIF(CO!A:A,A228)&gt;0,COUNTIF('NO2'!A:A,A228)&gt;0,COUNTIF('PM10'!A:A,A228)&gt;0,COUNTIF('PM2.5'!A:A,A228)&gt;0,COUNTIF('SO2'!A:A,A228)&gt;0,COUNTIF(Kendaraan!A:A,A228)&gt;0)</f>
        <v>1</v>
      </c>
    </row>
    <row r="229" spans="1:9" x14ac:dyDescent="0.45">
      <c r="A229" s="4">
        <v>45614</v>
      </c>
      <c r="B229" t="s">
        <v>2713</v>
      </c>
      <c r="C229" t="s">
        <v>2711</v>
      </c>
      <c r="D229" t="s">
        <v>1836</v>
      </c>
      <c r="E229" t="s">
        <v>2714</v>
      </c>
      <c r="F229" t="s">
        <v>2715</v>
      </c>
      <c r="G229" t="s">
        <v>54</v>
      </c>
      <c r="H229">
        <v>24</v>
      </c>
      <c r="I229" t="b">
        <f>AND(COUNTIF(CO!A:A,A229)&gt;0,COUNTIF('NO2'!A:A,A229)&gt;0,COUNTIF('PM10'!A:A,A229)&gt;0,COUNTIF('PM2.5'!A:A,A229)&gt;0,COUNTIF('SO2'!A:A,A229)&gt;0,COUNTIF(Kendaraan!A:A,A229)&gt;0)</f>
        <v>1</v>
      </c>
    </row>
    <row r="230" spans="1:9" x14ac:dyDescent="0.45">
      <c r="A230" s="4">
        <v>45615</v>
      </c>
      <c r="B230" t="s">
        <v>1878</v>
      </c>
      <c r="C230" t="s">
        <v>1290</v>
      </c>
      <c r="D230" t="s">
        <v>2713</v>
      </c>
      <c r="E230" t="s">
        <v>1878</v>
      </c>
      <c r="F230" t="s">
        <v>2713</v>
      </c>
      <c r="G230" t="s">
        <v>37</v>
      </c>
      <c r="H230">
        <v>24</v>
      </c>
      <c r="I230" t="b">
        <f>AND(COUNTIF(CO!A:A,A230)&gt;0,COUNTIF('NO2'!A:A,A230)&gt;0,COUNTIF('PM10'!A:A,A230)&gt;0,COUNTIF('PM2.5'!A:A,A230)&gt;0,COUNTIF('SO2'!A:A,A230)&gt;0,COUNTIF(Kendaraan!A:A,A230)&gt;0)</f>
        <v>1</v>
      </c>
    </row>
    <row r="231" spans="1:9" x14ac:dyDescent="0.45">
      <c r="A231" s="4">
        <v>45616</v>
      </c>
      <c r="B231">
        <v>11</v>
      </c>
      <c r="C231" t="s">
        <v>1878</v>
      </c>
      <c r="D231" t="s">
        <v>1878</v>
      </c>
      <c r="E231" t="s">
        <v>1878</v>
      </c>
      <c r="F231" t="s">
        <v>1878</v>
      </c>
      <c r="G231" t="s">
        <v>24</v>
      </c>
      <c r="H231">
        <v>24</v>
      </c>
      <c r="I231" t="b">
        <f>AND(COUNTIF(CO!A:A,A231)&gt;0,COUNTIF('NO2'!A:A,A231)&gt;0,COUNTIF('PM10'!A:A,A231)&gt;0,COUNTIF('PM2.5'!A:A,A231)&gt;0,COUNTIF('SO2'!A:A,A231)&gt;0,COUNTIF(Kendaraan!A:A,A231)&gt;0)</f>
        <v>1</v>
      </c>
    </row>
    <row r="232" spans="1:9" x14ac:dyDescent="0.45">
      <c r="A232" s="4">
        <v>45617</v>
      </c>
      <c r="B232" t="s">
        <v>1878</v>
      </c>
      <c r="C232" t="s">
        <v>2716</v>
      </c>
      <c r="D232" t="s">
        <v>2713</v>
      </c>
      <c r="E232" t="s">
        <v>1066</v>
      </c>
      <c r="F232" t="s">
        <v>1775</v>
      </c>
      <c r="G232" t="s">
        <v>247</v>
      </c>
      <c r="H232">
        <v>24</v>
      </c>
      <c r="I232" t="b">
        <f>AND(COUNTIF(CO!A:A,A232)&gt;0,COUNTIF('NO2'!A:A,A232)&gt;0,COUNTIF('PM10'!A:A,A232)&gt;0,COUNTIF('PM2.5'!A:A,A232)&gt;0,COUNTIF('SO2'!A:A,A232)&gt;0,COUNTIF(Kendaraan!A:A,A232)&gt;0)</f>
        <v>1</v>
      </c>
    </row>
    <row r="233" spans="1:9" x14ac:dyDescent="0.45">
      <c r="A233" s="4">
        <v>45618</v>
      </c>
      <c r="B233" t="s">
        <v>1290</v>
      </c>
      <c r="C233" t="s">
        <v>752</v>
      </c>
      <c r="D233" t="s">
        <v>2717</v>
      </c>
      <c r="E233" t="s">
        <v>2709</v>
      </c>
      <c r="F233" t="s">
        <v>2716</v>
      </c>
      <c r="G233" t="s">
        <v>186</v>
      </c>
      <c r="H233">
        <v>24</v>
      </c>
      <c r="I233" t="b">
        <f>AND(COUNTIF(CO!A:A,A233)&gt;0,COUNTIF('NO2'!A:A,A233)&gt;0,COUNTIF('PM10'!A:A,A233)&gt;0,COUNTIF('PM2.5'!A:A,A233)&gt;0,COUNTIF('SO2'!A:A,A233)&gt;0,COUNTIF(Kendaraan!A:A,A233)&gt;0)</f>
        <v>1</v>
      </c>
    </row>
    <row r="234" spans="1:9" x14ac:dyDescent="0.45">
      <c r="A234" s="4">
        <v>45619</v>
      </c>
      <c r="B234" t="s">
        <v>2713</v>
      </c>
      <c r="C234" t="s">
        <v>2718</v>
      </c>
      <c r="D234" t="s">
        <v>1290</v>
      </c>
      <c r="E234" t="s">
        <v>1290</v>
      </c>
      <c r="F234" t="s">
        <v>1290</v>
      </c>
      <c r="G234" t="s">
        <v>36</v>
      </c>
      <c r="H234">
        <v>24</v>
      </c>
      <c r="I234" t="b">
        <f>AND(COUNTIF(CO!A:A,A234)&gt;0,COUNTIF('NO2'!A:A,A234)&gt;0,COUNTIF('PM10'!A:A,A234)&gt;0,COUNTIF('PM2.5'!A:A,A234)&gt;0,COUNTIF('SO2'!A:A,A234)&gt;0,COUNTIF(Kendaraan!A:A,A234)&gt;0)</f>
        <v>1</v>
      </c>
    </row>
    <row r="235" spans="1:9" x14ac:dyDescent="0.45">
      <c r="A235" s="4">
        <v>45620</v>
      </c>
      <c r="B235" t="s">
        <v>1878</v>
      </c>
      <c r="C235" t="s">
        <v>1287</v>
      </c>
      <c r="D235" t="s">
        <v>2713</v>
      </c>
      <c r="E235" t="s">
        <v>2713</v>
      </c>
      <c r="F235" t="s">
        <v>2718</v>
      </c>
      <c r="G235" t="s">
        <v>83</v>
      </c>
      <c r="H235">
        <v>24</v>
      </c>
      <c r="I235" t="b">
        <f>AND(COUNTIF(CO!A:A,A235)&gt;0,COUNTIF('NO2'!A:A,A235)&gt;0,COUNTIF('PM10'!A:A,A235)&gt;0,COUNTIF('PM2.5'!A:A,A235)&gt;0,COUNTIF('SO2'!A:A,A235)&gt;0,COUNTIF(Kendaraan!A:A,A235)&gt;0)</f>
        <v>1</v>
      </c>
    </row>
    <row r="236" spans="1:9" x14ac:dyDescent="0.45">
      <c r="A236" s="4">
        <v>45621</v>
      </c>
      <c r="B236" t="s">
        <v>1878</v>
      </c>
      <c r="C236" t="s">
        <v>2719</v>
      </c>
      <c r="D236" t="s">
        <v>1496</v>
      </c>
      <c r="E236" t="s">
        <v>1780</v>
      </c>
      <c r="F236" t="s">
        <v>2605</v>
      </c>
      <c r="G236" s="1">
        <v>1555</v>
      </c>
      <c r="H236">
        <v>21</v>
      </c>
      <c r="I236" t="b">
        <f>AND(COUNTIF(CO!A:A,A236)&gt;0,COUNTIF('NO2'!A:A,A236)&gt;0,COUNTIF('PM10'!A:A,A236)&gt;0,COUNTIF('PM2.5'!A:A,A236)&gt;0,COUNTIF('SO2'!A:A,A236)&gt;0,COUNTIF(Kendaraan!A:A,A236)&gt;0)</f>
        <v>1</v>
      </c>
    </row>
    <row r="237" spans="1:9" x14ac:dyDescent="0.45">
      <c r="A237" s="4">
        <v>45622</v>
      </c>
      <c r="B237" t="s">
        <v>2720</v>
      </c>
      <c r="C237" t="s">
        <v>2721</v>
      </c>
      <c r="D237" t="s">
        <v>1577</v>
      </c>
      <c r="E237" t="s">
        <v>1950</v>
      </c>
      <c r="F237" t="s">
        <v>942</v>
      </c>
      <c r="G237" t="s">
        <v>2722</v>
      </c>
      <c r="H237">
        <v>24</v>
      </c>
      <c r="I237" t="b">
        <f>AND(COUNTIF(CO!A:A,A237)&gt;0,COUNTIF('NO2'!A:A,A237)&gt;0,COUNTIF('PM10'!A:A,A237)&gt;0,COUNTIF('PM2.5'!A:A,A237)&gt;0,COUNTIF('SO2'!A:A,A237)&gt;0,COUNTIF(Kendaraan!A:A,A237)&gt;0)</f>
        <v>1</v>
      </c>
    </row>
    <row r="238" spans="1:9" x14ac:dyDescent="0.45">
      <c r="A238" s="4">
        <v>45623</v>
      </c>
      <c r="B238" t="s">
        <v>1848</v>
      </c>
      <c r="C238" t="s">
        <v>1190</v>
      </c>
      <c r="D238" t="s">
        <v>2723</v>
      </c>
      <c r="E238" t="s">
        <v>1655</v>
      </c>
      <c r="F238" t="s">
        <v>2724</v>
      </c>
      <c r="G238" t="s">
        <v>288</v>
      </c>
      <c r="H238">
        <v>24</v>
      </c>
      <c r="I238" t="b">
        <f>AND(COUNTIF(CO!A:A,A238)&gt;0,COUNTIF('NO2'!A:A,A238)&gt;0,COUNTIF('PM10'!A:A,A238)&gt;0,COUNTIF('PM2.5'!A:A,A238)&gt;0,COUNTIF('SO2'!A:A,A238)&gt;0,COUNTIF(Kendaraan!A:A,A238)&gt;0)</f>
        <v>1</v>
      </c>
    </row>
    <row r="239" spans="1:9" x14ac:dyDescent="0.45">
      <c r="A239" s="4">
        <v>45624</v>
      </c>
      <c r="B239" t="s">
        <v>1950</v>
      </c>
      <c r="C239" t="s">
        <v>1759</v>
      </c>
      <c r="D239" t="s">
        <v>2725</v>
      </c>
      <c r="E239" t="s">
        <v>1842</v>
      </c>
      <c r="F239" t="s">
        <v>1193</v>
      </c>
      <c r="G239" t="s">
        <v>203</v>
      </c>
      <c r="H239">
        <v>24</v>
      </c>
      <c r="I239" t="b">
        <f>AND(COUNTIF(CO!A:A,A239)&gt;0,COUNTIF('NO2'!A:A,A239)&gt;0,COUNTIF('PM10'!A:A,A239)&gt;0,COUNTIF('PM2.5'!A:A,A239)&gt;0,COUNTIF('SO2'!A:A,A239)&gt;0,COUNTIF(Kendaraan!A:A,A239)&gt;0)</f>
        <v>1</v>
      </c>
    </row>
    <row r="240" spans="1:9" x14ac:dyDescent="0.45">
      <c r="A240" s="4">
        <v>45625</v>
      </c>
      <c r="B240" t="s">
        <v>1657</v>
      </c>
      <c r="C240" t="s">
        <v>1842</v>
      </c>
      <c r="D240" t="s">
        <v>2726</v>
      </c>
      <c r="E240" t="s">
        <v>2720</v>
      </c>
      <c r="F240" t="s">
        <v>1730</v>
      </c>
      <c r="G240" t="s">
        <v>1367</v>
      </c>
      <c r="H240">
        <v>24</v>
      </c>
      <c r="I240" t="b">
        <f>AND(COUNTIF(CO!A:A,A240)&gt;0,COUNTIF('NO2'!A:A,A240)&gt;0,COUNTIF('PM10'!A:A,A240)&gt;0,COUNTIF('PM2.5'!A:A,A240)&gt;0,COUNTIF('SO2'!A:A,A240)&gt;0,COUNTIF(Kendaraan!A:A,A240)&gt;0)</f>
        <v>1</v>
      </c>
    </row>
    <row r="241" spans="1:9" x14ac:dyDescent="0.45">
      <c r="A241" s="4">
        <v>45626</v>
      </c>
      <c r="B241" t="s">
        <v>1372</v>
      </c>
      <c r="C241" t="s">
        <v>2727</v>
      </c>
      <c r="D241" t="s">
        <v>2728</v>
      </c>
      <c r="E241" t="s">
        <v>1956</v>
      </c>
      <c r="F241" t="s">
        <v>2727</v>
      </c>
      <c r="G241" t="s">
        <v>64</v>
      </c>
      <c r="H241">
        <v>24</v>
      </c>
      <c r="I241" t="b">
        <f>AND(COUNTIF(CO!A:A,A241)&gt;0,COUNTIF('NO2'!A:A,A241)&gt;0,COUNTIF('PM10'!A:A,A241)&gt;0,COUNTIF('PM2.5'!A:A,A241)&gt;0,COUNTIF('SO2'!A:A,A241)&gt;0,COUNTIF(Kendaraan!A:A,A241)&gt;0)</f>
        <v>1</v>
      </c>
    </row>
    <row r="242" spans="1:9" x14ac:dyDescent="0.45">
      <c r="A242" s="4">
        <v>45627</v>
      </c>
      <c r="B242" t="s">
        <v>1657</v>
      </c>
      <c r="C242" t="s">
        <v>2729</v>
      </c>
      <c r="D242" t="s">
        <v>1804</v>
      </c>
      <c r="E242" t="s">
        <v>2730</v>
      </c>
      <c r="F242" t="s">
        <v>2731</v>
      </c>
      <c r="G242" t="s">
        <v>2732</v>
      </c>
      <c r="H242">
        <v>24</v>
      </c>
      <c r="I242" t="b">
        <f>AND(COUNTIF(CO!A:A,A242)&gt;0,COUNTIF('NO2'!A:A,A242)&gt;0,COUNTIF('PM10'!A:A,A242)&gt;0,COUNTIF('PM2.5'!A:A,A242)&gt;0,COUNTIF('SO2'!A:A,A242)&gt;0,COUNTIF(Kendaraan!A:A,A242)&gt;0)</f>
        <v>1</v>
      </c>
    </row>
    <row r="243" spans="1:9" x14ac:dyDescent="0.45">
      <c r="A243" s="4">
        <v>45628</v>
      </c>
      <c r="B243" t="s">
        <v>2733</v>
      </c>
      <c r="C243" t="s">
        <v>1984</v>
      </c>
      <c r="D243" t="s">
        <v>1190</v>
      </c>
      <c r="E243" t="s">
        <v>1842</v>
      </c>
      <c r="F243" t="s">
        <v>1984</v>
      </c>
      <c r="G243" t="s">
        <v>284</v>
      </c>
      <c r="H243">
        <v>24</v>
      </c>
      <c r="I243" t="b">
        <f>AND(COUNTIF(CO!A:A,A243)&gt;0,COUNTIF('NO2'!A:A,A243)&gt;0,COUNTIF('PM10'!A:A,A243)&gt;0,COUNTIF('PM2.5'!A:A,A243)&gt;0,COUNTIF('SO2'!A:A,A243)&gt;0,COUNTIF(Kendaraan!A:A,A243)&gt;0)</f>
        <v>1</v>
      </c>
    </row>
    <row r="244" spans="1:9" x14ac:dyDescent="0.45">
      <c r="A244" s="4">
        <v>45629</v>
      </c>
      <c r="B244" t="s">
        <v>1843</v>
      </c>
      <c r="C244" t="s">
        <v>1193</v>
      </c>
      <c r="D244" t="s">
        <v>2734</v>
      </c>
      <c r="E244" t="s">
        <v>1843</v>
      </c>
      <c r="F244" t="s">
        <v>1977</v>
      </c>
      <c r="G244" t="s">
        <v>51</v>
      </c>
      <c r="H244">
        <v>24</v>
      </c>
      <c r="I244" t="b">
        <f>AND(COUNTIF(CO!A:A,A244)&gt;0,COUNTIF('NO2'!A:A,A244)&gt;0,COUNTIF('PM10'!A:A,A244)&gt;0,COUNTIF('PM2.5'!A:A,A244)&gt;0,COUNTIF('SO2'!A:A,A244)&gt;0,COUNTIF(Kendaraan!A:A,A244)&gt;0)</f>
        <v>1</v>
      </c>
    </row>
    <row r="245" spans="1:9" x14ac:dyDescent="0.45">
      <c r="A245" s="4">
        <v>45630</v>
      </c>
      <c r="B245" t="s">
        <v>2735</v>
      </c>
      <c r="C245" t="s">
        <v>2607</v>
      </c>
      <c r="D245" t="s">
        <v>1643</v>
      </c>
      <c r="E245" t="s">
        <v>2723</v>
      </c>
      <c r="F245" t="s">
        <v>1643</v>
      </c>
      <c r="G245" t="s">
        <v>73</v>
      </c>
      <c r="H245">
        <v>24</v>
      </c>
      <c r="I245" t="b">
        <f>AND(COUNTIF(CO!A:A,A245)&gt;0,COUNTIF('NO2'!A:A,A245)&gt;0,COUNTIF('PM10'!A:A,A245)&gt;0,COUNTIF('PM2.5'!A:A,A245)&gt;0,COUNTIF('SO2'!A:A,A245)&gt;0,COUNTIF(Kendaraan!A:A,A245)&gt;0)</f>
        <v>1</v>
      </c>
    </row>
    <row r="246" spans="1:9" x14ac:dyDescent="0.45">
      <c r="A246" s="4">
        <v>45631</v>
      </c>
      <c r="B246" t="s">
        <v>1190</v>
      </c>
      <c r="C246" t="s">
        <v>1725</v>
      </c>
      <c r="D246" t="s">
        <v>1073</v>
      </c>
      <c r="E246" t="s">
        <v>1073</v>
      </c>
      <c r="F246" t="s">
        <v>2736</v>
      </c>
      <c r="G246" t="s">
        <v>580</v>
      </c>
      <c r="H246">
        <v>24</v>
      </c>
      <c r="I246" t="b">
        <f>AND(COUNTIF(CO!A:A,A246)&gt;0,COUNTIF('NO2'!A:A,A246)&gt;0,COUNTIF('PM10'!A:A,A246)&gt;0,COUNTIF('PM2.5'!A:A,A246)&gt;0,COUNTIF('SO2'!A:A,A246)&gt;0,COUNTIF(Kendaraan!A:A,A246)&gt;0)</f>
        <v>1</v>
      </c>
    </row>
    <row r="247" spans="1:9" x14ac:dyDescent="0.45">
      <c r="A247" s="4">
        <v>45632</v>
      </c>
      <c r="B247" t="s">
        <v>2605</v>
      </c>
      <c r="C247" t="s">
        <v>1068</v>
      </c>
      <c r="D247" t="s">
        <v>2719</v>
      </c>
      <c r="E247" t="s">
        <v>1984</v>
      </c>
      <c r="F247" t="s">
        <v>2737</v>
      </c>
      <c r="G247" t="s">
        <v>338</v>
      </c>
      <c r="H247">
        <v>24</v>
      </c>
      <c r="I247" t="b">
        <f>AND(COUNTIF(CO!A:A,A247)&gt;0,COUNTIF('NO2'!A:A,A247)&gt;0,COUNTIF('PM10'!A:A,A247)&gt;0,COUNTIF('PM2.5'!A:A,A247)&gt;0,COUNTIF('SO2'!A:A,A247)&gt;0,COUNTIF(Kendaraan!A:A,A247)&gt;0)</f>
        <v>1</v>
      </c>
    </row>
    <row r="248" spans="1:9" x14ac:dyDescent="0.45">
      <c r="A248" s="4">
        <v>45633</v>
      </c>
      <c r="B248" t="s">
        <v>1857</v>
      </c>
      <c r="C248" t="s">
        <v>1187</v>
      </c>
      <c r="D248" t="s">
        <v>2400</v>
      </c>
      <c r="E248" t="s">
        <v>1977</v>
      </c>
      <c r="F248" t="s">
        <v>2738</v>
      </c>
      <c r="G248" t="s">
        <v>1542</v>
      </c>
      <c r="H248">
        <v>24</v>
      </c>
      <c r="I248" t="b">
        <f>AND(COUNTIF(CO!A:A,A248)&gt;0,COUNTIF('NO2'!A:A,A248)&gt;0,COUNTIF('PM10'!A:A,A248)&gt;0,COUNTIF('PM2.5'!A:A,A248)&gt;0,COUNTIF('SO2'!A:A,A248)&gt;0,COUNTIF(Kendaraan!A:A,A248)&gt;0)</f>
        <v>1</v>
      </c>
    </row>
    <row r="249" spans="1:9" x14ac:dyDescent="0.45">
      <c r="A249" s="4">
        <v>45634</v>
      </c>
      <c r="B249" t="s">
        <v>1173</v>
      </c>
      <c r="C249" t="s">
        <v>1725</v>
      </c>
      <c r="D249" t="s">
        <v>2737</v>
      </c>
      <c r="E249" t="s">
        <v>1125</v>
      </c>
      <c r="F249" t="s">
        <v>1074</v>
      </c>
      <c r="G249" t="s">
        <v>2739</v>
      </c>
      <c r="H249">
        <v>24</v>
      </c>
      <c r="I249" t="b">
        <f>AND(COUNTIF(CO!A:A,A249)&gt;0,COUNTIF('NO2'!A:A,A249)&gt;0,COUNTIF('PM10'!A:A,A249)&gt;0,COUNTIF('PM2.5'!A:A,A249)&gt;0,COUNTIF('SO2'!A:A,A249)&gt;0,COUNTIF(Kendaraan!A:A,A249)&gt;0)</f>
        <v>1</v>
      </c>
    </row>
    <row r="250" spans="1:9" x14ac:dyDescent="0.45">
      <c r="A250" s="4">
        <v>45635</v>
      </c>
      <c r="B250" t="s">
        <v>2740</v>
      </c>
      <c r="C250" t="s">
        <v>2741</v>
      </c>
      <c r="D250" t="s">
        <v>2742</v>
      </c>
      <c r="E250" t="s">
        <v>2738</v>
      </c>
      <c r="F250" t="s">
        <v>2743</v>
      </c>
      <c r="G250" t="s">
        <v>2744</v>
      </c>
      <c r="H250">
        <v>24</v>
      </c>
      <c r="I250" t="b">
        <f>AND(COUNTIF(CO!A:A,A250)&gt;0,COUNTIF('NO2'!A:A,A250)&gt;0,COUNTIF('PM10'!A:A,A250)&gt;0,COUNTIF('PM2.5'!A:A,A250)&gt;0,COUNTIF('SO2'!A:A,A250)&gt;0,COUNTIF(Kendaraan!A:A,A250)&gt;0)</f>
        <v>1</v>
      </c>
    </row>
    <row r="251" spans="1:9" x14ac:dyDescent="0.45">
      <c r="A251" s="4">
        <v>45636</v>
      </c>
      <c r="B251" t="s">
        <v>2729</v>
      </c>
      <c r="C251" t="s">
        <v>1143</v>
      </c>
      <c r="D251" t="s">
        <v>1092</v>
      </c>
      <c r="E251" t="s">
        <v>2745</v>
      </c>
      <c r="F251" t="s">
        <v>1089</v>
      </c>
      <c r="G251" t="s">
        <v>651</v>
      </c>
      <c r="H251">
        <v>24</v>
      </c>
      <c r="I251" t="b">
        <f>AND(COUNTIF(CO!A:A,A251)&gt;0,COUNTIF('NO2'!A:A,A251)&gt;0,COUNTIF('PM10'!A:A,A251)&gt;0,COUNTIF('PM2.5'!A:A,A251)&gt;0,COUNTIF('SO2'!A:A,A251)&gt;0,COUNTIF(Kendaraan!A:A,A251)&gt;0)</f>
        <v>1</v>
      </c>
    </row>
    <row r="252" spans="1:9" x14ac:dyDescent="0.45">
      <c r="A252" s="4">
        <v>45637</v>
      </c>
      <c r="B252" t="s">
        <v>1759</v>
      </c>
      <c r="C252" t="s">
        <v>2740</v>
      </c>
      <c r="D252" t="s">
        <v>1961</v>
      </c>
      <c r="E252" t="s">
        <v>2746</v>
      </c>
      <c r="F252" t="s">
        <v>2747</v>
      </c>
      <c r="G252" t="s">
        <v>1505</v>
      </c>
      <c r="H252">
        <v>24</v>
      </c>
      <c r="I252" t="b">
        <f>AND(COUNTIF(CO!A:A,A252)&gt;0,COUNTIF('NO2'!A:A,A252)&gt;0,COUNTIF('PM10'!A:A,A252)&gt;0,COUNTIF('PM2.5'!A:A,A252)&gt;0,COUNTIF('SO2'!A:A,A252)&gt;0,COUNTIF(Kendaraan!A:A,A252)&gt;0)</f>
        <v>1</v>
      </c>
    </row>
    <row r="253" spans="1:9" x14ac:dyDescent="0.45">
      <c r="A253" s="4">
        <v>45638</v>
      </c>
      <c r="B253" t="s">
        <v>1984</v>
      </c>
      <c r="C253" t="s">
        <v>1963</v>
      </c>
      <c r="D253" t="s">
        <v>1318</v>
      </c>
      <c r="E253" t="s">
        <v>1083</v>
      </c>
      <c r="F253" t="s">
        <v>2748</v>
      </c>
      <c r="G253" t="s">
        <v>2749</v>
      </c>
      <c r="H253">
        <v>24</v>
      </c>
      <c r="I253" t="b">
        <f>AND(COUNTIF(CO!A:A,A253)&gt;0,COUNTIF('NO2'!A:A,A253)&gt;0,COUNTIF('PM10'!A:A,A253)&gt;0,COUNTIF('PM2.5'!A:A,A253)&gt;0,COUNTIF('SO2'!A:A,A253)&gt;0,COUNTIF(Kendaraan!A:A,A253)&gt;0)</f>
        <v>1</v>
      </c>
    </row>
    <row r="254" spans="1:9" x14ac:dyDescent="0.45">
      <c r="A254" s="4">
        <v>45639</v>
      </c>
      <c r="B254" t="s">
        <v>1097</v>
      </c>
      <c r="C254" t="s">
        <v>2602</v>
      </c>
      <c r="D254" t="s">
        <v>2409</v>
      </c>
      <c r="E254" t="s">
        <v>1578</v>
      </c>
      <c r="F254" t="s">
        <v>2750</v>
      </c>
      <c r="G254" t="s">
        <v>1273</v>
      </c>
      <c r="H254">
        <v>24</v>
      </c>
      <c r="I254" t="b">
        <f>AND(COUNTIF(CO!A:A,A254)&gt;0,COUNTIF('NO2'!A:A,A254)&gt;0,COUNTIF('PM10'!A:A,A254)&gt;0,COUNTIF('PM2.5'!A:A,A254)&gt;0,COUNTIF('SO2'!A:A,A254)&gt;0,COUNTIF(Kendaraan!A:A,A254)&gt;0)</f>
        <v>1</v>
      </c>
    </row>
    <row r="255" spans="1:9" x14ac:dyDescent="0.45">
      <c r="A255" s="4">
        <v>45640</v>
      </c>
      <c r="B255" t="s">
        <v>1095</v>
      </c>
      <c r="C255" t="s">
        <v>1116</v>
      </c>
      <c r="D255" t="s">
        <v>342</v>
      </c>
      <c r="E255" t="s">
        <v>2751</v>
      </c>
      <c r="F255" t="s">
        <v>1121</v>
      </c>
      <c r="G255" t="s">
        <v>2752</v>
      </c>
      <c r="H255">
        <v>24</v>
      </c>
      <c r="I255" t="b">
        <f>AND(COUNTIF(CO!A:A,A255)&gt;0,COUNTIF('NO2'!A:A,A255)&gt;0,COUNTIF('PM10'!A:A,A255)&gt;0,COUNTIF('PM2.5'!A:A,A255)&gt;0,COUNTIF('SO2'!A:A,A255)&gt;0,COUNTIF(Kendaraan!A:A,A255)&gt;0)</f>
        <v>1</v>
      </c>
    </row>
    <row r="256" spans="1:9" x14ac:dyDescent="0.45">
      <c r="A256" s="4">
        <v>45641</v>
      </c>
      <c r="B256" t="s">
        <v>1193</v>
      </c>
      <c r="C256" t="s">
        <v>2753</v>
      </c>
      <c r="D256" t="s">
        <v>1187</v>
      </c>
      <c r="E256" t="s">
        <v>1318</v>
      </c>
      <c r="F256" t="s">
        <v>2719</v>
      </c>
      <c r="G256" t="s">
        <v>2754</v>
      </c>
      <c r="H256">
        <v>24</v>
      </c>
      <c r="I256" t="b">
        <f>AND(COUNTIF(CO!A:A,A256)&gt;0,COUNTIF('NO2'!A:A,A256)&gt;0,COUNTIF('PM10'!A:A,A256)&gt;0,COUNTIF('PM2.5'!A:A,A256)&gt;0,COUNTIF('SO2'!A:A,A256)&gt;0,COUNTIF(Kendaraan!A:A,A256)&gt;0)</f>
        <v>1</v>
      </c>
    </row>
    <row r="257" spans="1:9" x14ac:dyDescent="0.45">
      <c r="A257" s="4">
        <v>45642</v>
      </c>
      <c r="B257" t="s">
        <v>2607</v>
      </c>
      <c r="C257" t="s">
        <v>1065</v>
      </c>
      <c r="D257" t="s">
        <v>2376</v>
      </c>
      <c r="E257" t="s">
        <v>2747</v>
      </c>
      <c r="F257" t="s">
        <v>1784</v>
      </c>
      <c r="G257" t="s">
        <v>2755</v>
      </c>
      <c r="H257">
        <v>24</v>
      </c>
      <c r="I257" t="b">
        <f>AND(COUNTIF(CO!A:A,A257)&gt;0,COUNTIF('NO2'!A:A,A257)&gt;0,COUNTIF('PM10'!A:A,A257)&gt;0,COUNTIF('PM2.5'!A:A,A257)&gt;0,COUNTIF('SO2'!A:A,A257)&gt;0,COUNTIF(Kendaraan!A:A,A257)&gt;0)</f>
        <v>1</v>
      </c>
    </row>
    <row r="258" spans="1:9" x14ac:dyDescent="0.45">
      <c r="A258" s="4">
        <v>45643</v>
      </c>
      <c r="B258" t="s">
        <v>1125</v>
      </c>
      <c r="C258" t="s">
        <v>1065</v>
      </c>
      <c r="D258" t="s">
        <v>2756</v>
      </c>
      <c r="E258" t="s">
        <v>1725</v>
      </c>
      <c r="F258" t="s">
        <v>1095</v>
      </c>
      <c r="G258" t="s">
        <v>828</v>
      </c>
      <c r="H258">
        <v>20</v>
      </c>
      <c r="I258" t="b">
        <f>AND(COUNTIF(CO!A:A,A258)&gt;0,COUNTIF('NO2'!A:A,A258)&gt;0,COUNTIF('PM10'!A:A,A258)&gt;0,COUNTIF('PM2.5'!A:A,A258)&gt;0,COUNTIF('SO2'!A:A,A258)&gt;0,COUNTIF(Kendaraan!A:A,A258)&gt;0)</f>
        <v>1</v>
      </c>
    </row>
    <row r="259" spans="1:9" x14ac:dyDescent="0.45">
      <c r="A259" s="4">
        <v>45644</v>
      </c>
      <c r="B259" t="s">
        <v>2757</v>
      </c>
      <c r="C259" t="s">
        <v>1084</v>
      </c>
      <c r="D259" t="s">
        <v>1065</v>
      </c>
      <c r="E259" t="s">
        <v>2736</v>
      </c>
      <c r="F259" t="s">
        <v>1091</v>
      </c>
      <c r="G259" t="s">
        <v>1119</v>
      </c>
      <c r="H259">
        <v>22</v>
      </c>
      <c r="I259" t="b">
        <f>AND(COUNTIF(CO!A:A,A259)&gt;0,COUNTIF('NO2'!A:A,A259)&gt;0,COUNTIF('PM10'!A:A,A259)&gt;0,COUNTIF('PM2.5'!A:A,A259)&gt;0,COUNTIF('SO2'!A:A,A259)&gt;0,COUNTIF(Kendaraan!A:A,A259)&gt;0)</f>
        <v>1</v>
      </c>
    </row>
    <row r="260" spans="1:9" x14ac:dyDescent="0.45">
      <c r="A260" s="4">
        <v>45645</v>
      </c>
      <c r="B260" t="s">
        <v>1090</v>
      </c>
      <c r="C260" t="s">
        <v>1070</v>
      </c>
      <c r="D260" t="s">
        <v>1148</v>
      </c>
      <c r="E260" t="s">
        <v>2758</v>
      </c>
      <c r="F260" t="s">
        <v>1962</v>
      </c>
      <c r="G260" t="s">
        <v>135</v>
      </c>
      <c r="H260">
        <v>24</v>
      </c>
      <c r="I260" t="b">
        <f>AND(COUNTIF(CO!A:A,A260)&gt;0,COUNTIF('NO2'!A:A,A260)&gt;0,COUNTIF('PM10'!A:A,A260)&gt;0,COUNTIF('PM2.5'!A:A,A260)&gt;0,COUNTIF('SO2'!A:A,A260)&gt;0,COUNTIF(Kendaraan!A:A,A260)&gt;0)</f>
        <v>1</v>
      </c>
    </row>
    <row r="261" spans="1:9" x14ac:dyDescent="0.45">
      <c r="A261" s="4">
        <v>45646</v>
      </c>
      <c r="B261" t="s">
        <v>1963</v>
      </c>
      <c r="C261" t="s">
        <v>1115</v>
      </c>
      <c r="D261" t="s">
        <v>1135</v>
      </c>
      <c r="E261" t="s">
        <v>1097</v>
      </c>
      <c r="F261" t="s">
        <v>1111</v>
      </c>
      <c r="G261" t="s">
        <v>94</v>
      </c>
      <c r="H261">
        <v>24</v>
      </c>
      <c r="I261" t="b">
        <f>AND(COUNTIF(CO!A:A,A261)&gt;0,COUNTIF('NO2'!A:A,A261)&gt;0,COUNTIF('PM10'!A:A,A261)&gt;0,COUNTIF('PM2.5'!A:A,A261)&gt;0,COUNTIF('SO2'!A:A,A261)&gt;0,COUNTIF(Kendaraan!A:A,A261)&gt;0)</f>
        <v>1</v>
      </c>
    </row>
    <row r="262" spans="1:9" x14ac:dyDescent="0.45">
      <c r="A262" s="4">
        <v>45647</v>
      </c>
      <c r="B262" t="s">
        <v>1180</v>
      </c>
      <c r="C262" t="s">
        <v>1131</v>
      </c>
      <c r="D262" t="s">
        <v>1115</v>
      </c>
      <c r="E262" t="s">
        <v>1578</v>
      </c>
      <c r="F262" t="s">
        <v>2759</v>
      </c>
      <c r="G262" t="s">
        <v>211</v>
      </c>
      <c r="H262">
        <v>24</v>
      </c>
      <c r="I262" t="b">
        <f>AND(COUNTIF(CO!A:A,A262)&gt;0,COUNTIF('NO2'!A:A,A262)&gt;0,COUNTIF('PM10'!A:A,A262)&gt;0,COUNTIF('PM2.5'!A:A,A262)&gt;0,COUNTIF('SO2'!A:A,A262)&gt;0,COUNTIF(Kendaraan!A:A,A262)&gt;0)</f>
        <v>1</v>
      </c>
    </row>
    <row r="263" spans="1:9" x14ac:dyDescent="0.45">
      <c r="A263" s="4">
        <v>45648</v>
      </c>
      <c r="B263" t="s">
        <v>1578</v>
      </c>
      <c r="C263" t="s">
        <v>2760</v>
      </c>
      <c r="D263" t="s">
        <v>1118</v>
      </c>
      <c r="E263" t="s">
        <v>1128</v>
      </c>
      <c r="F263" t="s">
        <v>1099</v>
      </c>
      <c r="G263" t="s">
        <v>274</v>
      </c>
      <c r="H263">
        <v>24</v>
      </c>
      <c r="I263" t="b">
        <f>AND(COUNTIF(CO!A:A,A263)&gt;0,COUNTIF('NO2'!A:A,A263)&gt;0,COUNTIF('PM10'!A:A,A263)&gt;0,COUNTIF('PM2.5'!A:A,A263)&gt;0,COUNTIF('SO2'!A:A,A263)&gt;0,COUNTIF(Kendaraan!A:A,A263)&gt;0)</f>
        <v>1</v>
      </c>
    </row>
    <row r="264" spans="1:9" x14ac:dyDescent="0.45">
      <c r="A264" s="4">
        <v>45649</v>
      </c>
      <c r="B264" t="s">
        <v>1183</v>
      </c>
      <c r="C264" t="s">
        <v>1105</v>
      </c>
      <c r="D264" t="s">
        <v>1102</v>
      </c>
      <c r="E264" t="s">
        <v>1584</v>
      </c>
      <c r="F264" t="s">
        <v>1122</v>
      </c>
      <c r="G264" t="s">
        <v>226</v>
      </c>
      <c r="H264">
        <v>24</v>
      </c>
      <c r="I264" t="b">
        <f>AND(COUNTIF(CO!A:A,A264)&gt;0,COUNTIF('NO2'!A:A,A264)&gt;0,COUNTIF('PM10'!A:A,A264)&gt;0,COUNTIF('PM2.5'!A:A,A264)&gt;0,COUNTIF('SO2'!A:A,A264)&gt;0,COUNTIF(Kendaraan!A:A,A264)&gt;0)</f>
        <v>1</v>
      </c>
    </row>
    <row r="265" spans="1:9" x14ac:dyDescent="0.45">
      <c r="A265" s="4">
        <v>45650</v>
      </c>
      <c r="B265" t="s">
        <v>2761</v>
      </c>
      <c r="C265" t="s">
        <v>1164</v>
      </c>
      <c r="D265" t="s">
        <v>1069</v>
      </c>
      <c r="E265" t="s">
        <v>1091</v>
      </c>
      <c r="F265" t="s">
        <v>1128</v>
      </c>
      <c r="G265" t="s">
        <v>878</v>
      </c>
      <c r="H265">
        <v>24</v>
      </c>
      <c r="I265" t="b">
        <f>AND(COUNTIF(CO!A:A,A265)&gt;0,COUNTIF('NO2'!A:A,A265)&gt;0,COUNTIF('PM10'!A:A,A265)&gt;0,COUNTIF('PM2.5'!A:A,A265)&gt;0,COUNTIF('SO2'!A:A,A265)&gt;0,COUNTIF(Kendaraan!A:A,A265)&gt;0)</f>
        <v>1</v>
      </c>
    </row>
    <row r="266" spans="1:9" x14ac:dyDescent="0.45">
      <c r="A266" s="4">
        <v>45651</v>
      </c>
      <c r="B266" t="s">
        <v>2758</v>
      </c>
      <c r="C266" t="s">
        <v>1128</v>
      </c>
      <c r="D266" t="s">
        <v>1135</v>
      </c>
      <c r="E266" t="s">
        <v>2406</v>
      </c>
      <c r="F266" t="s">
        <v>1115</v>
      </c>
      <c r="G266" t="s">
        <v>280</v>
      </c>
      <c r="H266">
        <v>19</v>
      </c>
      <c r="I266" t="b">
        <f>AND(COUNTIF(CO!A:A,A266)&gt;0,COUNTIF('NO2'!A:A,A266)&gt;0,COUNTIF('PM10'!A:A,A266)&gt;0,COUNTIF('PM2.5'!A:A,A266)&gt;0,COUNTIF('SO2'!A:A,A266)&gt;0,COUNTIF(Kendaraan!A:A,A266)&gt;0)</f>
        <v>1</v>
      </c>
    </row>
    <row r="267" spans="1:9" x14ac:dyDescent="0.45">
      <c r="A267" s="4">
        <v>45657</v>
      </c>
      <c r="B267" t="s">
        <v>922</v>
      </c>
      <c r="C267" t="s">
        <v>1645</v>
      </c>
      <c r="D267" t="s">
        <v>2762</v>
      </c>
      <c r="E267" t="s">
        <v>1387</v>
      </c>
      <c r="F267" t="s">
        <v>2058</v>
      </c>
      <c r="G267" t="s">
        <v>290</v>
      </c>
      <c r="H267">
        <v>4</v>
      </c>
      <c r="I267" t="b">
        <f>AND(COUNTIF(CO!A:A,A267)&gt;0,COUNTIF('NO2'!A:A,A267)&gt;0,COUNTIF('PM10'!A:A,A267)&gt;0,COUNTIF('PM2.5'!A:A,A267)&gt;0,COUNTIF('SO2'!A:A,A267)&gt;0,COUNTIF(Kendaraan!A:A,A267)&gt;0)</f>
        <v>1</v>
      </c>
    </row>
    <row r="268" spans="1:9" x14ac:dyDescent="0.45">
      <c r="A268" s="4">
        <v>45658</v>
      </c>
      <c r="B268" t="s">
        <v>2606</v>
      </c>
      <c r="C268" t="s">
        <v>920</v>
      </c>
      <c r="D268" t="s">
        <v>1190</v>
      </c>
      <c r="E268" t="s">
        <v>2757</v>
      </c>
      <c r="F268" t="s">
        <v>2729</v>
      </c>
      <c r="G268" t="s">
        <v>2763</v>
      </c>
      <c r="H268">
        <v>24</v>
      </c>
      <c r="I268" t="b">
        <f>AND(COUNTIF(CO!A:A,A268)&gt;0,COUNTIF('NO2'!A:A,A268)&gt;0,COUNTIF('PM10'!A:A,A268)&gt;0,COUNTIF('PM2.5'!A:A,A268)&gt;0,COUNTIF('SO2'!A:A,A268)&gt;0,COUNTIF(Kendaraan!A:A,A268)&gt;0)</f>
        <v>1</v>
      </c>
    </row>
    <row r="269" spans="1:9" x14ac:dyDescent="0.45">
      <c r="A269" s="4">
        <v>45659</v>
      </c>
      <c r="B269" t="s">
        <v>2607</v>
      </c>
      <c r="C269" t="s">
        <v>1847</v>
      </c>
      <c r="D269" t="s">
        <v>1761</v>
      </c>
      <c r="E269" t="s">
        <v>2601</v>
      </c>
      <c r="F269" t="s">
        <v>2764</v>
      </c>
      <c r="G269" t="s">
        <v>226</v>
      </c>
      <c r="H269">
        <v>24</v>
      </c>
      <c r="I269" t="b">
        <f>AND(COUNTIF(CO!A:A,A269)&gt;0,COUNTIF('NO2'!A:A,A269)&gt;0,COUNTIF('PM10'!A:A,A269)&gt;0,COUNTIF('PM2.5'!A:A,A269)&gt;0,COUNTIF('SO2'!A:A,A269)&gt;0,COUNTIF(Kendaraan!A:A,A269)&gt;0)</f>
        <v>1</v>
      </c>
    </row>
    <row r="270" spans="1:9" x14ac:dyDescent="0.45">
      <c r="A270" s="4">
        <v>45660</v>
      </c>
      <c r="B270" t="s">
        <v>2606</v>
      </c>
      <c r="C270" t="s">
        <v>2740</v>
      </c>
      <c r="D270" t="s">
        <v>1083</v>
      </c>
      <c r="E270" t="s">
        <v>2764</v>
      </c>
      <c r="F270" t="s">
        <v>2765</v>
      </c>
      <c r="G270" t="s">
        <v>226</v>
      </c>
      <c r="H270">
        <v>24</v>
      </c>
      <c r="I270" t="b">
        <f>AND(COUNTIF(CO!A:A,A270)&gt;0,COUNTIF('NO2'!A:A,A270)&gt;0,COUNTIF('PM10'!A:A,A270)&gt;0,COUNTIF('PM2.5'!A:A,A270)&gt;0,COUNTIF('SO2'!A:A,A270)&gt;0,COUNTIF(Kendaraan!A:A,A270)&gt;0)</f>
        <v>1</v>
      </c>
    </row>
    <row r="271" spans="1:9" x14ac:dyDescent="0.45">
      <c r="A271" s="4">
        <v>45661</v>
      </c>
      <c r="B271" t="s">
        <v>2731</v>
      </c>
      <c r="C271" t="s">
        <v>1759</v>
      </c>
      <c r="D271" t="s">
        <v>2725</v>
      </c>
      <c r="E271" t="s">
        <v>2766</v>
      </c>
      <c r="F271" t="s">
        <v>2724</v>
      </c>
      <c r="G271" t="s">
        <v>91</v>
      </c>
      <c r="H271">
        <v>24</v>
      </c>
      <c r="I271" t="b">
        <f>AND(COUNTIF(CO!A:A,A271)&gt;0,COUNTIF('NO2'!A:A,A271)&gt;0,COUNTIF('PM10'!A:A,A271)&gt;0,COUNTIF('PM2.5'!A:A,A271)&gt;0,COUNTIF('SO2'!A:A,A271)&gt;0,COUNTIF(Kendaraan!A:A,A271)&gt;0)</f>
        <v>1</v>
      </c>
    </row>
    <row r="272" spans="1:9" x14ac:dyDescent="0.45">
      <c r="A272" s="4">
        <v>45662</v>
      </c>
      <c r="B272" t="s">
        <v>1340</v>
      </c>
      <c r="C272" t="s">
        <v>2724</v>
      </c>
      <c r="D272" t="s">
        <v>1844</v>
      </c>
      <c r="E272" t="s">
        <v>1579</v>
      </c>
      <c r="F272" t="s">
        <v>2728</v>
      </c>
      <c r="G272" t="s">
        <v>2677</v>
      </c>
      <c r="H272">
        <v>24</v>
      </c>
      <c r="I272" t="b">
        <f>AND(COUNTIF(CO!A:A,A272)&gt;0,COUNTIF('NO2'!A:A,A272)&gt;0,COUNTIF('PM10'!A:A,A272)&gt;0,COUNTIF('PM2.5'!A:A,A272)&gt;0,COUNTIF('SO2'!A:A,A272)&gt;0,COUNTIF(Kendaraan!A:A,A272)&gt;0)</f>
        <v>1</v>
      </c>
    </row>
    <row r="273" spans="1:9" x14ac:dyDescent="0.45">
      <c r="A273" s="4">
        <v>45663</v>
      </c>
      <c r="B273" t="s">
        <v>1329</v>
      </c>
      <c r="C273" t="s">
        <v>1577</v>
      </c>
      <c r="D273">
        <v>14</v>
      </c>
      <c r="E273" t="s">
        <v>2392</v>
      </c>
      <c r="F273" t="s">
        <v>2720</v>
      </c>
      <c r="G273" t="s">
        <v>129</v>
      </c>
      <c r="H273">
        <v>24</v>
      </c>
      <c r="I273" t="b">
        <f>AND(COUNTIF(CO!A:A,A273)&gt;0,COUNTIF('NO2'!A:A,A273)&gt;0,COUNTIF('PM10'!A:A,A273)&gt;0,COUNTIF('PM2.5'!A:A,A273)&gt;0,COUNTIF('SO2'!A:A,A273)&gt;0,COUNTIF(Kendaraan!A:A,A273)&gt;0)</f>
        <v>1</v>
      </c>
    </row>
    <row r="274" spans="1:9" x14ac:dyDescent="0.45">
      <c r="A274" s="4">
        <v>45664</v>
      </c>
      <c r="B274" t="s">
        <v>2767</v>
      </c>
      <c r="C274" t="s">
        <v>1863</v>
      </c>
      <c r="D274" t="s">
        <v>2727</v>
      </c>
      <c r="E274" t="s">
        <v>1845</v>
      </c>
      <c r="F274" t="s">
        <v>2768</v>
      </c>
      <c r="G274" t="s">
        <v>2410</v>
      </c>
      <c r="H274">
        <v>24</v>
      </c>
      <c r="I274" t="b">
        <f>AND(COUNTIF(CO!A:A,A274)&gt;0,COUNTIF('NO2'!A:A,A274)&gt;0,COUNTIF('PM10'!A:A,A274)&gt;0,COUNTIF('PM2.5'!A:A,A274)&gt;0,COUNTIF('SO2'!A:A,A274)&gt;0,COUNTIF(Kendaraan!A:A,A274)&gt;0)</f>
        <v>1</v>
      </c>
    </row>
    <row r="275" spans="1:9" x14ac:dyDescent="0.45">
      <c r="A275" s="4">
        <v>45665</v>
      </c>
      <c r="B275" t="s">
        <v>1371</v>
      </c>
      <c r="C275" t="s">
        <v>1950</v>
      </c>
      <c r="D275" t="s">
        <v>1732</v>
      </c>
      <c r="E275" t="s">
        <v>1731</v>
      </c>
      <c r="F275" t="s">
        <v>1804</v>
      </c>
      <c r="G275" t="s">
        <v>42</v>
      </c>
      <c r="H275">
        <v>24</v>
      </c>
      <c r="I275" t="b">
        <f>AND(COUNTIF(CO!A:A,A275)&gt;0,COUNTIF('NO2'!A:A,A275)&gt;0,COUNTIF('PM10'!A:A,A275)&gt;0,COUNTIF('PM2.5'!A:A,A275)&gt;0,COUNTIF('SO2'!A:A,A275)&gt;0,COUNTIF(Kendaraan!A:A,A275)&gt;0)</f>
        <v>1</v>
      </c>
    </row>
    <row r="276" spans="1:9" x14ac:dyDescent="0.45">
      <c r="A276" s="4">
        <v>45666</v>
      </c>
      <c r="B276" t="s">
        <v>1639</v>
      </c>
      <c r="C276" t="s">
        <v>1730</v>
      </c>
      <c r="D276" t="s">
        <v>1732</v>
      </c>
      <c r="E276" t="s">
        <v>2769</v>
      </c>
      <c r="F276" t="s">
        <v>1956</v>
      </c>
      <c r="G276" t="s">
        <v>1367</v>
      </c>
      <c r="H276">
        <v>24</v>
      </c>
      <c r="I276" t="b">
        <f>AND(COUNTIF(CO!A:A,A276)&gt;0,COUNTIF('NO2'!A:A,A276)&gt;0,COUNTIF('PM10'!A:A,A276)&gt;0,COUNTIF('PM2.5'!A:A,A276)&gt;0,COUNTIF('SO2'!A:A,A276)&gt;0,COUNTIF(Kendaraan!A:A,A276)&gt;0)</f>
        <v>1</v>
      </c>
    </row>
    <row r="277" spans="1:9" x14ac:dyDescent="0.45">
      <c r="A277" s="4">
        <v>45667</v>
      </c>
      <c r="B277" t="s">
        <v>1357</v>
      </c>
      <c r="C277" t="s">
        <v>2720</v>
      </c>
      <c r="D277" t="s">
        <v>1330</v>
      </c>
      <c r="E277" t="s">
        <v>1355</v>
      </c>
      <c r="F277" t="s">
        <v>1760</v>
      </c>
      <c r="G277" t="s">
        <v>1057</v>
      </c>
      <c r="H277">
        <v>24</v>
      </c>
      <c r="I277" t="b">
        <f>AND(COUNTIF(CO!A:A,A277)&gt;0,COUNTIF('NO2'!A:A,A277)&gt;0,COUNTIF('PM10'!A:A,A277)&gt;0,COUNTIF('PM2.5'!A:A,A277)&gt;0,COUNTIF('SO2'!A:A,A277)&gt;0,COUNTIF(Kendaraan!A:A,A277)&gt;0)</f>
        <v>1</v>
      </c>
    </row>
    <row r="278" spans="1:9" x14ac:dyDescent="0.45">
      <c r="A278" s="4">
        <v>45668</v>
      </c>
      <c r="B278" t="s">
        <v>1957</v>
      </c>
      <c r="C278" t="s">
        <v>1950</v>
      </c>
      <c r="D278" t="s">
        <v>1731</v>
      </c>
      <c r="E278" t="s">
        <v>1371</v>
      </c>
      <c r="F278" t="s">
        <v>1732</v>
      </c>
      <c r="G278" t="s">
        <v>2063</v>
      </c>
      <c r="H278">
        <v>24</v>
      </c>
      <c r="I278" t="b">
        <f>AND(COUNTIF(CO!A:A,A278)&gt;0,COUNTIF('NO2'!A:A,A278)&gt;0,COUNTIF('PM10'!A:A,A278)&gt;0,COUNTIF('PM2.5'!A:A,A278)&gt;0,COUNTIF('SO2'!A:A,A278)&gt;0,COUNTIF(Kendaraan!A:A,A278)&gt;0)</f>
        <v>1</v>
      </c>
    </row>
    <row r="279" spans="1:9" x14ac:dyDescent="0.45">
      <c r="A279" s="4">
        <v>45669</v>
      </c>
      <c r="B279" t="s">
        <v>1734</v>
      </c>
      <c r="C279" t="s">
        <v>2770</v>
      </c>
      <c r="D279" t="s">
        <v>1941</v>
      </c>
      <c r="E279" t="s">
        <v>1334</v>
      </c>
      <c r="F279" t="s">
        <v>2733</v>
      </c>
      <c r="G279" t="s">
        <v>2771</v>
      </c>
      <c r="H279">
        <v>24</v>
      </c>
      <c r="I279" t="b">
        <f>AND(COUNTIF(CO!A:A,A279)&gt;0,COUNTIF('NO2'!A:A,A279)&gt;0,COUNTIF('PM10'!A:A,A279)&gt;0,COUNTIF('PM2.5'!A:A,A279)&gt;0,COUNTIF('SO2'!A:A,A279)&gt;0,COUNTIF(Kendaraan!A:A,A279)&gt;0)</f>
        <v>1</v>
      </c>
    </row>
    <row r="280" spans="1:9" x14ac:dyDescent="0.45">
      <c r="A280" s="4">
        <v>45670</v>
      </c>
      <c r="B280" t="s">
        <v>1950</v>
      </c>
      <c r="C280" t="s">
        <v>1193</v>
      </c>
      <c r="D280" t="s">
        <v>1977</v>
      </c>
      <c r="E280" t="s">
        <v>1964</v>
      </c>
      <c r="F280" t="s">
        <v>2605</v>
      </c>
      <c r="G280" t="s">
        <v>2089</v>
      </c>
      <c r="H280">
        <v>23</v>
      </c>
      <c r="I280" t="b">
        <f>AND(COUNTIF(CO!A:A,A280)&gt;0,COUNTIF('NO2'!A:A,A280)&gt;0,COUNTIF('PM10'!A:A,A280)&gt;0,COUNTIF('PM2.5'!A:A,A280)&gt;0,COUNTIF('SO2'!A:A,A280)&gt;0,COUNTIF(Kendaraan!A:A,A280)&gt;0)</f>
        <v>1</v>
      </c>
    </row>
    <row r="281" spans="1:9" x14ac:dyDescent="0.45">
      <c r="A281" s="4">
        <v>45671</v>
      </c>
      <c r="B281" t="s">
        <v>2730</v>
      </c>
      <c r="C281" t="s">
        <v>1577</v>
      </c>
      <c r="D281" t="s">
        <v>1956</v>
      </c>
      <c r="E281" t="s">
        <v>1732</v>
      </c>
      <c r="F281" t="s">
        <v>1316</v>
      </c>
      <c r="G281" t="s">
        <v>706</v>
      </c>
      <c r="H281">
        <v>18</v>
      </c>
      <c r="I281" t="b">
        <f>AND(COUNTIF(CO!A:A,A281)&gt;0,COUNTIF('NO2'!A:A,A281)&gt;0,COUNTIF('PM10'!A:A,A281)&gt;0,COUNTIF('PM2.5'!A:A,A281)&gt;0,COUNTIF('SO2'!A:A,A281)&gt;0,COUNTIF(Kendaraan!A:A,A281)&gt;0)</f>
        <v>1</v>
      </c>
    </row>
    <row r="282" spans="1:9" x14ac:dyDescent="0.45">
      <c r="A282" s="4">
        <v>45672</v>
      </c>
      <c r="B282" t="s">
        <v>1845</v>
      </c>
      <c r="C282" t="s">
        <v>1643</v>
      </c>
      <c r="D282" t="s">
        <v>2735</v>
      </c>
      <c r="E282" t="s">
        <v>1863</v>
      </c>
      <c r="F282" t="s">
        <v>2735</v>
      </c>
      <c r="G282" t="s">
        <v>71</v>
      </c>
      <c r="H282">
        <v>24</v>
      </c>
      <c r="I282" t="b">
        <f>AND(COUNTIF(CO!A:A,A282)&gt;0,COUNTIF('NO2'!A:A,A282)&gt;0,COUNTIF('PM10'!A:A,A282)&gt;0,COUNTIF('PM2.5'!A:A,A282)&gt;0,COUNTIF('SO2'!A:A,A282)&gt;0,COUNTIF(Kendaraan!A:A,A282)&gt;0)</f>
        <v>1</v>
      </c>
    </row>
    <row r="283" spans="1:9" x14ac:dyDescent="0.45">
      <c r="A283" s="4">
        <v>45673</v>
      </c>
      <c r="B283" t="s">
        <v>1657</v>
      </c>
      <c r="C283" t="s">
        <v>2735</v>
      </c>
      <c r="D283" t="s">
        <v>2772</v>
      </c>
      <c r="E283" t="s">
        <v>1732</v>
      </c>
      <c r="F283" t="s">
        <v>2773</v>
      </c>
      <c r="G283" t="s">
        <v>263</v>
      </c>
      <c r="H283">
        <v>24</v>
      </c>
      <c r="I283" t="b">
        <f>AND(COUNTIF(CO!A:A,A283)&gt;0,COUNTIF('NO2'!A:A,A283)&gt;0,COUNTIF('PM10'!A:A,A283)&gt;0,COUNTIF('PM2.5'!A:A,A283)&gt;0,COUNTIF('SO2'!A:A,A283)&gt;0,COUNTIF(Kendaraan!A:A,A283)&gt;0)</f>
        <v>1</v>
      </c>
    </row>
    <row r="284" spans="1:9" x14ac:dyDescent="0.45">
      <c r="A284" s="4">
        <v>45674</v>
      </c>
      <c r="B284" t="s">
        <v>1373</v>
      </c>
      <c r="C284" t="s">
        <v>1842</v>
      </c>
      <c r="D284" t="s">
        <v>1372</v>
      </c>
      <c r="E284" t="s">
        <v>2774</v>
      </c>
      <c r="F284" t="s">
        <v>1730</v>
      </c>
      <c r="G284" t="s">
        <v>2775</v>
      </c>
      <c r="H284">
        <v>24</v>
      </c>
      <c r="I284" t="b">
        <f>AND(COUNTIF(CO!A:A,A284)&gt;0,COUNTIF('NO2'!A:A,A284)&gt;0,COUNTIF('PM10'!A:A,A284)&gt;0,COUNTIF('PM2.5'!A:A,A284)&gt;0,COUNTIF('SO2'!A:A,A284)&gt;0,COUNTIF(Kendaraan!A:A,A284)&gt;0)</f>
        <v>1</v>
      </c>
    </row>
    <row r="285" spans="1:9" x14ac:dyDescent="0.45">
      <c r="A285" s="4">
        <v>45675</v>
      </c>
      <c r="B285" t="s">
        <v>2768</v>
      </c>
      <c r="C285" t="s">
        <v>2735</v>
      </c>
      <c r="D285" t="s">
        <v>1429</v>
      </c>
      <c r="E285" t="s">
        <v>1964</v>
      </c>
      <c r="F285" t="s">
        <v>2776</v>
      </c>
      <c r="G285" t="s">
        <v>144</v>
      </c>
      <c r="H285">
        <v>24</v>
      </c>
      <c r="I285" t="b">
        <f>AND(COUNTIF(CO!A:A,A285)&gt;0,COUNTIF('NO2'!A:A,A285)&gt;0,COUNTIF('PM10'!A:A,A285)&gt;0,COUNTIF('PM2.5'!A:A,A285)&gt;0,COUNTIF('SO2'!A:A,A285)&gt;0,COUNTIF(Kendaraan!A:A,A285)&gt;0)</f>
        <v>1</v>
      </c>
    </row>
    <row r="286" spans="1:9" x14ac:dyDescent="0.45">
      <c r="A286" s="4">
        <v>45676</v>
      </c>
      <c r="B286" t="s">
        <v>1660</v>
      </c>
      <c r="C286" t="s">
        <v>1643</v>
      </c>
      <c r="D286" t="s">
        <v>2777</v>
      </c>
      <c r="E286" t="s">
        <v>1655</v>
      </c>
      <c r="F286" t="s">
        <v>2735</v>
      </c>
      <c r="G286" t="s">
        <v>78</v>
      </c>
      <c r="H286">
        <v>24</v>
      </c>
      <c r="I286" t="b">
        <f>AND(COUNTIF(CO!A:A,A286)&gt;0,COUNTIF('NO2'!A:A,A286)&gt;0,COUNTIF('PM10'!A:A,A286)&gt;0,COUNTIF('PM2.5'!A:A,A286)&gt;0,COUNTIF('SO2'!A:A,A286)&gt;0,COUNTIF(Kendaraan!A:A,A286)&gt;0)</f>
        <v>1</v>
      </c>
    </row>
    <row r="287" spans="1:9" x14ac:dyDescent="0.45">
      <c r="A287" s="4">
        <v>45677</v>
      </c>
      <c r="B287" t="s">
        <v>1643</v>
      </c>
      <c r="C287" t="s">
        <v>2607</v>
      </c>
      <c r="D287">
        <v>15</v>
      </c>
      <c r="E287" t="s">
        <v>2778</v>
      </c>
      <c r="F287" t="s">
        <v>1193</v>
      </c>
      <c r="G287" t="s">
        <v>155</v>
      </c>
      <c r="H287">
        <v>24</v>
      </c>
      <c r="I287" t="b">
        <f>AND(COUNTIF(CO!A:A,A287)&gt;0,COUNTIF('NO2'!A:A,A287)&gt;0,COUNTIF('PM10'!A:A,A287)&gt;0,COUNTIF('PM2.5'!A:A,A287)&gt;0,COUNTIF('SO2'!A:A,A287)&gt;0,COUNTIF(Kendaraan!A:A,A287)&gt;0)</f>
        <v>1</v>
      </c>
    </row>
    <row r="288" spans="1:9" x14ac:dyDescent="0.45">
      <c r="A288" s="4">
        <v>45678</v>
      </c>
      <c r="B288" t="s">
        <v>2607</v>
      </c>
      <c r="C288" t="s">
        <v>2779</v>
      </c>
      <c r="D288" t="s">
        <v>2780</v>
      </c>
      <c r="E288" t="s">
        <v>2606</v>
      </c>
      <c r="F288" t="s">
        <v>1173</v>
      </c>
      <c r="G288" t="s">
        <v>242</v>
      </c>
      <c r="H288">
        <v>24</v>
      </c>
      <c r="I288" t="b">
        <f>AND(COUNTIF(CO!A:A,A288)&gt;0,COUNTIF('NO2'!A:A,A288)&gt;0,COUNTIF('PM10'!A:A,A288)&gt;0,COUNTIF('PM2.5'!A:A,A288)&gt;0,COUNTIF('SO2'!A:A,A288)&gt;0,COUNTIF(Kendaraan!A:A,A288)&gt;0)</f>
        <v>1</v>
      </c>
    </row>
    <row r="289" spans="1:9" x14ac:dyDescent="0.45">
      <c r="A289" s="4">
        <v>45679</v>
      </c>
      <c r="B289" t="s">
        <v>1495</v>
      </c>
      <c r="C289" t="s">
        <v>1075</v>
      </c>
      <c r="D289" t="s">
        <v>2745</v>
      </c>
      <c r="E289" t="s">
        <v>2605</v>
      </c>
      <c r="F289" t="s">
        <v>352</v>
      </c>
      <c r="G289" t="s">
        <v>2781</v>
      </c>
      <c r="H289">
        <v>24</v>
      </c>
      <c r="I289" t="b">
        <f>AND(COUNTIF(CO!A:A,A289)&gt;0,COUNTIF('NO2'!A:A,A289)&gt;0,COUNTIF('PM10'!A:A,A289)&gt;0,COUNTIF('PM2.5'!A:A,A289)&gt;0,COUNTIF('SO2'!A:A,A289)&gt;0,COUNTIF(Kendaraan!A:A,A289)&gt;0)</f>
        <v>1</v>
      </c>
    </row>
    <row r="290" spans="1:9" x14ac:dyDescent="0.45">
      <c r="A290" s="4">
        <v>45680</v>
      </c>
      <c r="B290" t="s">
        <v>1577</v>
      </c>
      <c r="C290" t="s">
        <v>1964</v>
      </c>
      <c r="D290" t="s">
        <v>1842</v>
      </c>
      <c r="E290" t="s">
        <v>2727</v>
      </c>
      <c r="F290" t="s">
        <v>1660</v>
      </c>
      <c r="G290" t="s">
        <v>173</v>
      </c>
      <c r="H290">
        <v>24</v>
      </c>
      <c r="I290" t="b">
        <f>AND(COUNTIF(CO!A:A,A290)&gt;0,COUNTIF('NO2'!A:A,A290)&gt;0,COUNTIF('PM10'!A:A,A290)&gt;0,COUNTIF('PM2.5'!A:A,A290)&gt;0,COUNTIF('SO2'!A:A,A290)&gt;0,COUNTIF(Kendaraan!A:A,A290)&gt;0)</f>
        <v>1</v>
      </c>
    </row>
    <row r="291" spans="1:9" x14ac:dyDescent="0.45">
      <c r="A291" s="4">
        <v>45681</v>
      </c>
      <c r="B291" t="s">
        <v>1941</v>
      </c>
      <c r="C291" t="s">
        <v>2782</v>
      </c>
      <c r="D291" t="s">
        <v>2767</v>
      </c>
      <c r="E291" t="s">
        <v>2783</v>
      </c>
      <c r="F291" t="s">
        <v>1804</v>
      </c>
      <c r="G291" t="s">
        <v>287</v>
      </c>
      <c r="H291">
        <v>24</v>
      </c>
      <c r="I291" t="b">
        <f>AND(COUNTIF(CO!A:A,A291)&gt;0,COUNTIF('NO2'!A:A,A291)&gt;0,COUNTIF('PM10'!A:A,A291)&gt;0,COUNTIF('PM2.5'!A:A,A291)&gt;0,COUNTIF('SO2'!A:A,A291)&gt;0,COUNTIF(Kendaraan!A:A,A291)&gt;0)</f>
        <v>1</v>
      </c>
    </row>
    <row r="292" spans="1:9" x14ac:dyDescent="0.45">
      <c r="A292" s="4">
        <v>45682</v>
      </c>
      <c r="B292" t="s">
        <v>1804</v>
      </c>
      <c r="C292" t="s">
        <v>2607</v>
      </c>
      <c r="D292" t="s">
        <v>1964</v>
      </c>
      <c r="E292" t="s">
        <v>1848</v>
      </c>
      <c r="F292" t="s">
        <v>1857</v>
      </c>
      <c r="G292" t="s">
        <v>288</v>
      </c>
      <c r="H292">
        <v>19</v>
      </c>
      <c r="I292" t="b">
        <f>AND(COUNTIF(CO!A:A,A292)&gt;0,COUNTIF('NO2'!A:A,A292)&gt;0,COUNTIF('PM10'!A:A,A292)&gt;0,COUNTIF('PM2.5'!A:A,A292)&gt;0,COUNTIF('SO2'!A:A,A292)&gt;0,COUNTIF(Kendaraan!A:A,A292)&gt;0)</f>
        <v>1</v>
      </c>
    </row>
    <row r="293" spans="1:9" x14ac:dyDescent="0.45">
      <c r="A293" s="4">
        <v>45683</v>
      </c>
      <c r="B293" t="s">
        <v>2784</v>
      </c>
      <c r="C293" t="s">
        <v>1371</v>
      </c>
      <c r="D293" t="s">
        <v>1373</v>
      </c>
      <c r="E293" t="s">
        <v>1370</v>
      </c>
      <c r="F293" t="s">
        <v>1375</v>
      </c>
      <c r="G293" t="s">
        <v>888</v>
      </c>
      <c r="H293">
        <v>24</v>
      </c>
      <c r="I293" t="b">
        <f>AND(COUNTIF(CO!A:A,A293)&gt;0,COUNTIF('NO2'!A:A,A293)&gt;0,COUNTIF('PM10'!A:A,A293)&gt;0,COUNTIF('PM2.5'!A:A,A293)&gt;0,COUNTIF('SO2'!A:A,A293)&gt;0,COUNTIF(Kendaraan!A:A,A293)&gt;0)</f>
        <v>1</v>
      </c>
    </row>
    <row r="294" spans="1:9" x14ac:dyDescent="0.45">
      <c r="A294" s="4">
        <v>45684</v>
      </c>
      <c r="B294" t="s">
        <v>1368</v>
      </c>
      <c r="C294" t="s">
        <v>1660</v>
      </c>
      <c r="D294" t="s">
        <v>2785</v>
      </c>
      <c r="E294" t="s">
        <v>2769</v>
      </c>
      <c r="F294" t="s">
        <v>2401</v>
      </c>
      <c r="G294" t="s">
        <v>286</v>
      </c>
      <c r="H294">
        <v>24</v>
      </c>
      <c r="I294" t="b">
        <f>AND(COUNTIF(CO!A:A,A294)&gt;0,COUNTIF('NO2'!A:A,A294)&gt;0,COUNTIF('PM10'!A:A,A294)&gt;0,COUNTIF('PM2.5'!A:A,A294)&gt;0,COUNTIF('SO2'!A:A,A294)&gt;0,COUNTIF(Kendaraan!A:A,A294)&gt;0)</f>
        <v>1</v>
      </c>
    </row>
    <row r="295" spans="1:9" x14ac:dyDescent="0.45">
      <c r="A295" s="4">
        <v>45685</v>
      </c>
      <c r="B295" t="s">
        <v>1964</v>
      </c>
      <c r="C295" t="s">
        <v>1759</v>
      </c>
      <c r="D295" t="s">
        <v>1643</v>
      </c>
      <c r="E295" t="s">
        <v>2776</v>
      </c>
      <c r="F295" t="s">
        <v>2786</v>
      </c>
      <c r="G295" t="s">
        <v>1497</v>
      </c>
      <c r="H295">
        <v>24</v>
      </c>
      <c r="I295" t="b">
        <f>AND(COUNTIF(CO!A:A,A295)&gt;0,COUNTIF('NO2'!A:A,A295)&gt;0,COUNTIF('PM10'!A:A,A295)&gt;0,COUNTIF('PM2.5'!A:A,A295)&gt;0,COUNTIF('SO2'!A:A,A295)&gt;0,COUNTIF(Kendaraan!A:A,A295)&gt;0)</f>
        <v>1</v>
      </c>
    </row>
    <row r="296" spans="1:9" x14ac:dyDescent="0.45">
      <c r="A296" s="4">
        <v>45686</v>
      </c>
      <c r="B296" t="s">
        <v>1842</v>
      </c>
      <c r="C296" t="s">
        <v>1078</v>
      </c>
      <c r="D296" t="s">
        <v>2787</v>
      </c>
      <c r="E296" t="s">
        <v>2788</v>
      </c>
      <c r="F296" t="s">
        <v>2724</v>
      </c>
      <c r="G296" t="s">
        <v>2789</v>
      </c>
      <c r="H296">
        <v>24</v>
      </c>
      <c r="I296" t="b">
        <f>AND(COUNTIF(CO!A:A,A296)&gt;0,COUNTIF('NO2'!A:A,A296)&gt;0,COUNTIF('PM10'!A:A,A296)&gt;0,COUNTIF('PM2.5'!A:A,A296)&gt;0,COUNTIF('SO2'!A:A,A296)&gt;0,COUNTIF(Kendaraan!A:A,A296)&gt;0)</f>
        <v>1</v>
      </c>
    </row>
    <row r="297" spans="1:9" x14ac:dyDescent="0.45">
      <c r="A297" s="4">
        <v>45687</v>
      </c>
      <c r="B297" t="s">
        <v>2729</v>
      </c>
      <c r="C297" t="s">
        <v>2779</v>
      </c>
      <c r="D297" t="s">
        <v>2790</v>
      </c>
      <c r="E297" t="s">
        <v>2740</v>
      </c>
      <c r="F297" t="s">
        <v>1120</v>
      </c>
      <c r="G297" t="s">
        <v>95</v>
      </c>
      <c r="H297">
        <v>20</v>
      </c>
      <c r="I297" t="b">
        <f>AND(COUNTIF(CO!A:A,A297)&gt;0,COUNTIF('NO2'!A:A,A297)&gt;0,COUNTIF('PM10'!A:A,A297)&gt;0,COUNTIF('PM2.5'!A:A,A297)&gt;0,COUNTIF('SO2'!A:A,A297)&gt;0,COUNTIF(Kendaraan!A:A,A297)&gt;0)</f>
        <v>1</v>
      </c>
    </row>
    <row r="298" spans="1:9" x14ac:dyDescent="0.45">
      <c r="A298" s="4">
        <v>45688</v>
      </c>
      <c r="B298" t="s">
        <v>2740</v>
      </c>
      <c r="C298" t="s">
        <v>930</v>
      </c>
      <c r="D298" t="s">
        <v>1136</v>
      </c>
      <c r="E298" t="s">
        <v>1173</v>
      </c>
      <c r="F298" t="s">
        <v>1587</v>
      </c>
      <c r="G298" t="s">
        <v>2791</v>
      </c>
      <c r="H298">
        <v>24</v>
      </c>
      <c r="I298" t="b">
        <f>AND(COUNTIF(CO!A:A,A298)&gt;0,COUNTIF('NO2'!A:A,A298)&gt;0,COUNTIF('PM10'!A:A,A298)&gt;0,COUNTIF('PM2.5'!A:A,A298)&gt;0,COUNTIF('SO2'!A:A,A298)&gt;0,COUNTIF(Kendaraan!A:A,A298)&gt;0)</f>
        <v>1</v>
      </c>
    </row>
    <row r="299" spans="1:9" x14ac:dyDescent="0.45">
      <c r="A299" s="4">
        <v>45689</v>
      </c>
      <c r="B299" t="s">
        <v>1150</v>
      </c>
      <c r="C299">
        <v>19</v>
      </c>
      <c r="D299">
        <v>19</v>
      </c>
      <c r="E299" t="s">
        <v>1452</v>
      </c>
      <c r="F299">
        <v>19</v>
      </c>
      <c r="G299" t="s">
        <v>260</v>
      </c>
      <c r="H299">
        <v>24</v>
      </c>
      <c r="I299" t="b">
        <f>AND(COUNTIF(CO!A:A,A299)&gt;0,COUNTIF('NO2'!A:A,A299)&gt;0,COUNTIF('PM10'!A:A,A299)&gt;0,COUNTIF('PM2.5'!A:A,A299)&gt;0,COUNTIF('SO2'!A:A,A299)&gt;0,COUNTIF(Kendaraan!A:A,A299)&gt;0)</f>
        <v>1</v>
      </c>
    </row>
    <row r="300" spans="1:9" x14ac:dyDescent="0.45">
      <c r="A300" s="4">
        <v>45691</v>
      </c>
      <c r="B300">
        <v>19</v>
      </c>
      <c r="C300" t="s">
        <v>2038</v>
      </c>
      <c r="D300" t="s">
        <v>2792</v>
      </c>
      <c r="E300" t="s">
        <v>2793</v>
      </c>
      <c r="F300" t="s">
        <v>421</v>
      </c>
      <c r="G300" s="1">
        <v>2082</v>
      </c>
      <c r="H300">
        <v>24</v>
      </c>
      <c r="I300" t="b">
        <f>AND(COUNTIF(CO!A:A,A300)&gt;0,COUNTIF('NO2'!A:A,A300)&gt;0,COUNTIF('PM10'!A:A,A300)&gt;0,COUNTIF('PM2.5'!A:A,A300)&gt;0,COUNTIF('SO2'!A:A,A300)&gt;0,COUNTIF(Kendaraan!A:A,A300)&gt;0)</f>
        <v>1</v>
      </c>
    </row>
    <row r="301" spans="1:9" x14ac:dyDescent="0.45">
      <c r="A301" s="4">
        <v>45692</v>
      </c>
      <c r="B301" t="s">
        <v>536</v>
      </c>
      <c r="C301" t="s">
        <v>1988</v>
      </c>
      <c r="D301" t="s">
        <v>2794</v>
      </c>
      <c r="E301" t="s">
        <v>2795</v>
      </c>
      <c r="F301" t="s">
        <v>397</v>
      </c>
      <c r="G301" s="1">
        <v>2665</v>
      </c>
      <c r="H301">
        <v>24</v>
      </c>
      <c r="I301" t="b">
        <f>AND(COUNTIF(CO!A:A,A301)&gt;0,COUNTIF('NO2'!A:A,A301)&gt;0,COUNTIF('PM10'!A:A,A301)&gt;0,COUNTIF('PM2.5'!A:A,A301)&gt;0,COUNTIF('SO2'!A:A,A301)&gt;0,COUNTIF(Kendaraan!A:A,A301)&gt;0)</f>
        <v>1</v>
      </c>
    </row>
    <row r="302" spans="1:9" x14ac:dyDescent="0.45">
      <c r="A302" s="4">
        <v>45693</v>
      </c>
      <c r="B302" t="s">
        <v>1520</v>
      </c>
      <c r="C302" t="s">
        <v>1524</v>
      </c>
      <c r="D302" t="s">
        <v>2796</v>
      </c>
      <c r="E302">
        <v>31</v>
      </c>
      <c r="F302" t="s">
        <v>2797</v>
      </c>
      <c r="G302" s="1">
        <v>1218</v>
      </c>
      <c r="H302">
        <v>24</v>
      </c>
      <c r="I302" t="b">
        <f>AND(COUNTIF(CO!A:A,A302)&gt;0,COUNTIF('NO2'!A:A,A302)&gt;0,COUNTIF('PM10'!A:A,A302)&gt;0,COUNTIF('PM2.5'!A:A,A302)&gt;0,COUNTIF('SO2'!A:A,A302)&gt;0,COUNTIF(Kendaraan!A:A,A302)&gt;0)</f>
        <v>1</v>
      </c>
    </row>
    <row r="303" spans="1:9" x14ac:dyDescent="0.45">
      <c r="A303" s="4">
        <v>45694</v>
      </c>
      <c r="B303" t="s">
        <v>2139</v>
      </c>
      <c r="C303" t="s">
        <v>2798</v>
      </c>
      <c r="D303" t="s">
        <v>2799</v>
      </c>
      <c r="E303" t="s">
        <v>2042</v>
      </c>
      <c r="F303" t="s">
        <v>2800</v>
      </c>
      <c r="G303" t="s">
        <v>1110</v>
      </c>
      <c r="H303">
        <v>24</v>
      </c>
      <c r="I303" t="b">
        <f>AND(COUNTIF(CO!A:A,A303)&gt;0,COUNTIF('NO2'!A:A,A303)&gt;0,COUNTIF('PM10'!A:A,A303)&gt;0,COUNTIF('PM2.5'!A:A,A303)&gt;0,COUNTIF('SO2'!A:A,A303)&gt;0,COUNTIF(Kendaraan!A:A,A303)&gt;0)</f>
        <v>1</v>
      </c>
    </row>
    <row r="304" spans="1:9" x14ac:dyDescent="0.45">
      <c r="A304" s="4">
        <v>45695</v>
      </c>
      <c r="B304" t="s">
        <v>2593</v>
      </c>
      <c r="C304" t="s">
        <v>2801</v>
      </c>
      <c r="D304" t="s">
        <v>2802</v>
      </c>
      <c r="E304" t="s">
        <v>2803</v>
      </c>
      <c r="F304" t="s">
        <v>2804</v>
      </c>
      <c r="G304" t="s">
        <v>2805</v>
      </c>
      <c r="H304">
        <v>24</v>
      </c>
      <c r="I304" t="b">
        <f>AND(COUNTIF(CO!A:A,A304)&gt;0,COUNTIF('NO2'!A:A,A304)&gt;0,COUNTIF('PM10'!A:A,A304)&gt;0,COUNTIF('PM2.5'!A:A,A304)&gt;0,COUNTIF('SO2'!A:A,A304)&gt;0,COUNTIF(Kendaraan!A:A,A304)&gt;0)</f>
        <v>1</v>
      </c>
    </row>
    <row r="305" spans="1:9" x14ac:dyDescent="0.45">
      <c r="A305" s="4">
        <v>45696</v>
      </c>
      <c r="B305">
        <v>33</v>
      </c>
      <c r="C305" t="s">
        <v>2806</v>
      </c>
      <c r="D305" t="s">
        <v>1897</v>
      </c>
      <c r="E305" t="s">
        <v>2807</v>
      </c>
      <c r="F305" t="s">
        <v>1524</v>
      </c>
      <c r="G305" t="s">
        <v>1549</v>
      </c>
      <c r="H305">
        <v>24</v>
      </c>
      <c r="I305" t="b">
        <f>AND(COUNTIF(CO!A:A,A305)&gt;0,COUNTIF('NO2'!A:A,A305)&gt;0,COUNTIF('PM10'!A:A,A305)&gt;0,COUNTIF('PM2.5'!A:A,A305)&gt;0,COUNTIF('SO2'!A:A,A305)&gt;0,COUNTIF(Kendaraan!A:A,A305)&gt;0)</f>
        <v>1</v>
      </c>
    </row>
    <row r="306" spans="1:9" x14ac:dyDescent="0.45">
      <c r="A306" s="4">
        <v>45697</v>
      </c>
      <c r="B306" t="s">
        <v>2808</v>
      </c>
      <c r="C306" t="s">
        <v>2015</v>
      </c>
      <c r="D306" t="s">
        <v>2809</v>
      </c>
      <c r="E306" t="s">
        <v>2810</v>
      </c>
      <c r="F306" t="s">
        <v>1988</v>
      </c>
      <c r="G306" s="1">
        <v>1226</v>
      </c>
      <c r="H306">
        <v>24</v>
      </c>
      <c r="I306" t="b">
        <f>AND(COUNTIF(CO!A:A,A306)&gt;0,COUNTIF('NO2'!A:A,A306)&gt;0,COUNTIF('PM10'!A:A,A306)&gt;0,COUNTIF('PM2.5'!A:A,A306)&gt;0,COUNTIF('SO2'!A:A,A306)&gt;0,COUNTIF(Kendaraan!A:A,A306)&gt;0)</f>
        <v>1</v>
      </c>
    </row>
    <row r="307" spans="1:9" x14ac:dyDescent="0.45">
      <c r="A307" s="4">
        <v>45698</v>
      </c>
      <c r="B307" t="s">
        <v>2811</v>
      </c>
      <c r="C307" t="s">
        <v>2812</v>
      </c>
      <c r="D307" t="s">
        <v>1522</v>
      </c>
      <c r="E307" t="s">
        <v>2813</v>
      </c>
      <c r="F307" t="s">
        <v>2814</v>
      </c>
      <c r="G307" t="s">
        <v>2815</v>
      </c>
      <c r="H307">
        <v>24</v>
      </c>
      <c r="I307" t="b">
        <f>AND(COUNTIF(CO!A:A,A307)&gt;0,COUNTIF('NO2'!A:A,A307)&gt;0,COUNTIF('PM10'!A:A,A307)&gt;0,COUNTIF('PM2.5'!A:A,A307)&gt;0,COUNTIF('SO2'!A:A,A307)&gt;0,COUNTIF(Kendaraan!A:A,A307)&gt;0)</f>
        <v>1</v>
      </c>
    </row>
    <row r="308" spans="1:9" x14ac:dyDescent="0.45">
      <c r="A308" s="4">
        <v>45699</v>
      </c>
      <c r="B308" t="s">
        <v>2816</v>
      </c>
      <c r="C308" t="s">
        <v>2817</v>
      </c>
      <c r="D308" t="s">
        <v>2818</v>
      </c>
      <c r="E308" t="s">
        <v>2819</v>
      </c>
      <c r="F308" t="s">
        <v>2009</v>
      </c>
      <c r="G308" t="s">
        <v>2820</v>
      </c>
      <c r="H308">
        <v>24</v>
      </c>
      <c r="I308" t="b">
        <f>AND(COUNTIF(CO!A:A,A308)&gt;0,COUNTIF('NO2'!A:A,A308)&gt;0,COUNTIF('PM10'!A:A,A308)&gt;0,COUNTIF('PM2.5'!A:A,A308)&gt;0,COUNTIF('SO2'!A:A,A308)&gt;0,COUNTIF(Kendaraan!A:A,A308)&gt;0)</f>
        <v>1</v>
      </c>
    </row>
    <row r="309" spans="1:9" x14ac:dyDescent="0.45">
      <c r="A309" s="4">
        <v>45700</v>
      </c>
      <c r="B309" t="s">
        <v>2821</v>
      </c>
      <c r="C309" t="s">
        <v>2552</v>
      </c>
      <c r="D309" t="s">
        <v>2822</v>
      </c>
      <c r="E309" t="s">
        <v>2823</v>
      </c>
      <c r="F309" t="s">
        <v>2824</v>
      </c>
      <c r="G309" t="s">
        <v>57</v>
      </c>
      <c r="H309">
        <v>24</v>
      </c>
      <c r="I309" t="b">
        <f>AND(COUNTIF(CO!A:A,A309)&gt;0,COUNTIF('NO2'!A:A,A309)&gt;0,COUNTIF('PM10'!A:A,A309)&gt;0,COUNTIF('PM2.5'!A:A,A309)&gt;0,COUNTIF('SO2'!A:A,A309)&gt;0,COUNTIF(Kendaraan!A:A,A309)&gt;0)</f>
        <v>1</v>
      </c>
    </row>
    <row r="310" spans="1:9" x14ac:dyDescent="0.45">
      <c r="A310" s="4">
        <v>45701</v>
      </c>
      <c r="B310" t="s">
        <v>544</v>
      </c>
      <c r="C310" t="s">
        <v>2816</v>
      </c>
      <c r="D310" t="s">
        <v>2825</v>
      </c>
      <c r="E310" t="s">
        <v>1978</v>
      </c>
      <c r="F310" t="s">
        <v>2826</v>
      </c>
      <c r="G310" t="s">
        <v>1222</v>
      </c>
      <c r="H310">
        <v>24</v>
      </c>
      <c r="I310" t="b">
        <f>AND(COUNTIF(CO!A:A,A310)&gt;0,COUNTIF('NO2'!A:A,A310)&gt;0,COUNTIF('PM10'!A:A,A310)&gt;0,COUNTIF('PM2.5'!A:A,A310)&gt;0,COUNTIF('SO2'!A:A,A310)&gt;0,COUNTIF(Kendaraan!A:A,A310)&gt;0)</f>
        <v>1</v>
      </c>
    </row>
    <row r="311" spans="1:9" x14ac:dyDescent="0.45">
      <c r="A311" s="4">
        <v>45702</v>
      </c>
      <c r="B311" t="s">
        <v>521</v>
      </c>
      <c r="C311" t="s">
        <v>2827</v>
      </c>
      <c r="D311" t="s">
        <v>2828</v>
      </c>
      <c r="E311" t="s">
        <v>2829</v>
      </c>
      <c r="F311" t="s">
        <v>2830</v>
      </c>
      <c r="G311" s="1">
        <v>1393</v>
      </c>
      <c r="H311">
        <v>24</v>
      </c>
      <c r="I311" t="b">
        <f>AND(COUNTIF(CO!A:A,A311)&gt;0,COUNTIF('NO2'!A:A,A311)&gt;0,COUNTIF('PM10'!A:A,A311)&gt;0,COUNTIF('PM2.5'!A:A,A311)&gt;0,COUNTIF('SO2'!A:A,A311)&gt;0,COUNTIF(Kendaraan!A:A,A311)&gt;0)</f>
        <v>1</v>
      </c>
    </row>
    <row r="312" spans="1:9" x14ac:dyDescent="0.45">
      <c r="A312" s="4">
        <v>45703</v>
      </c>
      <c r="B312" t="s">
        <v>2831</v>
      </c>
      <c r="C312" t="s">
        <v>2832</v>
      </c>
      <c r="D312" t="s">
        <v>2833</v>
      </c>
      <c r="E312" t="s">
        <v>2217</v>
      </c>
      <c r="F312" t="s">
        <v>2834</v>
      </c>
      <c r="G312" t="s">
        <v>77</v>
      </c>
      <c r="H312">
        <v>24</v>
      </c>
      <c r="I312" t="b">
        <f>AND(COUNTIF(CO!A:A,A312)&gt;0,COUNTIF('NO2'!A:A,A312)&gt;0,COUNTIF('PM10'!A:A,A312)&gt;0,COUNTIF('PM2.5'!A:A,A312)&gt;0,COUNTIF('SO2'!A:A,A312)&gt;0,COUNTIF(Kendaraan!A:A,A312)&gt;0)</f>
        <v>1</v>
      </c>
    </row>
    <row r="313" spans="1:9" x14ac:dyDescent="0.45">
      <c r="A313" s="4">
        <v>45704</v>
      </c>
      <c r="B313" t="s">
        <v>2835</v>
      </c>
      <c r="C313" t="s">
        <v>1524</v>
      </c>
      <c r="D313" t="s">
        <v>2836</v>
      </c>
      <c r="E313" t="s">
        <v>2837</v>
      </c>
      <c r="F313" t="s">
        <v>2838</v>
      </c>
      <c r="G313" t="s">
        <v>2839</v>
      </c>
      <c r="H313">
        <v>24</v>
      </c>
      <c r="I313" t="b">
        <f>AND(COUNTIF(CO!A:A,A313)&gt;0,COUNTIF('NO2'!A:A,A313)&gt;0,COUNTIF('PM10'!A:A,A313)&gt;0,COUNTIF('PM2.5'!A:A,A313)&gt;0,COUNTIF('SO2'!A:A,A313)&gt;0,COUNTIF(Kendaraan!A:A,A313)&gt;0)</f>
        <v>1</v>
      </c>
    </row>
    <row r="314" spans="1:9" x14ac:dyDescent="0.45">
      <c r="A314" s="4">
        <v>45705</v>
      </c>
      <c r="B314" t="s">
        <v>2840</v>
      </c>
      <c r="C314" t="s">
        <v>339</v>
      </c>
      <c r="D314" t="s">
        <v>2841</v>
      </c>
      <c r="E314" t="s">
        <v>2827</v>
      </c>
      <c r="F314" t="s">
        <v>2254</v>
      </c>
      <c r="G314" t="s">
        <v>2842</v>
      </c>
      <c r="H314">
        <v>24</v>
      </c>
      <c r="I314" t="b">
        <f>AND(COUNTIF(CO!A:A,A314)&gt;0,COUNTIF('NO2'!A:A,A314)&gt;0,COUNTIF('PM10'!A:A,A314)&gt;0,COUNTIF('PM2.5'!A:A,A314)&gt;0,COUNTIF('SO2'!A:A,A314)&gt;0,COUNTIF(Kendaraan!A:A,A314)&gt;0)</f>
        <v>1</v>
      </c>
    </row>
    <row r="315" spans="1:9" x14ac:dyDescent="0.45">
      <c r="A315" s="4">
        <v>45706</v>
      </c>
      <c r="B315" t="s">
        <v>2835</v>
      </c>
      <c r="C315" t="s">
        <v>2843</v>
      </c>
      <c r="D315" t="s">
        <v>2216</v>
      </c>
      <c r="E315" t="s">
        <v>2844</v>
      </c>
      <c r="F315" t="s">
        <v>2845</v>
      </c>
      <c r="G315" s="1">
        <v>1494</v>
      </c>
      <c r="H315">
        <v>24</v>
      </c>
      <c r="I315" t="b">
        <f>AND(COUNTIF(CO!A:A,A315)&gt;0,COUNTIF('NO2'!A:A,A315)&gt;0,COUNTIF('PM10'!A:A,A315)&gt;0,COUNTIF('PM2.5'!A:A,A315)&gt;0,COUNTIF('SO2'!A:A,A315)&gt;0,COUNTIF(Kendaraan!A:A,A315)&gt;0)</f>
        <v>1</v>
      </c>
    </row>
    <row r="316" spans="1:9" x14ac:dyDescent="0.45">
      <c r="A316" s="4">
        <v>45707</v>
      </c>
      <c r="B316" t="s">
        <v>1558</v>
      </c>
      <c r="C316" t="s">
        <v>2846</v>
      </c>
      <c r="D316" t="s">
        <v>835</v>
      </c>
      <c r="E316" t="s">
        <v>2328</v>
      </c>
      <c r="F316" t="s">
        <v>2847</v>
      </c>
      <c r="G316" s="1">
        <v>1313</v>
      </c>
      <c r="H316">
        <v>24</v>
      </c>
      <c r="I316" t="b">
        <f>AND(COUNTIF(CO!A:A,A316)&gt;0,COUNTIF('NO2'!A:A,A316)&gt;0,COUNTIF('PM10'!A:A,A316)&gt;0,COUNTIF('PM2.5'!A:A,A316)&gt;0,COUNTIF('SO2'!A:A,A316)&gt;0,COUNTIF(Kendaraan!A:A,A316)&gt;0)</f>
        <v>1</v>
      </c>
    </row>
    <row r="317" spans="1:9" x14ac:dyDescent="0.45">
      <c r="A317" s="4">
        <v>45708</v>
      </c>
      <c r="B317" t="s">
        <v>1521</v>
      </c>
      <c r="C317" t="s">
        <v>2848</v>
      </c>
      <c r="D317" t="s">
        <v>2012</v>
      </c>
      <c r="E317" t="s">
        <v>2849</v>
      </c>
      <c r="F317" t="s">
        <v>2850</v>
      </c>
      <c r="G317" t="s">
        <v>1023</v>
      </c>
      <c r="H317">
        <v>24</v>
      </c>
      <c r="I317" t="b">
        <f>AND(COUNTIF(CO!A:A,A317)&gt;0,COUNTIF('NO2'!A:A,A317)&gt;0,COUNTIF('PM10'!A:A,A317)&gt;0,COUNTIF('PM2.5'!A:A,A317)&gt;0,COUNTIF('SO2'!A:A,A317)&gt;0,COUNTIF(Kendaraan!A:A,A317)&gt;0)</f>
        <v>1</v>
      </c>
    </row>
    <row r="318" spans="1:9" x14ac:dyDescent="0.45">
      <c r="A318" s="4">
        <v>45709</v>
      </c>
      <c r="B318" t="s">
        <v>2851</v>
      </c>
      <c r="C318" t="s">
        <v>2852</v>
      </c>
      <c r="D318" t="s">
        <v>2853</v>
      </c>
      <c r="E318" t="s">
        <v>2345</v>
      </c>
      <c r="F318" t="s">
        <v>2854</v>
      </c>
      <c r="G318" t="s">
        <v>2855</v>
      </c>
      <c r="H318">
        <v>23</v>
      </c>
      <c r="I318" t="b">
        <f>AND(COUNTIF(CO!A:A,A318)&gt;0,COUNTIF('NO2'!A:A,A318)&gt;0,COUNTIF('PM10'!A:A,A318)&gt;0,COUNTIF('PM2.5'!A:A,A318)&gt;0,COUNTIF('SO2'!A:A,A318)&gt;0,COUNTIF(Kendaraan!A:A,A318)&gt;0)</f>
        <v>1</v>
      </c>
    </row>
    <row r="319" spans="1:9" x14ac:dyDescent="0.45">
      <c r="A319" s="4">
        <v>45710</v>
      </c>
      <c r="B319" t="s">
        <v>2856</v>
      </c>
      <c r="C319" t="s">
        <v>2857</v>
      </c>
      <c r="D319" t="s">
        <v>2858</v>
      </c>
      <c r="E319" t="s">
        <v>2859</v>
      </c>
      <c r="F319">
        <v>37</v>
      </c>
      <c r="G319" t="s">
        <v>2860</v>
      </c>
      <c r="H319">
        <v>18</v>
      </c>
      <c r="I319" t="b">
        <f>AND(COUNTIF(CO!A:A,A319)&gt;0,COUNTIF('NO2'!A:A,A319)&gt;0,COUNTIF('PM10'!A:A,A319)&gt;0,COUNTIF('PM2.5'!A:A,A319)&gt;0,COUNTIF('SO2'!A:A,A319)&gt;0,COUNTIF(Kendaraan!A:A,A319)&gt;0)</f>
        <v>1</v>
      </c>
    </row>
    <row r="320" spans="1:9" x14ac:dyDescent="0.45">
      <c r="A320" s="4">
        <v>45722</v>
      </c>
      <c r="B320">
        <v>10</v>
      </c>
      <c r="C320">
        <v>10</v>
      </c>
      <c r="D320">
        <v>10</v>
      </c>
      <c r="E320">
        <v>10</v>
      </c>
      <c r="F320">
        <v>10</v>
      </c>
      <c r="G320">
        <v>0</v>
      </c>
      <c r="H320">
        <v>4</v>
      </c>
      <c r="I320" t="b">
        <f>AND(COUNTIF(CO!A:A,A320)&gt;0,COUNTIF('NO2'!A:A,A320)&gt;0,COUNTIF('PM10'!A:A,A320)&gt;0,COUNTIF('PM2.5'!A:A,A320)&gt;0,COUNTIF('SO2'!A:A,A320)&gt;0,COUNTIF(Kendaraan!A:A,A320)&gt;0)</f>
        <v>1</v>
      </c>
    </row>
    <row r="321" spans="1:9" x14ac:dyDescent="0.45">
      <c r="A321" s="4">
        <v>45723</v>
      </c>
      <c r="B321">
        <v>29</v>
      </c>
      <c r="C321" t="s">
        <v>2333</v>
      </c>
      <c r="D321" t="s">
        <v>2034</v>
      </c>
      <c r="E321" t="s">
        <v>2861</v>
      </c>
      <c r="F321" t="s">
        <v>2813</v>
      </c>
      <c r="G321" t="s">
        <v>655</v>
      </c>
      <c r="H321">
        <v>5</v>
      </c>
      <c r="I321" t="b">
        <f>AND(COUNTIF(CO!A:A,A321)&gt;0,COUNTIF('NO2'!A:A,A321)&gt;0,COUNTIF('PM10'!A:A,A321)&gt;0,COUNTIF('PM2.5'!A:A,A321)&gt;0,COUNTIF('SO2'!A:A,A321)&gt;0,COUNTIF(Kendaraan!A:A,A321)&gt;0)</f>
        <v>1</v>
      </c>
    </row>
    <row r="322" spans="1:9" x14ac:dyDescent="0.45">
      <c r="A322" s="4">
        <v>45724</v>
      </c>
      <c r="B322" t="s">
        <v>2862</v>
      </c>
      <c r="C322" t="s">
        <v>2863</v>
      </c>
      <c r="D322" t="s">
        <v>2864</v>
      </c>
      <c r="E322" t="s">
        <v>2018</v>
      </c>
      <c r="F322" t="s">
        <v>2865</v>
      </c>
      <c r="G322" t="s">
        <v>2866</v>
      </c>
      <c r="H322">
        <v>24</v>
      </c>
      <c r="I322" t="b">
        <f>AND(COUNTIF(CO!A:A,A322)&gt;0,COUNTIF('NO2'!A:A,A322)&gt;0,COUNTIF('PM10'!A:A,A322)&gt;0,COUNTIF('PM2.5'!A:A,A322)&gt;0,COUNTIF('SO2'!A:A,A322)&gt;0,COUNTIF(Kendaraan!A:A,A322)&gt;0)</f>
        <v>1</v>
      </c>
    </row>
    <row r="323" spans="1:9" x14ac:dyDescent="0.45">
      <c r="A323" s="4">
        <v>45725</v>
      </c>
      <c r="B323" t="s">
        <v>2863</v>
      </c>
      <c r="C323" t="s">
        <v>2867</v>
      </c>
      <c r="D323" t="s">
        <v>2836</v>
      </c>
      <c r="E323" t="s">
        <v>2868</v>
      </c>
      <c r="F323" t="s">
        <v>2869</v>
      </c>
      <c r="G323" t="s">
        <v>580</v>
      </c>
      <c r="H323">
        <v>24</v>
      </c>
      <c r="I323" t="b">
        <f>AND(COUNTIF(CO!A:A,A323)&gt;0,COUNTIF('NO2'!A:A,A323)&gt;0,COUNTIF('PM10'!A:A,A323)&gt;0,COUNTIF('PM2.5'!A:A,A323)&gt;0,COUNTIF('SO2'!A:A,A323)&gt;0,COUNTIF(Kendaraan!A:A,A323)&gt;0)</f>
        <v>1</v>
      </c>
    </row>
    <row r="324" spans="1:9" x14ac:dyDescent="0.45">
      <c r="A324" s="4">
        <v>45726</v>
      </c>
      <c r="B324" t="s">
        <v>2812</v>
      </c>
      <c r="C324" t="s">
        <v>2836</v>
      </c>
      <c r="D324" t="s">
        <v>2870</v>
      </c>
      <c r="E324" t="s">
        <v>2840</v>
      </c>
      <c r="F324" t="s">
        <v>2871</v>
      </c>
      <c r="G324" t="s">
        <v>229</v>
      </c>
      <c r="H324">
        <v>24</v>
      </c>
      <c r="I324" t="b">
        <f>AND(COUNTIF(CO!A:A,A324)&gt;0,COUNTIF('NO2'!A:A,A324)&gt;0,COUNTIF('PM10'!A:A,A324)&gt;0,COUNTIF('PM2.5'!A:A,A324)&gt;0,COUNTIF('SO2'!A:A,A324)&gt;0,COUNTIF(Kendaraan!A:A,A324)&gt;0)</f>
        <v>1</v>
      </c>
    </row>
    <row r="325" spans="1:9" x14ac:dyDescent="0.45">
      <c r="A325" s="4">
        <v>45727</v>
      </c>
      <c r="B325" t="s">
        <v>2872</v>
      </c>
      <c r="C325" t="s">
        <v>1620</v>
      </c>
      <c r="D325" t="s">
        <v>2813</v>
      </c>
      <c r="E325" t="s">
        <v>2821</v>
      </c>
      <c r="F325" t="s">
        <v>2023</v>
      </c>
      <c r="G325" t="s">
        <v>28</v>
      </c>
      <c r="H325">
        <v>24</v>
      </c>
      <c r="I325" t="b">
        <f>AND(COUNTIF(CO!A:A,A325)&gt;0,COUNTIF('NO2'!A:A,A325)&gt;0,COUNTIF('PM10'!A:A,A325)&gt;0,COUNTIF('PM2.5'!A:A,A325)&gt;0,COUNTIF('SO2'!A:A,A325)&gt;0,COUNTIF(Kendaraan!A:A,A325)&gt;0)</f>
        <v>1</v>
      </c>
    </row>
    <row r="326" spans="1:9" x14ac:dyDescent="0.45">
      <c r="A326" s="4">
        <v>45728</v>
      </c>
      <c r="B326" t="s">
        <v>396</v>
      </c>
      <c r="C326" t="s">
        <v>2873</v>
      </c>
      <c r="D326" t="s">
        <v>833</v>
      </c>
      <c r="E326" t="s">
        <v>2561</v>
      </c>
      <c r="F326" t="s">
        <v>2593</v>
      </c>
      <c r="G326" t="s">
        <v>67</v>
      </c>
      <c r="H326">
        <v>24</v>
      </c>
      <c r="I326" t="b">
        <f>AND(COUNTIF(CO!A:A,A326)&gt;0,COUNTIF('NO2'!A:A,A326)&gt;0,COUNTIF('PM10'!A:A,A326)&gt;0,COUNTIF('PM2.5'!A:A,A326)&gt;0,COUNTIF('SO2'!A:A,A326)&gt;0,COUNTIF(Kendaraan!A:A,A326)&gt;0)</f>
        <v>1</v>
      </c>
    </row>
    <row r="327" spans="1:9" x14ac:dyDescent="0.45">
      <c r="A327" s="4">
        <v>45729</v>
      </c>
      <c r="B327" t="s">
        <v>494</v>
      </c>
      <c r="C327" t="s">
        <v>2874</v>
      </c>
      <c r="D327" t="s">
        <v>543</v>
      </c>
      <c r="E327" t="s">
        <v>585</v>
      </c>
      <c r="F327" t="s">
        <v>2875</v>
      </c>
      <c r="G327" t="s">
        <v>2876</v>
      </c>
      <c r="H327">
        <v>24</v>
      </c>
      <c r="I327" t="b">
        <f>AND(COUNTIF(CO!A:A,A327)&gt;0,COUNTIF('NO2'!A:A,A327)&gt;0,COUNTIF('PM10'!A:A,A327)&gt;0,COUNTIF('PM2.5'!A:A,A327)&gt;0,COUNTIF('SO2'!A:A,A327)&gt;0,COUNTIF(Kendaraan!A:A,A327)&gt;0)</f>
        <v>1</v>
      </c>
    </row>
    <row r="328" spans="1:9" x14ac:dyDescent="0.45">
      <c r="A328" s="4">
        <v>45730</v>
      </c>
      <c r="B328" t="s">
        <v>474</v>
      </c>
      <c r="C328" t="s">
        <v>2877</v>
      </c>
      <c r="D328" t="s">
        <v>2878</v>
      </c>
      <c r="E328" t="s">
        <v>1419</v>
      </c>
      <c r="F328" t="s">
        <v>1517</v>
      </c>
      <c r="G328" t="s">
        <v>2722</v>
      </c>
      <c r="H328">
        <v>24</v>
      </c>
      <c r="I328" t="b">
        <f>AND(COUNTIF(CO!A:A,A328)&gt;0,COUNTIF('NO2'!A:A,A328)&gt;0,COUNTIF('PM10'!A:A,A328)&gt;0,COUNTIF('PM2.5'!A:A,A328)&gt;0,COUNTIF('SO2'!A:A,A328)&gt;0,COUNTIF(Kendaraan!A:A,A328)&gt;0)</f>
        <v>1</v>
      </c>
    </row>
    <row r="329" spans="1:9" x14ac:dyDescent="0.45">
      <c r="A329" s="4">
        <v>45731</v>
      </c>
      <c r="B329" t="s">
        <v>535</v>
      </c>
      <c r="C329" t="s">
        <v>2879</v>
      </c>
      <c r="D329" t="s">
        <v>2560</v>
      </c>
      <c r="E329" t="s">
        <v>1515</v>
      </c>
      <c r="F329" t="s">
        <v>2880</v>
      </c>
      <c r="G329" s="1">
        <v>1092</v>
      </c>
      <c r="H329">
        <v>24</v>
      </c>
      <c r="I329" t="b">
        <f>AND(COUNTIF(CO!A:A,A329)&gt;0,COUNTIF('NO2'!A:A,A329)&gt;0,COUNTIF('PM10'!A:A,A329)&gt;0,COUNTIF('PM2.5'!A:A,A329)&gt;0,COUNTIF('SO2'!A:A,A329)&gt;0,COUNTIF(Kendaraan!A:A,A329)&gt;0)</f>
        <v>1</v>
      </c>
    </row>
    <row r="330" spans="1:9" x14ac:dyDescent="0.45">
      <c r="A330" s="4">
        <v>45732</v>
      </c>
      <c r="B330" t="s">
        <v>1904</v>
      </c>
      <c r="C330" t="s">
        <v>2881</v>
      </c>
      <c r="D330" t="s">
        <v>2882</v>
      </c>
      <c r="E330" t="s">
        <v>2883</v>
      </c>
      <c r="F330" t="s">
        <v>2884</v>
      </c>
      <c r="G330" s="1">
        <v>1649</v>
      </c>
      <c r="H330">
        <v>24</v>
      </c>
      <c r="I330" t="b">
        <f>AND(COUNTIF(CO!A:A,A330)&gt;0,COUNTIF('NO2'!A:A,A330)&gt;0,COUNTIF('PM10'!A:A,A330)&gt;0,COUNTIF('PM2.5'!A:A,A330)&gt;0,COUNTIF('SO2'!A:A,A330)&gt;0,COUNTIF(Kendaraan!A:A,A330)&gt;0)</f>
        <v>1</v>
      </c>
    </row>
    <row r="331" spans="1:9" x14ac:dyDescent="0.45">
      <c r="A331" s="4">
        <v>45733</v>
      </c>
      <c r="B331" t="s">
        <v>2252</v>
      </c>
      <c r="C331" t="s">
        <v>2299</v>
      </c>
      <c r="D331" t="s">
        <v>2885</v>
      </c>
      <c r="E331" t="s">
        <v>2249</v>
      </c>
      <c r="F331" t="s">
        <v>334</v>
      </c>
      <c r="G331" s="1">
        <v>1267</v>
      </c>
      <c r="H331">
        <v>24</v>
      </c>
      <c r="I331" t="b">
        <f>AND(COUNTIF(CO!A:A,A331)&gt;0,COUNTIF('NO2'!A:A,A331)&gt;0,COUNTIF('PM10'!A:A,A331)&gt;0,COUNTIF('PM2.5'!A:A,A331)&gt;0,COUNTIF('SO2'!A:A,A331)&gt;0,COUNTIF(Kendaraan!A:A,A331)&gt;0)</f>
        <v>1</v>
      </c>
    </row>
    <row r="332" spans="1:9" x14ac:dyDescent="0.45">
      <c r="A332" s="4">
        <v>45734</v>
      </c>
      <c r="B332" t="s">
        <v>2886</v>
      </c>
      <c r="C332" t="s">
        <v>2887</v>
      </c>
      <c r="D332" t="s">
        <v>2888</v>
      </c>
      <c r="E332" t="s">
        <v>2889</v>
      </c>
      <c r="F332" t="s">
        <v>2890</v>
      </c>
      <c r="G332" t="s">
        <v>2891</v>
      </c>
      <c r="H332">
        <v>24</v>
      </c>
      <c r="I332" t="b">
        <f>AND(COUNTIF(CO!A:A,A332)&gt;0,COUNTIF('NO2'!A:A,A332)&gt;0,COUNTIF('PM10'!A:A,A332)&gt;0,COUNTIF('PM2.5'!A:A,A332)&gt;0,COUNTIF('SO2'!A:A,A332)&gt;0,COUNTIF(Kendaraan!A:A,A332)&gt;0)</f>
        <v>1</v>
      </c>
    </row>
    <row r="333" spans="1:9" x14ac:dyDescent="0.45">
      <c r="A333" s="4">
        <v>45735</v>
      </c>
      <c r="B333" t="s">
        <v>2892</v>
      </c>
      <c r="C333" t="s">
        <v>2893</v>
      </c>
      <c r="D333" t="s">
        <v>2894</v>
      </c>
      <c r="E333" t="s">
        <v>2171</v>
      </c>
      <c r="F333" t="s">
        <v>2128</v>
      </c>
      <c r="G333" t="s">
        <v>2895</v>
      </c>
      <c r="H333">
        <v>24</v>
      </c>
      <c r="I333" t="b">
        <f>AND(COUNTIF(CO!A:A,A333)&gt;0,COUNTIF('NO2'!A:A,A333)&gt;0,COUNTIF('PM10'!A:A,A333)&gt;0,COUNTIF('PM2.5'!A:A,A333)&gt;0,COUNTIF('SO2'!A:A,A333)&gt;0,COUNTIF(Kendaraan!A:A,A333)&gt;0)</f>
        <v>1</v>
      </c>
    </row>
    <row r="334" spans="1:9" x14ac:dyDescent="0.45">
      <c r="A334" s="4">
        <v>45736</v>
      </c>
      <c r="B334" t="s">
        <v>2538</v>
      </c>
      <c r="C334" t="s">
        <v>2896</v>
      </c>
      <c r="D334" t="s">
        <v>2897</v>
      </c>
      <c r="E334" t="s">
        <v>2898</v>
      </c>
      <c r="F334" t="s">
        <v>2899</v>
      </c>
      <c r="G334" t="s">
        <v>2900</v>
      </c>
      <c r="H334">
        <v>24</v>
      </c>
      <c r="I334" t="b">
        <f>AND(COUNTIF(CO!A:A,A334)&gt;0,COUNTIF('NO2'!A:A,A334)&gt;0,COUNTIF('PM10'!A:A,A334)&gt;0,COUNTIF('PM2.5'!A:A,A334)&gt;0,COUNTIF('SO2'!A:A,A334)&gt;0,COUNTIF(Kendaraan!A:A,A334)&gt;0)</f>
        <v>1</v>
      </c>
    </row>
    <row r="335" spans="1:9" x14ac:dyDescent="0.45">
      <c r="A335" s="4">
        <v>45737</v>
      </c>
      <c r="B335" t="s">
        <v>2901</v>
      </c>
      <c r="C335" t="s">
        <v>2503</v>
      </c>
      <c r="D335" t="s">
        <v>2902</v>
      </c>
      <c r="E335" t="s">
        <v>2903</v>
      </c>
      <c r="F335" t="s">
        <v>2904</v>
      </c>
      <c r="G335" t="s">
        <v>2905</v>
      </c>
      <c r="H335">
        <v>23</v>
      </c>
      <c r="I335" t="b">
        <f>AND(COUNTIF(CO!A:A,A335)&gt;0,COUNTIF('NO2'!A:A,A335)&gt;0,COUNTIF('PM10'!A:A,A335)&gt;0,COUNTIF('PM2.5'!A:A,A335)&gt;0,COUNTIF('SO2'!A:A,A335)&gt;0,COUNTIF(Kendaraan!A:A,A335)&gt;0)</f>
        <v>1</v>
      </c>
    </row>
    <row r="336" spans="1:9" x14ac:dyDescent="0.45">
      <c r="A336" s="4">
        <v>45738</v>
      </c>
      <c r="B336" t="s">
        <v>2504</v>
      </c>
      <c r="C336" t="s">
        <v>2904</v>
      </c>
      <c r="D336" t="s">
        <v>2906</v>
      </c>
      <c r="E336" t="s">
        <v>2907</v>
      </c>
      <c r="F336" t="s">
        <v>2908</v>
      </c>
      <c r="G336" t="s">
        <v>2739</v>
      </c>
      <c r="H336">
        <v>24</v>
      </c>
      <c r="I336" t="b">
        <f>AND(COUNTIF(CO!A:A,A336)&gt;0,COUNTIF('NO2'!A:A,A336)&gt;0,COUNTIF('PM10'!A:A,A336)&gt;0,COUNTIF('PM2.5'!A:A,A336)&gt;0,COUNTIF('SO2'!A:A,A336)&gt;0,COUNTIF(Kendaraan!A:A,A336)&gt;0)</f>
        <v>1</v>
      </c>
    </row>
    <row r="337" spans="1:9" x14ac:dyDescent="0.45">
      <c r="A337" s="4">
        <v>45739</v>
      </c>
      <c r="B337" t="s">
        <v>2144</v>
      </c>
      <c r="C337" t="s">
        <v>2909</v>
      </c>
      <c r="D337" t="s">
        <v>2232</v>
      </c>
      <c r="E337" t="s">
        <v>2910</v>
      </c>
      <c r="F337" t="s">
        <v>2911</v>
      </c>
      <c r="G337" t="s">
        <v>2492</v>
      </c>
      <c r="H337">
        <v>24</v>
      </c>
      <c r="I337" t="b">
        <f>AND(COUNTIF(CO!A:A,A337)&gt;0,COUNTIF('NO2'!A:A,A337)&gt;0,COUNTIF('PM10'!A:A,A337)&gt;0,COUNTIF('PM2.5'!A:A,A337)&gt;0,COUNTIF('SO2'!A:A,A337)&gt;0,COUNTIF(Kendaraan!A:A,A337)&gt;0)</f>
        <v>1</v>
      </c>
    </row>
    <row r="338" spans="1:9" x14ac:dyDescent="0.45">
      <c r="A338" s="4">
        <v>45740</v>
      </c>
      <c r="B338" t="s">
        <v>2912</v>
      </c>
      <c r="C338" t="s">
        <v>2913</v>
      </c>
      <c r="D338">
        <v>45</v>
      </c>
      <c r="E338" t="s">
        <v>2914</v>
      </c>
      <c r="F338" t="s">
        <v>2915</v>
      </c>
      <c r="G338" t="s">
        <v>1003</v>
      </c>
      <c r="H338">
        <v>23</v>
      </c>
      <c r="I338" t="b">
        <f>AND(COUNTIF(CO!A:A,A338)&gt;0,COUNTIF('NO2'!A:A,A338)&gt;0,COUNTIF('PM10'!A:A,A338)&gt;0,COUNTIF('PM2.5'!A:A,A338)&gt;0,COUNTIF('SO2'!A:A,A338)&gt;0,COUNTIF(Kendaraan!A:A,A338)&gt;0)</f>
        <v>1</v>
      </c>
    </row>
    <row r="339" spans="1:9" x14ac:dyDescent="0.45">
      <c r="A339" s="4">
        <v>45741</v>
      </c>
      <c r="B339" t="s">
        <v>2916</v>
      </c>
      <c r="C339" t="s">
        <v>2136</v>
      </c>
      <c r="D339">
        <v>44</v>
      </c>
      <c r="E339" t="s">
        <v>2917</v>
      </c>
      <c r="F339" t="s">
        <v>2288</v>
      </c>
      <c r="G339" t="s">
        <v>2559</v>
      </c>
      <c r="H339">
        <v>24</v>
      </c>
      <c r="I339" t="b">
        <f>AND(COUNTIF(CO!A:A,A339)&gt;0,COUNTIF('NO2'!A:A,A339)&gt;0,COUNTIF('PM10'!A:A,A339)&gt;0,COUNTIF('PM2.5'!A:A,A339)&gt;0,COUNTIF('SO2'!A:A,A339)&gt;0,COUNTIF(Kendaraan!A:A,A339)&gt;0)</f>
        <v>1</v>
      </c>
    </row>
    <row r="340" spans="1:9" x14ac:dyDescent="0.45">
      <c r="A340" s="4">
        <v>45742</v>
      </c>
      <c r="B340" t="s">
        <v>2918</v>
      </c>
      <c r="C340" t="s">
        <v>2919</v>
      </c>
      <c r="D340" t="s">
        <v>2920</v>
      </c>
      <c r="E340" t="s">
        <v>2921</v>
      </c>
      <c r="F340" t="s">
        <v>2183</v>
      </c>
      <c r="G340" t="s">
        <v>1966</v>
      </c>
      <c r="H340">
        <v>24</v>
      </c>
      <c r="I340" t="b">
        <f>AND(COUNTIF(CO!A:A,A340)&gt;0,COUNTIF('NO2'!A:A,A340)&gt;0,COUNTIF('PM10'!A:A,A340)&gt;0,COUNTIF('PM2.5'!A:A,A340)&gt;0,COUNTIF('SO2'!A:A,A340)&gt;0,COUNTIF(Kendaraan!A:A,A340)&gt;0)</f>
        <v>1</v>
      </c>
    </row>
    <row r="341" spans="1:9" x14ac:dyDescent="0.45">
      <c r="A341" s="4">
        <v>45743</v>
      </c>
      <c r="B341" t="s">
        <v>2238</v>
      </c>
      <c r="C341" t="s">
        <v>2922</v>
      </c>
      <c r="D341" t="s">
        <v>2923</v>
      </c>
      <c r="E341" t="s">
        <v>2541</v>
      </c>
      <c r="F341" t="s">
        <v>2924</v>
      </c>
      <c r="G341" t="s">
        <v>233</v>
      </c>
      <c r="H341">
        <v>9</v>
      </c>
      <c r="I341" t="b">
        <f>AND(COUNTIF(CO!A:A,A341)&gt;0,COUNTIF('NO2'!A:A,A341)&gt;0,COUNTIF('PM10'!A:A,A341)&gt;0,COUNTIF('PM2.5'!A:A,A341)&gt;0,COUNTIF('SO2'!A:A,A341)&gt;0,COUNTIF(Kendaraan!A:A,A341)&gt;0)</f>
        <v>1</v>
      </c>
    </row>
    <row r="342" spans="1:9" x14ac:dyDescent="0.45">
      <c r="A342" s="4">
        <v>45744</v>
      </c>
      <c r="B342" t="s">
        <v>2925</v>
      </c>
      <c r="C342" t="s">
        <v>2926</v>
      </c>
      <c r="D342" t="s">
        <v>2927</v>
      </c>
      <c r="E342" t="s">
        <v>2928</v>
      </c>
      <c r="F342" t="s">
        <v>2929</v>
      </c>
      <c r="G342" t="s">
        <v>2708</v>
      </c>
      <c r="H342">
        <v>19</v>
      </c>
      <c r="I342" t="b">
        <f>AND(COUNTIF(CO!A:A,A342)&gt;0,COUNTIF('NO2'!A:A,A342)&gt;0,COUNTIF('PM10'!A:A,A342)&gt;0,COUNTIF('PM2.5'!A:A,A342)&gt;0,COUNTIF('SO2'!A:A,A342)&gt;0,COUNTIF(Kendaraan!A:A,A342)&gt;0)</f>
        <v>1</v>
      </c>
    </row>
    <row r="343" spans="1:9" x14ac:dyDescent="0.45">
      <c r="A343" s="4">
        <v>45745</v>
      </c>
      <c r="B343" t="s">
        <v>2930</v>
      </c>
      <c r="C343" t="s">
        <v>2931</v>
      </c>
      <c r="D343" t="s">
        <v>2932</v>
      </c>
      <c r="E343" t="s">
        <v>2933</v>
      </c>
      <c r="F343" t="s">
        <v>2919</v>
      </c>
      <c r="G343" t="s">
        <v>1564</v>
      </c>
      <c r="H343">
        <v>24</v>
      </c>
      <c r="I343" t="b">
        <f>AND(COUNTIF(CO!A:A,A343)&gt;0,COUNTIF('NO2'!A:A,A343)&gt;0,COUNTIF('PM10'!A:A,A343)&gt;0,COUNTIF('PM2.5'!A:A,A343)&gt;0,COUNTIF('SO2'!A:A,A343)&gt;0,COUNTIF(Kendaraan!A:A,A343)&gt;0)</f>
        <v>1</v>
      </c>
    </row>
    <row r="344" spans="1:9" x14ac:dyDescent="0.45">
      <c r="A344" s="4">
        <v>45746</v>
      </c>
      <c r="B344" t="s">
        <v>2934</v>
      </c>
      <c r="C344" t="s">
        <v>2935</v>
      </c>
      <c r="D344" t="s">
        <v>2936</v>
      </c>
      <c r="E344" t="s">
        <v>2937</v>
      </c>
      <c r="F344" t="s">
        <v>2291</v>
      </c>
      <c r="G344" t="s">
        <v>2938</v>
      </c>
      <c r="H344">
        <v>24</v>
      </c>
      <c r="I344" t="b">
        <f>AND(COUNTIF(CO!A:A,A344)&gt;0,COUNTIF('NO2'!A:A,A344)&gt;0,COUNTIF('PM10'!A:A,A344)&gt;0,COUNTIF('PM2.5'!A:A,A344)&gt;0,COUNTIF('SO2'!A:A,A344)&gt;0,COUNTIF(Kendaraan!A:A,A344)&gt;0)</f>
        <v>1</v>
      </c>
    </row>
    <row r="345" spans="1:9" x14ac:dyDescent="0.45">
      <c r="A345" s="4">
        <v>45747</v>
      </c>
      <c r="B345" t="s">
        <v>2892</v>
      </c>
      <c r="C345" t="s">
        <v>2904</v>
      </c>
      <c r="D345" t="s">
        <v>2939</v>
      </c>
      <c r="E345" t="s">
        <v>2940</v>
      </c>
      <c r="F345" t="s">
        <v>2154</v>
      </c>
      <c r="G345" t="s">
        <v>1012</v>
      </c>
      <c r="H345">
        <v>22</v>
      </c>
      <c r="I345" t="b">
        <f>AND(COUNTIF(CO!A:A,A345)&gt;0,COUNTIF('NO2'!A:A,A345)&gt;0,COUNTIF('PM10'!A:A,A345)&gt;0,COUNTIF('PM2.5'!A:A,A345)&gt;0,COUNTIF('SO2'!A:A,A345)&gt;0,COUNTIF(Kendaraan!A:A,A345)&gt;0)</f>
        <v>1</v>
      </c>
    </row>
    <row r="346" spans="1:9" x14ac:dyDescent="0.45">
      <c r="A346" s="4">
        <v>45748</v>
      </c>
      <c r="B346">
        <v>42</v>
      </c>
      <c r="C346" t="s">
        <v>2941</v>
      </c>
      <c r="D346" t="s">
        <v>2942</v>
      </c>
      <c r="E346" t="s">
        <v>2943</v>
      </c>
      <c r="F346" t="s">
        <v>2944</v>
      </c>
      <c r="G346" t="s">
        <v>238</v>
      </c>
      <c r="H346">
        <v>4</v>
      </c>
      <c r="I346" t="b">
        <f>AND(COUNTIF(CO!A:A,A346)&gt;0,COUNTIF('NO2'!A:A,A346)&gt;0,COUNTIF('PM10'!A:A,A346)&gt;0,COUNTIF('PM2.5'!A:A,A346)&gt;0,COUNTIF('SO2'!A:A,A346)&gt;0,COUNTIF(Kendaraan!A:A,A346)&gt;0)</f>
        <v>1</v>
      </c>
    </row>
    <row r="347" spans="1:9" x14ac:dyDescent="0.45">
      <c r="A347" s="4">
        <v>45755</v>
      </c>
      <c r="B347" t="s">
        <v>2757</v>
      </c>
      <c r="C347" t="s">
        <v>2376</v>
      </c>
      <c r="D347" t="s">
        <v>2945</v>
      </c>
      <c r="E347" t="s">
        <v>2757</v>
      </c>
      <c r="F347" t="s">
        <v>2376</v>
      </c>
      <c r="G347" t="s">
        <v>186</v>
      </c>
      <c r="H347">
        <v>2</v>
      </c>
      <c r="I347" t="b">
        <f>AND(COUNTIF(CO!A:A,A347)&gt;0,COUNTIF('NO2'!A:A,A347)&gt;0,COUNTIF('PM10'!A:A,A347)&gt;0,COUNTIF('PM2.5'!A:A,A347)&gt;0,COUNTIF('SO2'!A:A,A347)&gt;0,COUNTIF(Kendaraan!A:A,A347)&gt;0)</f>
        <v>1</v>
      </c>
    </row>
    <row r="348" spans="1:9" x14ac:dyDescent="0.45">
      <c r="A348" s="4">
        <v>45756</v>
      </c>
      <c r="B348" t="s">
        <v>1798</v>
      </c>
      <c r="C348" t="s">
        <v>2766</v>
      </c>
      <c r="D348" t="s">
        <v>1707</v>
      </c>
      <c r="E348" t="s">
        <v>2946</v>
      </c>
      <c r="F348" t="s">
        <v>2947</v>
      </c>
      <c r="G348" t="s">
        <v>2948</v>
      </c>
      <c r="H348">
        <v>24</v>
      </c>
      <c r="I348" t="b">
        <f>AND(COUNTIF(CO!A:A,A348)&gt;0,COUNTIF('NO2'!A:A,A348)&gt;0,COUNTIF('PM10'!A:A,A348)&gt;0,COUNTIF('PM2.5'!A:A,A348)&gt;0,COUNTIF('SO2'!A:A,A348)&gt;0,COUNTIF(Kendaraan!A:A,A348)&gt;0)</f>
        <v>1</v>
      </c>
    </row>
    <row r="349" spans="1:9" x14ac:dyDescent="0.45">
      <c r="A349" s="4">
        <v>45757</v>
      </c>
      <c r="B349" t="s">
        <v>1345</v>
      </c>
      <c r="C349" t="s">
        <v>1305</v>
      </c>
      <c r="D349" t="s">
        <v>1362</v>
      </c>
      <c r="E349" t="s">
        <v>1360</v>
      </c>
      <c r="F349">
        <v>13</v>
      </c>
      <c r="G349" t="s">
        <v>66</v>
      </c>
      <c r="H349">
        <v>17</v>
      </c>
      <c r="I349" t="b">
        <f>AND(COUNTIF(CO!A:A,A349)&gt;0,COUNTIF('NO2'!A:A,A349)&gt;0,COUNTIF('PM10'!A:A,A349)&gt;0,COUNTIF('PM2.5'!A:A,A349)&gt;0,COUNTIF('SO2'!A:A,A349)&gt;0,COUNTIF(Kendaraan!A:A,A349)&gt;0)</f>
        <v>1</v>
      </c>
    </row>
    <row r="350" spans="1:9" x14ac:dyDescent="0.45">
      <c r="A350" s="4">
        <v>45759</v>
      </c>
      <c r="B350" t="s">
        <v>446</v>
      </c>
      <c r="C350" t="s">
        <v>411</v>
      </c>
      <c r="D350" t="s">
        <v>2949</v>
      </c>
      <c r="E350" t="s">
        <v>422</v>
      </c>
      <c r="F350" t="s">
        <v>1410</v>
      </c>
      <c r="G350" t="s">
        <v>2950</v>
      </c>
      <c r="H350">
        <v>23</v>
      </c>
      <c r="I350" t="b">
        <f>AND(COUNTIF(CO!A:A,A350)&gt;0,COUNTIF('NO2'!A:A,A350)&gt;0,COUNTIF('PM10'!A:A,A350)&gt;0,COUNTIF('PM2.5'!A:A,A350)&gt;0,COUNTIF('SO2'!A:A,A350)&gt;0,COUNTIF(Kendaraan!A:A,A350)&gt;0)</f>
        <v>1</v>
      </c>
    </row>
    <row r="351" spans="1:9" x14ac:dyDescent="0.45">
      <c r="A351" s="4">
        <v>45760</v>
      </c>
      <c r="B351" t="s">
        <v>1432</v>
      </c>
      <c r="C351" t="s">
        <v>913</v>
      </c>
      <c r="D351" t="s">
        <v>1491</v>
      </c>
      <c r="E351" t="s">
        <v>2951</v>
      </c>
      <c r="F351" t="s">
        <v>1560</v>
      </c>
      <c r="G351" t="s">
        <v>2952</v>
      </c>
      <c r="H351">
        <v>24</v>
      </c>
      <c r="I351" t="b">
        <f>AND(COUNTIF(CO!A:A,A351)&gt;0,COUNTIF('NO2'!A:A,A351)&gt;0,COUNTIF('PM10'!A:A,A351)&gt;0,COUNTIF('PM2.5'!A:A,A351)&gt;0,COUNTIF('SO2'!A:A,A351)&gt;0,COUNTIF(Kendaraan!A:A,A351)&gt;0)</f>
        <v>1</v>
      </c>
    </row>
    <row r="352" spans="1:9" x14ac:dyDescent="0.45">
      <c r="A352" s="4">
        <v>45761</v>
      </c>
      <c r="B352" t="s">
        <v>881</v>
      </c>
      <c r="C352" t="s">
        <v>1918</v>
      </c>
      <c r="D352" t="s">
        <v>1268</v>
      </c>
      <c r="E352" t="s">
        <v>1485</v>
      </c>
      <c r="F352" t="s">
        <v>871</v>
      </c>
      <c r="G352" t="s">
        <v>2744</v>
      </c>
      <c r="H352">
        <v>24</v>
      </c>
      <c r="I352" t="b">
        <f>AND(COUNTIF(CO!A:A,A352)&gt;0,COUNTIF('NO2'!A:A,A352)&gt;0,COUNTIF('PM10'!A:A,A352)&gt;0,COUNTIF('PM2.5'!A:A,A352)&gt;0,COUNTIF('SO2'!A:A,A352)&gt;0,COUNTIF(Kendaraan!A:A,A352)&gt;0)</f>
        <v>1</v>
      </c>
    </row>
    <row r="353" spans="1:9" x14ac:dyDescent="0.45">
      <c r="A353" s="4">
        <v>45762</v>
      </c>
      <c r="B353" t="s">
        <v>426</v>
      </c>
      <c r="C353" t="s">
        <v>1869</v>
      </c>
      <c r="D353" t="s">
        <v>896</v>
      </c>
      <c r="E353" t="s">
        <v>1924</v>
      </c>
      <c r="F353" t="s">
        <v>1572</v>
      </c>
      <c r="G353" t="s">
        <v>808</v>
      </c>
      <c r="H353">
        <v>24</v>
      </c>
      <c r="I353" t="b">
        <f>AND(COUNTIF(CO!A:A,A353)&gt;0,COUNTIF('NO2'!A:A,A353)&gt;0,COUNTIF('PM10'!A:A,A353)&gt;0,COUNTIF('PM2.5'!A:A,A353)&gt;0,COUNTIF('SO2'!A:A,A353)&gt;0,COUNTIF(Kendaraan!A:A,A353)&gt;0)</f>
        <v>1</v>
      </c>
    </row>
    <row r="354" spans="1:9" x14ac:dyDescent="0.45">
      <c r="A354" s="4">
        <v>45763</v>
      </c>
      <c r="B354" t="s">
        <v>1254</v>
      </c>
      <c r="C354" t="s">
        <v>1240</v>
      </c>
      <c r="D354" t="s">
        <v>1246</v>
      </c>
      <c r="E354" t="s">
        <v>2953</v>
      </c>
      <c r="F354" t="s">
        <v>1239</v>
      </c>
      <c r="G354" t="s">
        <v>2310</v>
      </c>
      <c r="H354">
        <v>13</v>
      </c>
      <c r="I354" t="b">
        <f>AND(COUNTIF(CO!A:A,A354)&gt;0,COUNTIF('NO2'!A:A,A354)&gt;0,COUNTIF('PM10'!A:A,A354)&gt;0,COUNTIF('PM2.5'!A:A,A354)&gt;0,COUNTIF('SO2'!A:A,A354)&gt;0,COUNTIF(Kendaraan!A:A,A354)&gt;0)</f>
        <v>1</v>
      </c>
    </row>
    <row r="355" spans="1:9" x14ac:dyDescent="0.45">
      <c r="A355" s="4">
        <v>45764</v>
      </c>
      <c r="B355" t="s">
        <v>1429</v>
      </c>
      <c r="C355" t="s">
        <v>2770</v>
      </c>
      <c r="D355" t="s">
        <v>2723</v>
      </c>
      <c r="E355" t="s">
        <v>1495</v>
      </c>
      <c r="F355" t="s">
        <v>1588</v>
      </c>
      <c r="G355" t="s">
        <v>177</v>
      </c>
      <c r="H355">
        <v>4</v>
      </c>
      <c r="I355" t="b">
        <f>AND(COUNTIF(CO!A:A,A355)&gt;0,COUNTIF('NO2'!A:A,A355)&gt;0,COUNTIF('PM10'!A:A,A355)&gt;0,COUNTIF('PM2.5'!A:A,A355)&gt;0,COUNTIF('SO2'!A:A,A355)&gt;0,COUNTIF(Kendaraan!A:A,A355)&gt;0)</f>
        <v>1</v>
      </c>
    </row>
    <row r="356" spans="1:9" x14ac:dyDescent="0.45">
      <c r="A356" s="4">
        <v>45765</v>
      </c>
      <c r="B356" t="s">
        <v>2389</v>
      </c>
      <c r="C356" t="s">
        <v>2768</v>
      </c>
      <c r="D356" t="s">
        <v>367</v>
      </c>
      <c r="E356" t="s">
        <v>2389</v>
      </c>
      <c r="F356" t="s">
        <v>1718</v>
      </c>
      <c r="G356" t="s">
        <v>2954</v>
      </c>
      <c r="H356">
        <v>24</v>
      </c>
      <c r="I356" t="b">
        <f>AND(COUNTIF(CO!A:A,A356)&gt;0,COUNTIF('NO2'!A:A,A356)&gt;0,COUNTIF('PM10'!A:A,A356)&gt;0,COUNTIF('PM2.5'!A:A,A356)&gt;0,COUNTIF('SO2'!A:A,A356)&gt;0,COUNTIF(Kendaraan!A:A,A356)&gt;0)</f>
        <v>1</v>
      </c>
    </row>
    <row r="357" spans="1:9" x14ac:dyDescent="0.45">
      <c r="A357" s="4">
        <v>45766</v>
      </c>
      <c r="B357" t="s">
        <v>2399</v>
      </c>
      <c r="C357" t="s">
        <v>1136</v>
      </c>
      <c r="D357" t="s">
        <v>1073</v>
      </c>
      <c r="E357" t="s">
        <v>1692</v>
      </c>
      <c r="F357">
        <v>16</v>
      </c>
      <c r="G357" t="s">
        <v>2955</v>
      </c>
      <c r="H357">
        <v>21</v>
      </c>
      <c r="I357" t="b">
        <f>AND(COUNTIF(CO!A:A,A357)&gt;0,COUNTIF('NO2'!A:A,A357)&gt;0,COUNTIF('PM10'!A:A,A357)&gt;0,COUNTIF('PM2.5'!A:A,A357)&gt;0,COUNTIF('SO2'!A:A,A357)&gt;0,COUNTIF(Kendaraan!A:A,A357)&gt;0)</f>
        <v>1</v>
      </c>
    </row>
    <row r="358" spans="1:9" x14ac:dyDescent="0.45">
      <c r="A358" s="4">
        <v>45767</v>
      </c>
      <c r="B358" t="s">
        <v>2605</v>
      </c>
      <c r="C358" t="s">
        <v>1128</v>
      </c>
      <c r="D358" t="s">
        <v>1075</v>
      </c>
      <c r="E358" t="s">
        <v>1078</v>
      </c>
      <c r="F358" t="s">
        <v>2956</v>
      </c>
      <c r="G358" t="s">
        <v>2957</v>
      </c>
      <c r="H358">
        <v>24</v>
      </c>
      <c r="I358" t="b">
        <f>AND(COUNTIF(CO!A:A,A358)&gt;0,COUNTIF('NO2'!A:A,A358)&gt;0,COUNTIF('PM10'!A:A,A358)&gt;0,COUNTIF('PM2.5'!A:A,A358)&gt;0,COUNTIF('SO2'!A:A,A358)&gt;0,COUNTIF(Kendaraan!A:A,A358)&gt;0)</f>
        <v>1</v>
      </c>
    </row>
    <row r="359" spans="1:9" x14ac:dyDescent="0.45">
      <c r="A359" s="4">
        <v>45768</v>
      </c>
      <c r="B359" t="s">
        <v>1759</v>
      </c>
      <c r="C359" t="s">
        <v>1109</v>
      </c>
      <c r="D359" t="s">
        <v>2761</v>
      </c>
      <c r="E359" t="s">
        <v>2958</v>
      </c>
      <c r="F359" t="s">
        <v>1084</v>
      </c>
      <c r="G359" t="s">
        <v>1189</v>
      </c>
      <c r="H359">
        <v>24</v>
      </c>
      <c r="I359" t="b">
        <f>AND(COUNTIF(CO!A:A,A359)&gt;0,COUNTIF('NO2'!A:A,A359)&gt;0,COUNTIF('PM10'!A:A,A359)&gt;0,COUNTIF('PM2.5'!A:A,A359)&gt;0,COUNTIF('SO2'!A:A,A359)&gt;0,COUNTIF(Kendaraan!A:A,A359)&gt;0)</f>
        <v>1</v>
      </c>
    </row>
    <row r="360" spans="1:9" x14ac:dyDescent="0.45">
      <c r="A360" s="4">
        <v>45769</v>
      </c>
      <c r="B360" t="s">
        <v>1941</v>
      </c>
      <c r="C360" t="s">
        <v>2770</v>
      </c>
      <c r="D360" t="s">
        <v>1371</v>
      </c>
      <c r="E360" t="s">
        <v>2774</v>
      </c>
      <c r="F360" t="s">
        <v>2733</v>
      </c>
      <c r="G360" t="s">
        <v>292</v>
      </c>
      <c r="H360">
        <v>24</v>
      </c>
      <c r="I360" t="b">
        <f>AND(COUNTIF(CO!A:A,A360)&gt;0,COUNTIF('NO2'!A:A,A360)&gt;0,COUNTIF('PM10'!A:A,A360)&gt;0,COUNTIF('PM2.5'!A:A,A360)&gt;0,COUNTIF('SO2'!A:A,A360)&gt;0,COUNTIF(Kendaraan!A:A,A360)&gt;0)</f>
        <v>1</v>
      </c>
    </row>
    <row r="361" spans="1:9" x14ac:dyDescent="0.45">
      <c r="A361" s="4">
        <v>45770</v>
      </c>
      <c r="B361" t="s">
        <v>1649</v>
      </c>
      <c r="C361" t="s">
        <v>1734</v>
      </c>
      <c r="D361" t="s">
        <v>2959</v>
      </c>
      <c r="E361" t="s">
        <v>1718</v>
      </c>
      <c r="F361" t="s">
        <v>1357</v>
      </c>
      <c r="G361" t="s">
        <v>73</v>
      </c>
      <c r="H361">
        <v>24</v>
      </c>
      <c r="I361" t="b">
        <f>AND(COUNTIF(CO!A:A,A361)&gt;0,COUNTIF('NO2'!A:A,A361)&gt;0,COUNTIF('PM10'!A:A,A361)&gt;0,COUNTIF('PM2.5'!A:A,A361)&gt;0,COUNTIF('SO2'!A:A,A361)&gt;0,COUNTIF(Kendaraan!A:A,A361)&gt;0)</f>
        <v>1</v>
      </c>
    </row>
    <row r="362" spans="1:9" x14ac:dyDescent="0.45">
      <c r="A362" s="4">
        <v>45771</v>
      </c>
      <c r="B362" t="s">
        <v>2960</v>
      </c>
      <c r="C362" t="s">
        <v>367</v>
      </c>
      <c r="D362" t="s">
        <v>2389</v>
      </c>
      <c r="E362" t="s">
        <v>1317</v>
      </c>
      <c r="F362" t="s">
        <v>1720</v>
      </c>
      <c r="G362" t="s">
        <v>194</v>
      </c>
      <c r="H362">
        <v>24</v>
      </c>
      <c r="I362" t="b">
        <f>AND(COUNTIF(CO!A:A,A362)&gt;0,COUNTIF('NO2'!A:A,A362)&gt;0,COUNTIF('PM10'!A:A,A362)&gt;0,COUNTIF('PM2.5'!A:A,A362)&gt;0,COUNTIF('SO2'!A:A,A362)&gt;0,COUNTIF(Kendaraan!A:A,A362)&gt;0)</f>
        <v>1</v>
      </c>
    </row>
    <row r="363" spans="1:9" x14ac:dyDescent="0.45">
      <c r="A363" s="4">
        <v>45772</v>
      </c>
      <c r="B363" t="s">
        <v>1354</v>
      </c>
      <c r="C363" t="s">
        <v>1718</v>
      </c>
      <c r="D363" t="s">
        <v>1649</v>
      </c>
      <c r="E363" t="s">
        <v>367</v>
      </c>
      <c r="F363" t="s">
        <v>1649</v>
      </c>
      <c r="G363" t="s">
        <v>180</v>
      </c>
      <c r="H363">
        <v>24</v>
      </c>
      <c r="I363" t="b">
        <f>AND(COUNTIF(CO!A:A,A363)&gt;0,COUNTIF('NO2'!A:A,A363)&gt;0,COUNTIF('PM10'!A:A,A363)&gt;0,COUNTIF('PM2.5'!A:A,A363)&gt;0,COUNTIF('SO2'!A:A,A363)&gt;0,COUNTIF(Kendaraan!A:A,A363)&gt;0)</f>
        <v>1</v>
      </c>
    </row>
    <row r="364" spans="1:9" x14ac:dyDescent="0.45">
      <c r="A364" s="4">
        <v>45773</v>
      </c>
      <c r="B364" t="s">
        <v>1720</v>
      </c>
      <c r="C364" t="s">
        <v>940</v>
      </c>
      <c r="D364" t="s">
        <v>1718</v>
      </c>
      <c r="E364" t="s">
        <v>2961</v>
      </c>
      <c r="F364" t="s">
        <v>2399</v>
      </c>
      <c r="G364" t="s">
        <v>72</v>
      </c>
      <c r="H364">
        <v>24</v>
      </c>
      <c r="I364" t="b">
        <f>AND(COUNTIF(CO!A:A,A364)&gt;0,COUNTIF('NO2'!A:A,A364)&gt;0,COUNTIF('PM10'!A:A,A364)&gt;0,COUNTIF('PM2.5'!A:A,A364)&gt;0,COUNTIF('SO2'!A:A,A364)&gt;0,COUNTIF(Kendaraan!A:A,A364)&gt;0)</f>
        <v>1</v>
      </c>
    </row>
    <row r="365" spans="1:9" x14ac:dyDescent="0.45">
      <c r="A365" s="4">
        <v>45774</v>
      </c>
      <c r="B365" t="s">
        <v>2960</v>
      </c>
      <c r="C365" t="s">
        <v>1805</v>
      </c>
      <c r="D365" t="s">
        <v>2389</v>
      </c>
      <c r="E365" t="s">
        <v>1317</v>
      </c>
      <c r="F365" t="s">
        <v>2962</v>
      </c>
      <c r="G365" t="s">
        <v>220</v>
      </c>
      <c r="H365">
        <v>24</v>
      </c>
      <c r="I365" t="b">
        <f>AND(COUNTIF(CO!A:A,A365)&gt;0,COUNTIF('NO2'!A:A,A365)&gt;0,COUNTIF('PM10'!A:A,A365)&gt;0,COUNTIF('PM2.5'!A:A,A365)&gt;0,COUNTIF('SO2'!A:A,A365)&gt;0,COUNTIF(Kendaraan!A:A,A365)&gt;0)</f>
        <v>1</v>
      </c>
    </row>
    <row r="366" spans="1:9" x14ac:dyDescent="0.45">
      <c r="A366" s="4">
        <v>45775</v>
      </c>
      <c r="B366" t="s">
        <v>2960</v>
      </c>
      <c r="C366" t="s">
        <v>2397</v>
      </c>
      <c r="D366" t="s">
        <v>367</v>
      </c>
      <c r="E366" t="s">
        <v>1354</v>
      </c>
      <c r="F366" t="s">
        <v>1778</v>
      </c>
      <c r="G366" t="s">
        <v>78</v>
      </c>
      <c r="H366">
        <v>24</v>
      </c>
      <c r="I366" t="b">
        <f>AND(COUNTIF(CO!A:A,A366)&gt;0,COUNTIF('NO2'!A:A,A366)&gt;0,COUNTIF('PM10'!A:A,A366)&gt;0,COUNTIF('PM2.5'!A:A,A366)&gt;0,COUNTIF('SO2'!A:A,A366)&gt;0,COUNTIF(Kendaraan!A:A,A366)&gt;0)</f>
        <v>1</v>
      </c>
    </row>
    <row r="367" spans="1:9" x14ac:dyDescent="0.45">
      <c r="A367" s="4">
        <v>45776</v>
      </c>
      <c r="B367" t="s">
        <v>2389</v>
      </c>
      <c r="C367" t="s">
        <v>2735</v>
      </c>
      <c r="D367" t="s">
        <v>2730</v>
      </c>
      <c r="E367" t="s">
        <v>1744</v>
      </c>
      <c r="F367" t="s">
        <v>1964</v>
      </c>
      <c r="G367" t="s">
        <v>1369</v>
      </c>
      <c r="H367">
        <v>24</v>
      </c>
      <c r="I367" t="b">
        <f>AND(COUNTIF(CO!A:A,A367)&gt;0,COUNTIF('NO2'!A:A,A367)&gt;0,COUNTIF('PM10'!A:A,A367)&gt;0,COUNTIF('PM2.5'!A:A,A367)&gt;0,COUNTIF('SO2'!A:A,A367)&gt;0,COUNTIF(Kendaraan!A:A,A367)&gt;0)</f>
        <v>1</v>
      </c>
    </row>
    <row r="368" spans="1:9" x14ac:dyDescent="0.45">
      <c r="A368" s="4">
        <v>45777</v>
      </c>
      <c r="B368" t="s">
        <v>2720</v>
      </c>
      <c r="C368" t="s">
        <v>2724</v>
      </c>
      <c r="D368" t="s">
        <v>1655</v>
      </c>
      <c r="E368" t="s">
        <v>1732</v>
      </c>
      <c r="F368" t="s">
        <v>2963</v>
      </c>
      <c r="G368" t="s">
        <v>275</v>
      </c>
      <c r="H368">
        <v>24</v>
      </c>
      <c r="I368" t="b">
        <f>AND(COUNTIF(CO!A:A,A368)&gt;0,COUNTIF('NO2'!A:A,A368)&gt;0,COUNTIF('PM10'!A:A,A368)&gt;0,COUNTIF('PM2.5'!A:A,A368)&gt;0,COUNTIF('SO2'!A:A,A368)&gt;0,COUNTIF(Kendaraan!A:A,A368)&gt;0)</f>
        <v>1</v>
      </c>
    </row>
    <row r="369" spans="1:9" x14ac:dyDescent="0.45">
      <c r="A369" s="4">
        <v>45778</v>
      </c>
      <c r="B369" t="s">
        <v>1941</v>
      </c>
      <c r="C369" t="s">
        <v>1657</v>
      </c>
      <c r="D369" t="s">
        <v>1370</v>
      </c>
      <c r="E369" t="s">
        <v>1941</v>
      </c>
      <c r="F369" t="s">
        <v>1372</v>
      </c>
      <c r="G369" t="s">
        <v>91</v>
      </c>
      <c r="H369">
        <v>7</v>
      </c>
      <c r="I369" t="b">
        <f>AND(COUNTIF(CO!A:A,A369)&gt;0,COUNTIF('NO2'!A:A,A369)&gt;0,COUNTIF('PM10'!A:A,A369)&gt;0,COUNTIF('PM2.5'!A:A,A369)&gt;0,COUNTIF('SO2'!A:A,A369)&gt;0,COUNTIF(Kendaraan!A:A,A369)&gt;0)</f>
        <v>1</v>
      </c>
    </row>
    <row r="370" spans="1:9" x14ac:dyDescent="0.45">
      <c r="A370" s="4">
        <v>45779</v>
      </c>
      <c r="B370" t="s">
        <v>2964</v>
      </c>
      <c r="C370" t="s">
        <v>1260</v>
      </c>
      <c r="D370" t="s">
        <v>429</v>
      </c>
      <c r="E370" t="s">
        <v>1442</v>
      </c>
      <c r="F370" t="s">
        <v>428</v>
      </c>
      <c r="G370" t="s">
        <v>266</v>
      </c>
      <c r="H370">
        <v>4</v>
      </c>
      <c r="I370" t="b">
        <f>AND(COUNTIF(CO!A:A,A370)&gt;0,COUNTIF('NO2'!A:A,A370)&gt;0,COUNTIF('PM10'!A:A,A370)&gt;0,COUNTIF('PM2.5'!A:A,A370)&gt;0,COUNTIF('SO2'!A:A,A370)&gt;0,COUNTIF(Kendaraan!A:A,A370)&gt;0)</f>
        <v>1</v>
      </c>
    </row>
    <row r="371" spans="1:9" x14ac:dyDescent="0.45">
      <c r="A371" s="4">
        <v>45780</v>
      </c>
      <c r="B371" t="s">
        <v>913</v>
      </c>
      <c r="C371" t="s">
        <v>895</v>
      </c>
      <c r="D371" t="s">
        <v>445</v>
      </c>
      <c r="E371" t="s">
        <v>1670</v>
      </c>
      <c r="F371" t="s">
        <v>437</v>
      </c>
      <c r="G371" t="s">
        <v>211</v>
      </c>
      <c r="H371">
        <v>20</v>
      </c>
      <c r="I371" t="b">
        <f>AND(COUNTIF(CO!A:A,A371)&gt;0,COUNTIF('NO2'!A:A,A371)&gt;0,COUNTIF('PM10'!A:A,A371)&gt;0,COUNTIF('PM2.5'!A:A,A371)&gt;0,COUNTIF('SO2'!A:A,A371)&gt;0,COUNTIF(Kendaraan!A:A,A371)&gt;0)</f>
        <v>1</v>
      </c>
    </row>
    <row r="372" spans="1:9" x14ac:dyDescent="0.45">
      <c r="A372" s="4">
        <v>45781</v>
      </c>
      <c r="B372" t="s">
        <v>868</v>
      </c>
      <c r="C372" t="s">
        <v>863</v>
      </c>
      <c r="D372" t="s">
        <v>916</v>
      </c>
      <c r="E372" t="s">
        <v>2965</v>
      </c>
      <c r="F372" t="s">
        <v>877</v>
      </c>
      <c r="G372" t="s">
        <v>284</v>
      </c>
      <c r="H372">
        <v>24</v>
      </c>
      <c r="I372" t="b">
        <f>AND(COUNTIF(CO!A:A,A372)&gt;0,COUNTIF('NO2'!A:A,A372)&gt;0,COUNTIF('PM10'!A:A,A372)&gt;0,COUNTIF('PM2.5'!A:A,A372)&gt;0,COUNTIF('SO2'!A:A,A372)&gt;0,COUNTIF(Kendaraan!A:A,A372)&gt;0)</f>
        <v>1</v>
      </c>
    </row>
    <row r="373" spans="1:9" x14ac:dyDescent="0.45">
      <c r="A373" s="4">
        <v>45782</v>
      </c>
      <c r="B373" t="s">
        <v>1485</v>
      </c>
      <c r="C373" t="s">
        <v>2966</v>
      </c>
      <c r="D373" t="s">
        <v>1244</v>
      </c>
      <c r="E373" t="s">
        <v>445</v>
      </c>
      <c r="F373" t="s">
        <v>490</v>
      </c>
      <c r="G373" s="1">
        <v>2524</v>
      </c>
      <c r="H373">
        <v>24</v>
      </c>
      <c r="I373" t="b">
        <f>AND(COUNTIF(CO!A:A,A373)&gt;0,COUNTIF('NO2'!A:A,A373)&gt;0,COUNTIF('PM10'!A:A,A373)&gt;0,COUNTIF('PM2.5'!A:A,A373)&gt;0,COUNTIF('SO2'!A:A,A373)&gt;0,COUNTIF(Kendaraan!A:A,A373)&gt;0)</f>
        <v>1</v>
      </c>
    </row>
    <row r="374" spans="1:9" x14ac:dyDescent="0.45">
      <c r="A374" s="4">
        <v>45783</v>
      </c>
      <c r="B374" t="s">
        <v>571</v>
      </c>
      <c r="C374" t="s">
        <v>2967</v>
      </c>
      <c r="D374" t="s">
        <v>2968</v>
      </c>
      <c r="E374" t="s">
        <v>526</v>
      </c>
      <c r="F374" t="s">
        <v>845</v>
      </c>
      <c r="G374" t="s">
        <v>1072</v>
      </c>
      <c r="H374">
        <v>24</v>
      </c>
      <c r="I374" t="b">
        <f>AND(COUNTIF(CO!A:A,A374)&gt;0,COUNTIF('NO2'!A:A,A374)&gt;0,COUNTIF('PM10'!A:A,A374)&gt;0,COUNTIF('PM2.5'!A:A,A374)&gt;0,COUNTIF('SO2'!A:A,A374)&gt;0,COUNTIF(Kendaraan!A:A,A374)&gt;0)</f>
        <v>1</v>
      </c>
    </row>
    <row r="375" spans="1:9" x14ac:dyDescent="0.45">
      <c r="A375" s="4">
        <v>45784</v>
      </c>
      <c r="B375" t="s">
        <v>1406</v>
      </c>
      <c r="C375" t="s">
        <v>2969</v>
      </c>
      <c r="D375" t="s">
        <v>2970</v>
      </c>
      <c r="E375" t="s">
        <v>1993</v>
      </c>
      <c r="F375">
        <v>28</v>
      </c>
      <c r="G375" s="1">
        <v>1803</v>
      </c>
      <c r="H375">
        <v>24</v>
      </c>
      <c r="I375" t="b">
        <f>AND(COUNTIF(CO!A:A,A375)&gt;0,COUNTIF('NO2'!A:A,A375)&gt;0,COUNTIF('PM10'!A:A,A375)&gt;0,COUNTIF('PM2.5'!A:A,A375)&gt;0,COUNTIF('SO2'!A:A,A375)&gt;0,COUNTIF(Kendaraan!A:A,A375)&gt;0)</f>
        <v>1</v>
      </c>
    </row>
    <row r="376" spans="1:9" x14ac:dyDescent="0.45">
      <c r="A376" s="4">
        <v>45785</v>
      </c>
      <c r="B376" t="s">
        <v>2971</v>
      </c>
      <c r="C376" t="s">
        <v>1259</v>
      </c>
      <c r="D376" t="s">
        <v>1995</v>
      </c>
      <c r="E376" t="s">
        <v>2972</v>
      </c>
      <c r="F376" t="s">
        <v>498</v>
      </c>
      <c r="G376" t="s">
        <v>2973</v>
      </c>
      <c r="H376">
        <v>24</v>
      </c>
      <c r="I376" t="b">
        <f>AND(COUNTIF(CO!A:A,A376)&gt;0,COUNTIF('NO2'!A:A,A376)&gt;0,COUNTIF('PM10'!A:A,A376)&gt;0,COUNTIF('PM2.5'!A:A,A376)&gt;0,COUNTIF('SO2'!A:A,A376)&gt;0,COUNTIF(Kendaraan!A:A,A376)&gt;0)</f>
        <v>1</v>
      </c>
    </row>
    <row r="377" spans="1:9" x14ac:dyDescent="0.45">
      <c r="A377" s="4">
        <v>45786</v>
      </c>
      <c r="B377" t="s">
        <v>1391</v>
      </c>
      <c r="C377" t="s">
        <v>2974</v>
      </c>
      <c r="D377" t="s">
        <v>2975</v>
      </c>
      <c r="E377" t="s">
        <v>2976</v>
      </c>
      <c r="F377" t="s">
        <v>2977</v>
      </c>
      <c r="G377" s="1">
        <v>2865</v>
      </c>
      <c r="H377">
        <v>24</v>
      </c>
      <c r="I377" t="b">
        <f>AND(COUNTIF(CO!A:A,A377)&gt;0,COUNTIF('NO2'!A:A,A377)&gt;0,COUNTIF('PM10'!A:A,A377)&gt;0,COUNTIF('PM2.5'!A:A,A377)&gt;0,COUNTIF('SO2'!A:A,A377)&gt;0,COUNTIF(Kendaraan!A:A,A377)&gt;0)</f>
        <v>1</v>
      </c>
    </row>
    <row r="378" spans="1:9" x14ac:dyDescent="0.45">
      <c r="A378" s="4">
        <v>45787</v>
      </c>
      <c r="B378" t="s">
        <v>2978</v>
      </c>
      <c r="C378" t="s">
        <v>2979</v>
      </c>
      <c r="D378" t="s">
        <v>2862</v>
      </c>
      <c r="E378" t="s">
        <v>2980</v>
      </c>
      <c r="F378" t="s">
        <v>2981</v>
      </c>
      <c r="G378" s="1">
        <v>1486</v>
      </c>
      <c r="H378">
        <v>24</v>
      </c>
      <c r="I378" t="b">
        <f>AND(COUNTIF(CO!A:A,A378)&gt;0,COUNTIF('NO2'!A:A,A378)&gt;0,COUNTIF('PM10'!A:A,A378)&gt;0,COUNTIF('PM2.5'!A:A,A378)&gt;0,COUNTIF('SO2'!A:A,A378)&gt;0,COUNTIF(Kendaraan!A:A,A378)&gt;0)</f>
        <v>1</v>
      </c>
    </row>
    <row r="379" spans="1:9" x14ac:dyDescent="0.45">
      <c r="A379" s="4">
        <v>45788</v>
      </c>
      <c r="B379" t="s">
        <v>2982</v>
      </c>
      <c r="C379" t="s">
        <v>2933</v>
      </c>
      <c r="D379" t="s">
        <v>2983</v>
      </c>
      <c r="E379" t="s">
        <v>2984</v>
      </c>
      <c r="F379" t="s">
        <v>2985</v>
      </c>
      <c r="G379" t="s">
        <v>2986</v>
      </c>
      <c r="H379">
        <v>24</v>
      </c>
      <c r="I379" t="b">
        <f>AND(COUNTIF(CO!A:A,A379)&gt;0,COUNTIF('NO2'!A:A,A379)&gt;0,COUNTIF('PM10'!A:A,A379)&gt;0,COUNTIF('PM2.5'!A:A,A379)&gt;0,COUNTIF('SO2'!A:A,A379)&gt;0,COUNTIF(Kendaraan!A:A,A379)&gt;0)</f>
        <v>1</v>
      </c>
    </row>
    <row r="380" spans="1:9" x14ac:dyDescent="0.45">
      <c r="A380" s="4">
        <v>45789</v>
      </c>
      <c r="B380" t="s">
        <v>1455</v>
      </c>
      <c r="C380" t="s">
        <v>2987</v>
      </c>
      <c r="D380" t="s">
        <v>2180</v>
      </c>
      <c r="E380" t="s">
        <v>2017</v>
      </c>
      <c r="F380" t="s">
        <v>2988</v>
      </c>
      <c r="G380" s="1">
        <v>9008</v>
      </c>
      <c r="H380">
        <v>24</v>
      </c>
      <c r="I380" t="b">
        <f>AND(COUNTIF(CO!A:A,A380)&gt;0,COUNTIF('NO2'!A:A,A380)&gt;0,COUNTIF('PM10'!A:A,A380)&gt;0,COUNTIF('PM2.5'!A:A,A380)&gt;0,COUNTIF('SO2'!A:A,A380)&gt;0,COUNTIF(Kendaraan!A:A,A380)&gt;0)</f>
        <v>1</v>
      </c>
    </row>
    <row r="381" spans="1:9" x14ac:dyDescent="0.45">
      <c r="A381" s="4">
        <v>45790</v>
      </c>
      <c r="B381" t="s">
        <v>1455</v>
      </c>
      <c r="C381" t="s">
        <v>2252</v>
      </c>
      <c r="D381" t="s">
        <v>1197</v>
      </c>
      <c r="E381" t="s">
        <v>1455</v>
      </c>
      <c r="F381" t="s">
        <v>2819</v>
      </c>
      <c r="G381" s="1">
        <v>6124</v>
      </c>
      <c r="H381">
        <v>24</v>
      </c>
      <c r="I381" t="b">
        <f>AND(COUNTIF(CO!A:A,A381)&gt;0,COUNTIF('NO2'!A:A,A381)&gt;0,COUNTIF('PM10'!A:A,A381)&gt;0,COUNTIF('PM2.5'!A:A,A381)&gt;0,COUNTIF('SO2'!A:A,A381)&gt;0,COUNTIF(Kendaraan!A:A,A381)&gt;0)</f>
        <v>1</v>
      </c>
    </row>
    <row r="382" spans="1:9" x14ac:dyDescent="0.45">
      <c r="A382" s="4">
        <v>45791</v>
      </c>
      <c r="B382" t="s">
        <v>1136</v>
      </c>
      <c r="C382" t="s">
        <v>2989</v>
      </c>
      <c r="D382" t="s">
        <v>438</v>
      </c>
      <c r="E382">
        <v>19</v>
      </c>
      <c r="F382" t="s">
        <v>856</v>
      </c>
      <c r="G382" s="1">
        <v>5752</v>
      </c>
      <c r="H382">
        <v>24</v>
      </c>
      <c r="I382" t="b">
        <f>AND(COUNTIF(CO!A:A,A382)&gt;0,COUNTIF('NO2'!A:A,A382)&gt;0,COUNTIF('PM10'!A:A,A382)&gt;0,COUNTIF('PM2.5'!A:A,A382)&gt;0,COUNTIF('SO2'!A:A,A382)&gt;0,COUNTIF(Kendaraan!A:A,A382)&gt;0)</f>
        <v>1</v>
      </c>
    </row>
    <row r="383" spans="1:9" x14ac:dyDescent="0.45">
      <c r="A383" s="4">
        <v>45792</v>
      </c>
      <c r="B383" t="s">
        <v>2726</v>
      </c>
      <c r="C383" t="s">
        <v>2990</v>
      </c>
      <c r="D383" t="s">
        <v>1578</v>
      </c>
      <c r="E383">
        <v>15</v>
      </c>
      <c r="F383" t="s">
        <v>1067</v>
      </c>
      <c r="G383" s="1">
        <v>1182</v>
      </c>
      <c r="H383">
        <v>23</v>
      </c>
      <c r="I383" t="b">
        <f>AND(COUNTIF(CO!A:A,A383)&gt;0,COUNTIF('NO2'!A:A,A383)&gt;0,COUNTIF('PM10'!A:A,A383)&gt;0,COUNTIF('PM2.5'!A:A,A383)&gt;0,COUNTIF('SO2'!A:A,A383)&gt;0,COUNTIF(Kendaraan!A:A,A383)&gt;0)</f>
        <v>1</v>
      </c>
    </row>
    <row r="384" spans="1:9" x14ac:dyDescent="0.45">
      <c r="A384" s="4">
        <v>45793</v>
      </c>
      <c r="B384" t="s">
        <v>1724</v>
      </c>
      <c r="C384" t="s">
        <v>1956</v>
      </c>
      <c r="D384" t="s">
        <v>1779</v>
      </c>
      <c r="E384" t="s">
        <v>1749</v>
      </c>
      <c r="F384" t="s">
        <v>1329</v>
      </c>
      <c r="G384" t="s">
        <v>2991</v>
      </c>
      <c r="H384">
        <v>24</v>
      </c>
      <c r="I384" t="b">
        <f>AND(COUNTIF(CO!A:A,A384)&gt;0,COUNTIF('NO2'!A:A,A384)&gt;0,COUNTIF('PM10'!A:A,A384)&gt;0,COUNTIF('PM2.5'!A:A,A384)&gt;0,COUNTIF('SO2'!A:A,A384)&gt;0,COUNTIF(Kendaraan!A:A,A384)&gt;0)</f>
        <v>1</v>
      </c>
    </row>
    <row r="385" spans="1:9" x14ac:dyDescent="0.45">
      <c r="A385" s="4">
        <v>45794</v>
      </c>
      <c r="B385" t="s">
        <v>1048</v>
      </c>
      <c r="C385" t="s">
        <v>1790</v>
      </c>
      <c r="D385" t="s">
        <v>2992</v>
      </c>
      <c r="E385" t="s">
        <v>2993</v>
      </c>
      <c r="F385" t="s">
        <v>2994</v>
      </c>
      <c r="G385" t="s">
        <v>14</v>
      </c>
      <c r="H385">
        <v>24</v>
      </c>
      <c r="I385" t="b">
        <f>AND(COUNTIF(CO!A:A,A385)&gt;0,COUNTIF('NO2'!A:A,A385)&gt;0,COUNTIF('PM10'!A:A,A385)&gt;0,COUNTIF('PM2.5'!A:A,A385)&gt;0,COUNTIF('SO2'!A:A,A385)&gt;0,COUNTIF(Kendaraan!A:A,A385)&gt;0)</f>
        <v>1</v>
      </c>
    </row>
    <row r="386" spans="1:9" x14ac:dyDescent="0.45">
      <c r="A386" s="4">
        <v>45795</v>
      </c>
      <c r="B386">
        <v>5</v>
      </c>
      <c r="C386" t="s">
        <v>733</v>
      </c>
      <c r="D386" t="s">
        <v>2995</v>
      </c>
      <c r="E386" t="s">
        <v>2996</v>
      </c>
      <c r="F386" t="s">
        <v>1833</v>
      </c>
      <c r="G386" s="1">
        <v>1609</v>
      </c>
      <c r="H386">
        <v>24</v>
      </c>
      <c r="I386" t="b">
        <f>AND(COUNTIF(CO!A:A,A386)&gt;0,COUNTIF('NO2'!A:A,A386)&gt;0,COUNTIF('PM10'!A:A,A386)&gt;0,COUNTIF('PM2.5'!A:A,A386)&gt;0,COUNTIF('SO2'!A:A,A386)&gt;0,COUNTIF(Kendaraan!A:A,A386)&gt;0)</f>
        <v>1</v>
      </c>
    </row>
    <row r="387" spans="1:9" x14ac:dyDescent="0.45">
      <c r="A387" s="4">
        <v>45796</v>
      </c>
      <c r="B387">
        <v>5</v>
      </c>
      <c r="C387" t="s">
        <v>2997</v>
      </c>
      <c r="D387" t="s">
        <v>1120</v>
      </c>
      <c r="E387" t="s">
        <v>1795</v>
      </c>
      <c r="F387" t="s">
        <v>2857</v>
      </c>
      <c r="G387" s="1">
        <v>19681</v>
      </c>
      <c r="H387">
        <v>24</v>
      </c>
      <c r="I387" t="b">
        <f>AND(COUNTIF(CO!A:A,A387)&gt;0,COUNTIF('NO2'!A:A,A387)&gt;0,COUNTIF('PM10'!A:A,A387)&gt;0,COUNTIF('PM2.5'!A:A,A387)&gt;0,COUNTIF('SO2'!A:A,A387)&gt;0,COUNTIF(Kendaraan!A:A,A387)&gt;0)</f>
        <v>1</v>
      </c>
    </row>
    <row r="388" spans="1:9" x14ac:dyDescent="0.45">
      <c r="A388" s="4">
        <v>45797</v>
      </c>
      <c r="B388" t="s">
        <v>2998</v>
      </c>
      <c r="C388" t="s">
        <v>2999</v>
      </c>
      <c r="D388" t="s">
        <v>3000</v>
      </c>
      <c r="E388">
        <v>97</v>
      </c>
      <c r="F388" t="s">
        <v>3001</v>
      </c>
      <c r="G388" s="1">
        <v>19869</v>
      </c>
      <c r="H388">
        <v>24</v>
      </c>
      <c r="I388" t="b">
        <f>AND(COUNTIF(CO!A:A,A388)&gt;0,COUNTIF('NO2'!A:A,A388)&gt;0,COUNTIF('PM10'!A:A,A388)&gt;0,COUNTIF('PM2.5'!A:A,A388)&gt;0,COUNTIF('SO2'!A:A,A388)&gt;0,COUNTIF(Kendaraan!A:A,A388)&gt;0)</f>
        <v>1</v>
      </c>
    </row>
    <row r="389" spans="1:9" x14ac:dyDescent="0.45">
      <c r="A389" s="4">
        <v>45798</v>
      </c>
      <c r="B389" t="s">
        <v>2682</v>
      </c>
      <c r="C389" t="s">
        <v>3002</v>
      </c>
      <c r="D389" t="s">
        <v>3003</v>
      </c>
      <c r="E389" t="s">
        <v>317</v>
      </c>
      <c r="F389" t="s">
        <v>3004</v>
      </c>
      <c r="G389" t="s">
        <v>1699</v>
      </c>
      <c r="H389">
        <v>24</v>
      </c>
      <c r="I389" t="b">
        <f>AND(COUNTIF(CO!A:A,A389)&gt;0,COUNTIF('NO2'!A:A,A389)&gt;0,COUNTIF('PM10'!A:A,A389)&gt;0,COUNTIF('PM2.5'!A:A,A389)&gt;0,COUNTIF('SO2'!A:A,A389)&gt;0,COUNTIF(Kendaraan!A:A,A389)&gt;0)</f>
        <v>1</v>
      </c>
    </row>
    <row r="390" spans="1:9" x14ac:dyDescent="0.45">
      <c r="A390" s="4">
        <v>45799</v>
      </c>
      <c r="B390" t="s">
        <v>3005</v>
      </c>
      <c r="C390" t="s">
        <v>3006</v>
      </c>
      <c r="D390" t="s">
        <v>3007</v>
      </c>
      <c r="E390" t="s">
        <v>3008</v>
      </c>
      <c r="F390" t="s">
        <v>3009</v>
      </c>
      <c r="G390" s="1">
        <v>11441</v>
      </c>
      <c r="H390">
        <v>24</v>
      </c>
      <c r="I390" t="b">
        <f>AND(COUNTIF(CO!A:A,A390)&gt;0,COUNTIF('NO2'!A:A,A390)&gt;0,COUNTIF('PM10'!A:A,A390)&gt;0,COUNTIF('PM2.5'!A:A,A390)&gt;0,COUNTIF('SO2'!A:A,A390)&gt;0,COUNTIF(Kendaraan!A:A,A390)&gt;0)</f>
        <v>1</v>
      </c>
    </row>
    <row r="391" spans="1:9" x14ac:dyDescent="0.45">
      <c r="A391" s="4">
        <v>45800</v>
      </c>
      <c r="B391" t="s">
        <v>3010</v>
      </c>
      <c r="C391" t="s">
        <v>2426</v>
      </c>
      <c r="D391" t="s">
        <v>3011</v>
      </c>
      <c r="E391" t="s">
        <v>3012</v>
      </c>
      <c r="F391" t="s">
        <v>3013</v>
      </c>
      <c r="G391" s="1">
        <v>1459</v>
      </c>
      <c r="H391">
        <v>24</v>
      </c>
      <c r="I391" t="b">
        <f>AND(COUNTIF(CO!A:A,A391)&gt;0,COUNTIF('NO2'!A:A,A391)&gt;0,COUNTIF('PM10'!A:A,A391)&gt;0,COUNTIF('PM2.5'!A:A,A391)&gt;0,COUNTIF('SO2'!A:A,A391)&gt;0,COUNTIF(Kendaraan!A:A,A391)&gt;0)</f>
        <v>1</v>
      </c>
    </row>
    <row r="392" spans="1:9" x14ac:dyDescent="0.45">
      <c r="A392" s="4">
        <v>45801</v>
      </c>
      <c r="B392" t="s">
        <v>3014</v>
      </c>
      <c r="C392" t="s">
        <v>3015</v>
      </c>
      <c r="D392" t="s">
        <v>3016</v>
      </c>
      <c r="E392" t="s">
        <v>3017</v>
      </c>
      <c r="F392" t="s">
        <v>3018</v>
      </c>
      <c r="G392" t="s">
        <v>3019</v>
      </c>
      <c r="H392">
        <v>24</v>
      </c>
      <c r="I392" t="b">
        <f>AND(COUNTIF(CO!A:A,A392)&gt;0,COUNTIF('NO2'!A:A,A392)&gt;0,COUNTIF('PM10'!A:A,A392)&gt;0,COUNTIF('PM2.5'!A:A,A392)&gt;0,COUNTIF('SO2'!A:A,A392)&gt;0,COUNTIF(Kendaraan!A:A,A392)&gt;0)</f>
        <v>1</v>
      </c>
    </row>
    <row r="393" spans="1:9" x14ac:dyDescent="0.45">
      <c r="A393" s="4">
        <v>45802</v>
      </c>
      <c r="B393" t="s">
        <v>3020</v>
      </c>
      <c r="C393" t="s">
        <v>3021</v>
      </c>
      <c r="D393" t="s">
        <v>3022</v>
      </c>
      <c r="E393" t="s">
        <v>3023</v>
      </c>
      <c r="F393" t="s">
        <v>3024</v>
      </c>
      <c r="G393" s="1">
        <v>3113</v>
      </c>
      <c r="H393">
        <v>24</v>
      </c>
      <c r="I393" t="b">
        <f>AND(COUNTIF(CO!A:A,A393)&gt;0,COUNTIF('NO2'!A:A,A393)&gt;0,COUNTIF('PM10'!A:A,A393)&gt;0,COUNTIF('PM2.5'!A:A,A393)&gt;0,COUNTIF('SO2'!A:A,A393)&gt;0,COUNTIF(Kendaraan!A:A,A393)&gt;0)</f>
        <v>1</v>
      </c>
    </row>
    <row r="394" spans="1:9" x14ac:dyDescent="0.45">
      <c r="A394" s="4">
        <v>45803</v>
      </c>
      <c r="B394" t="s">
        <v>3025</v>
      </c>
      <c r="C394" t="s">
        <v>3026</v>
      </c>
      <c r="D394" t="s">
        <v>3027</v>
      </c>
      <c r="E394" t="s">
        <v>2370</v>
      </c>
      <c r="F394" t="s">
        <v>3028</v>
      </c>
      <c r="G394" s="1">
        <v>29542</v>
      </c>
      <c r="H394">
        <v>24</v>
      </c>
      <c r="I394" t="b">
        <f>AND(COUNTIF(CO!A:A,A394)&gt;0,COUNTIF('NO2'!A:A,A394)&gt;0,COUNTIF('PM10'!A:A,A394)&gt;0,COUNTIF('PM2.5'!A:A,A394)&gt;0,COUNTIF('SO2'!A:A,A394)&gt;0,COUNTIF(Kendaraan!A:A,A394)&gt;0)</f>
        <v>1</v>
      </c>
    </row>
    <row r="395" spans="1:9" x14ac:dyDescent="0.45">
      <c r="A395" s="4">
        <v>45804</v>
      </c>
      <c r="B395" t="s">
        <v>1502</v>
      </c>
      <c r="C395" t="s">
        <v>1265</v>
      </c>
      <c r="D395" t="s">
        <v>1670</v>
      </c>
      <c r="E395" t="s">
        <v>882</v>
      </c>
      <c r="F395" t="s">
        <v>1238</v>
      </c>
      <c r="G395" t="s">
        <v>3029</v>
      </c>
      <c r="H395">
        <v>24</v>
      </c>
      <c r="I395" t="b">
        <f>AND(COUNTIF(CO!A:A,A395)&gt;0,COUNTIF('NO2'!A:A,A395)&gt;0,COUNTIF('PM10'!A:A,A395)&gt;0,COUNTIF('PM2.5'!A:A,A395)&gt;0,COUNTIF('SO2'!A:A,A395)&gt;0,COUNTIF(Kendaraan!A:A,A395)&gt;0)</f>
        <v>1</v>
      </c>
    </row>
    <row r="396" spans="1:9" x14ac:dyDescent="0.45">
      <c r="A396" s="4">
        <v>45805</v>
      </c>
      <c r="B396">
        <v>22</v>
      </c>
      <c r="C396" t="s">
        <v>653</v>
      </c>
      <c r="D396" t="s">
        <v>673</v>
      </c>
      <c r="E396" t="s">
        <v>3030</v>
      </c>
      <c r="F396" t="s">
        <v>1994</v>
      </c>
      <c r="G396" t="s">
        <v>1998</v>
      </c>
      <c r="H396">
        <v>24</v>
      </c>
      <c r="I396" t="b">
        <f>AND(COUNTIF(CO!A:A,A396)&gt;0,COUNTIF('NO2'!A:A,A396)&gt;0,COUNTIF('PM10'!A:A,A396)&gt;0,COUNTIF('PM2.5'!A:A,A396)&gt;0,COUNTIF('SO2'!A:A,A396)&gt;0,COUNTIF(Kendaraan!A:A,A396)&gt;0)</f>
        <v>1</v>
      </c>
    </row>
    <row r="397" spans="1:9" x14ac:dyDescent="0.45">
      <c r="A397" s="4">
        <v>45806</v>
      </c>
      <c r="B397" t="s">
        <v>1209</v>
      </c>
      <c r="C397" t="s">
        <v>3031</v>
      </c>
      <c r="D397" t="s">
        <v>1224</v>
      </c>
      <c r="E397" t="s">
        <v>1199</v>
      </c>
      <c r="F397" t="s">
        <v>616</v>
      </c>
      <c r="G397" t="s">
        <v>700</v>
      </c>
      <c r="H397">
        <v>24</v>
      </c>
      <c r="I397" t="b">
        <f>AND(COUNTIF(CO!A:A,A397)&gt;0,COUNTIF('NO2'!A:A,A397)&gt;0,COUNTIF('PM10'!A:A,A397)&gt;0,COUNTIF('PM2.5'!A:A,A397)&gt;0,COUNTIF('SO2'!A:A,A397)&gt;0,COUNTIF(Kendaraan!A:A,A397)&gt;0)</f>
        <v>1</v>
      </c>
    </row>
    <row r="398" spans="1:9" x14ac:dyDescent="0.45">
      <c r="A398" s="4">
        <v>45807</v>
      </c>
      <c r="B398" t="s">
        <v>1199</v>
      </c>
      <c r="C398" t="s">
        <v>1203</v>
      </c>
      <c r="D398" t="s">
        <v>1229</v>
      </c>
      <c r="E398" t="s">
        <v>1227</v>
      </c>
      <c r="F398" t="s">
        <v>1206</v>
      </c>
      <c r="G398" t="s">
        <v>46</v>
      </c>
      <c r="H398">
        <v>24</v>
      </c>
      <c r="I398" t="b">
        <f>AND(COUNTIF(CO!A:A,A398)&gt;0,COUNTIF('NO2'!A:A,A398)&gt;0,COUNTIF('PM10'!A:A,A398)&gt;0,COUNTIF('PM2.5'!A:A,A398)&gt;0,COUNTIF('SO2'!A:A,A398)&gt;0,COUNTIF(Kendaraan!A:A,A398)&gt;0)</f>
        <v>1</v>
      </c>
    </row>
    <row r="399" spans="1:9" x14ac:dyDescent="0.45">
      <c r="A399" s="4">
        <v>45808</v>
      </c>
      <c r="B399" t="s">
        <v>950</v>
      </c>
      <c r="C399" t="s">
        <v>1466</v>
      </c>
      <c r="D399" t="s">
        <v>3032</v>
      </c>
      <c r="E399" t="s">
        <v>952</v>
      </c>
      <c r="F399" t="s">
        <v>3033</v>
      </c>
      <c r="G399" s="1">
        <v>3083</v>
      </c>
      <c r="H399">
        <v>24</v>
      </c>
      <c r="I399" t="b">
        <f>AND(COUNTIF(CO!A:A,A399)&gt;0,COUNTIF('NO2'!A:A,A399)&gt;0,COUNTIF('PM10'!A:A,A399)&gt;0,COUNTIF('PM2.5'!A:A,A399)&gt;0,COUNTIF('SO2'!A:A,A399)&gt;0,COUNTIF(Kendaraan!A:A,A399)&gt;0)</f>
        <v>1</v>
      </c>
    </row>
    <row r="400" spans="1:9" x14ac:dyDescent="0.45">
      <c r="A400" s="4">
        <v>45809</v>
      </c>
      <c r="B400" t="s">
        <v>90</v>
      </c>
      <c r="C400" t="s">
        <v>1061</v>
      </c>
      <c r="D400" t="s">
        <v>1061</v>
      </c>
      <c r="E400" t="s">
        <v>3034</v>
      </c>
      <c r="F400" t="s">
        <v>1061</v>
      </c>
      <c r="G400" s="1">
        <v>3133</v>
      </c>
      <c r="H400">
        <v>23</v>
      </c>
      <c r="I400" t="b">
        <f>AND(COUNTIF(CO!A:A,A400)&gt;0,COUNTIF('NO2'!A:A,A400)&gt;0,COUNTIF('PM10'!A:A,A400)&gt;0,COUNTIF('PM2.5'!A:A,A400)&gt;0,COUNTIF('SO2'!A:A,A400)&gt;0,COUNTIF(Kendaraan!A:A,A400)&gt;0)</f>
        <v>1</v>
      </c>
    </row>
    <row r="401" spans="1:9" x14ac:dyDescent="0.45">
      <c r="A401" s="4">
        <v>45810</v>
      </c>
      <c r="B401" t="s">
        <v>202</v>
      </c>
      <c r="C401" t="s">
        <v>1135</v>
      </c>
      <c r="D401" t="s">
        <v>1659</v>
      </c>
      <c r="E401" t="s">
        <v>1769</v>
      </c>
      <c r="F401" t="s">
        <v>2774</v>
      </c>
      <c r="G401" s="1">
        <v>4737</v>
      </c>
      <c r="H401">
        <v>24</v>
      </c>
      <c r="I401" t="b">
        <f>AND(COUNTIF(CO!A:A,A401)&gt;0,COUNTIF('NO2'!A:A,A401)&gt;0,COUNTIF('PM10'!A:A,A401)&gt;0,COUNTIF('PM2.5'!A:A,A401)&gt;0,COUNTIF('SO2'!A:A,A401)&gt;0,COUNTIF(Kendaraan!A:A,A401)&gt;0)</f>
        <v>1</v>
      </c>
    </row>
    <row r="402" spans="1:9" x14ac:dyDescent="0.45">
      <c r="A402" s="4">
        <v>45811</v>
      </c>
      <c r="B402" t="s">
        <v>934</v>
      </c>
      <c r="C402" t="s">
        <v>432</v>
      </c>
      <c r="D402" t="s">
        <v>3035</v>
      </c>
      <c r="E402" t="s">
        <v>1167</v>
      </c>
      <c r="F402" t="s">
        <v>1997</v>
      </c>
      <c r="G402" t="s">
        <v>3036</v>
      </c>
      <c r="H402">
        <v>24</v>
      </c>
      <c r="I402" t="b">
        <f>AND(COUNTIF(CO!A:A,A402)&gt;0,COUNTIF('NO2'!A:A,A402)&gt;0,COUNTIF('PM10'!A:A,A402)&gt;0,COUNTIF('PM2.5'!A:A,A402)&gt;0,COUNTIF('SO2'!A:A,A402)&gt;0,COUNTIF(Kendaraan!A:A,A402)&gt;0)</f>
        <v>1</v>
      </c>
    </row>
    <row r="403" spans="1:9" x14ac:dyDescent="0.45">
      <c r="A403" s="4">
        <v>45812</v>
      </c>
      <c r="B403" t="s">
        <v>1787</v>
      </c>
      <c r="C403" t="s">
        <v>1869</v>
      </c>
      <c r="D403" t="s">
        <v>1647</v>
      </c>
      <c r="E403" t="s">
        <v>1716</v>
      </c>
      <c r="F403" t="s">
        <v>1500</v>
      </c>
      <c r="G403" s="1">
        <v>3583</v>
      </c>
      <c r="H403">
        <v>24</v>
      </c>
      <c r="I403" t="b">
        <f>AND(COUNTIF(CO!A:A,A403)&gt;0,COUNTIF('NO2'!A:A,A403)&gt;0,COUNTIF('PM10'!A:A,A403)&gt;0,COUNTIF('PM2.5'!A:A,A403)&gt;0,COUNTIF('SO2'!A:A,A403)&gt;0,COUNTIF(Kendaraan!A:A,A403)&gt;0)</f>
        <v>1</v>
      </c>
    </row>
    <row r="404" spans="1:9" x14ac:dyDescent="0.45">
      <c r="A404" s="4">
        <v>45813</v>
      </c>
      <c r="B404" t="s">
        <v>2767</v>
      </c>
      <c r="C404" t="s">
        <v>3037</v>
      </c>
      <c r="D404" t="s">
        <v>2852</v>
      </c>
      <c r="E404" t="s">
        <v>823</v>
      </c>
      <c r="F404" t="s">
        <v>3038</v>
      </c>
      <c r="G404" t="s">
        <v>3039</v>
      </c>
      <c r="H404">
        <v>24</v>
      </c>
      <c r="I404" t="b">
        <f>AND(COUNTIF(CO!A:A,A404)&gt;0,COUNTIF('NO2'!A:A,A404)&gt;0,COUNTIF('PM10'!A:A,A404)&gt;0,COUNTIF('PM2.5'!A:A,A404)&gt;0,COUNTIF('SO2'!A:A,A404)&gt;0,COUNTIF(Kendaraan!A:A,A404)&gt;0)</f>
        <v>1</v>
      </c>
    </row>
    <row r="405" spans="1:9" x14ac:dyDescent="0.45">
      <c r="A405" s="4">
        <v>45814</v>
      </c>
      <c r="B405" t="s">
        <v>1741</v>
      </c>
      <c r="C405" t="s">
        <v>2302</v>
      </c>
      <c r="D405" t="s">
        <v>3040</v>
      </c>
      <c r="E405" t="s">
        <v>1843</v>
      </c>
      <c r="F405" t="s">
        <v>2576</v>
      </c>
      <c r="G405" s="1">
        <v>6263</v>
      </c>
      <c r="H405">
        <v>24</v>
      </c>
      <c r="I405" t="b">
        <f>AND(COUNTIF(CO!A:A,A405)&gt;0,COUNTIF('NO2'!A:A,A405)&gt;0,COUNTIF('PM10'!A:A,A405)&gt;0,COUNTIF('PM2.5'!A:A,A405)&gt;0,COUNTIF('SO2'!A:A,A405)&gt;0,COUNTIF(Kendaraan!A:A,A405)&gt;0)</f>
        <v>1</v>
      </c>
    </row>
    <row r="406" spans="1:9" x14ac:dyDescent="0.45">
      <c r="A406" s="4">
        <v>45815</v>
      </c>
      <c r="B406" t="s">
        <v>1230</v>
      </c>
      <c r="C406" t="s">
        <v>3041</v>
      </c>
      <c r="D406" t="s">
        <v>534</v>
      </c>
      <c r="E406" t="s">
        <v>499</v>
      </c>
      <c r="F406" t="s">
        <v>3042</v>
      </c>
      <c r="G406" s="1">
        <v>3033</v>
      </c>
      <c r="H406">
        <v>24</v>
      </c>
      <c r="I406" t="b">
        <f>AND(COUNTIF(CO!A:A,A406)&gt;0,COUNTIF('NO2'!A:A,A406)&gt;0,COUNTIF('PM10'!A:A,A406)&gt;0,COUNTIF('PM2.5'!A:A,A406)&gt;0,COUNTIF('SO2'!A:A,A406)&gt;0,COUNTIF(Kendaraan!A:A,A406)&gt;0)</f>
        <v>1</v>
      </c>
    </row>
    <row r="407" spans="1:9" x14ac:dyDescent="0.45">
      <c r="A407" s="4">
        <v>45816</v>
      </c>
      <c r="B407">
        <v>5</v>
      </c>
      <c r="C407" t="s">
        <v>475</v>
      </c>
      <c r="D407" t="s">
        <v>1880</v>
      </c>
      <c r="E407" t="s">
        <v>3043</v>
      </c>
      <c r="F407" t="s">
        <v>930</v>
      </c>
      <c r="G407" s="1">
        <v>5696</v>
      </c>
      <c r="H407">
        <v>24</v>
      </c>
      <c r="I407" t="b">
        <f>AND(COUNTIF(CO!A:A,A407)&gt;0,COUNTIF('NO2'!A:A,A407)&gt;0,COUNTIF('PM10'!A:A,A407)&gt;0,COUNTIF('PM2.5'!A:A,A407)&gt;0,COUNTIF('SO2'!A:A,A407)&gt;0,COUNTIF(Kendaraan!A:A,A407)&gt;0)</f>
        <v>1</v>
      </c>
    </row>
    <row r="408" spans="1:9" x14ac:dyDescent="0.45">
      <c r="A408" s="4">
        <v>45817</v>
      </c>
      <c r="B408" t="s">
        <v>3044</v>
      </c>
      <c r="C408" t="s">
        <v>462</v>
      </c>
      <c r="D408" t="s">
        <v>3045</v>
      </c>
      <c r="E408" t="s">
        <v>1653</v>
      </c>
      <c r="F408" t="s">
        <v>1936</v>
      </c>
      <c r="G408" s="1">
        <v>5153</v>
      </c>
      <c r="H408">
        <v>24</v>
      </c>
      <c r="I408" t="b">
        <f>AND(COUNTIF(CO!A:A,A408)&gt;0,COUNTIF('NO2'!A:A,A408)&gt;0,COUNTIF('PM10'!A:A,A408)&gt;0,COUNTIF('PM2.5'!A:A,A408)&gt;0,COUNTIF('SO2'!A:A,A408)&gt;0,COUNTIF(Kendaraan!A:A,A408)&gt;0)</f>
        <v>1</v>
      </c>
    </row>
    <row r="409" spans="1:9" x14ac:dyDescent="0.45">
      <c r="A409" s="4">
        <v>45818</v>
      </c>
      <c r="B409" t="s">
        <v>1572</v>
      </c>
      <c r="C409" t="s">
        <v>823</v>
      </c>
      <c r="D409" t="s">
        <v>591</v>
      </c>
      <c r="E409" t="s">
        <v>502</v>
      </c>
      <c r="F409" t="s">
        <v>3046</v>
      </c>
      <c r="G409" t="s">
        <v>11</v>
      </c>
      <c r="H409">
        <v>24</v>
      </c>
      <c r="I409" t="b">
        <f>AND(COUNTIF(CO!A:A,A409)&gt;0,COUNTIF('NO2'!A:A,A409)&gt;0,COUNTIF('PM10'!A:A,A409)&gt;0,COUNTIF('PM2.5'!A:A,A409)&gt;0,COUNTIF('SO2'!A:A,A409)&gt;0,COUNTIF(Kendaraan!A:A,A409)&gt;0)</f>
        <v>1</v>
      </c>
    </row>
    <row r="410" spans="1:9" x14ac:dyDescent="0.45">
      <c r="A410" s="4">
        <v>45819</v>
      </c>
      <c r="B410" t="s">
        <v>1798</v>
      </c>
      <c r="C410" t="s">
        <v>1401</v>
      </c>
      <c r="D410" t="s">
        <v>3047</v>
      </c>
      <c r="E410" t="s">
        <v>3048</v>
      </c>
      <c r="F410" t="s">
        <v>641</v>
      </c>
      <c r="G410" s="1">
        <v>4187</v>
      </c>
      <c r="H410">
        <v>24</v>
      </c>
      <c r="I410" t="b">
        <f>AND(COUNTIF(CO!A:A,A410)&gt;0,COUNTIF('NO2'!A:A,A410)&gt;0,COUNTIF('PM10'!A:A,A410)&gt;0,COUNTIF('PM2.5'!A:A,A410)&gt;0,COUNTIF('SO2'!A:A,A410)&gt;0,COUNTIF(Kendaraan!A:A,A410)&gt;0)</f>
        <v>1</v>
      </c>
    </row>
    <row r="411" spans="1:9" x14ac:dyDescent="0.45">
      <c r="A411" s="4">
        <v>45820</v>
      </c>
      <c r="B411" t="s">
        <v>1789</v>
      </c>
      <c r="C411" t="s">
        <v>1635</v>
      </c>
      <c r="D411" t="s">
        <v>1635</v>
      </c>
      <c r="E411" t="s">
        <v>3049</v>
      </c>
      <c r="F411" t="s">
        <v>1635</v>
      </c>
      <c r="G411" t="s">
        <v>266</v>
      </c>
      <c r="H411">
        <v>24</v>
      </c>
      <c r="I411" t="b">
        <f>AND(COUNTIF(CO!A:A,A411)&gt;0,COUNTIF('NO2'!A:A,A411)&gt;0,COUNTIF('PM10'!A:A,A411)&gt;0,COUNTIF('PM2.5'!A:A,A411)&gt;0,COUNTIF('SO2'!A:A,A411)&gt;0,COUNTIF(Kendaraan!A:A,A411)&gt;0)</f>
        <v>1</v>
      </c>
    </row>
    <row r="412" spans="1:9" x14ac:dyDescent="0.45">
      <c r="A412" s="4">
        <v>45821</v>
      </c>
      <c r="B412" t="s">
        <v>112</v>
      </c>
      <c r="C412" t="s">
        <v>1366</v>
      </c>
      <c r="D412" t="s">
        <v>1870</v>
      </c>
      <c r="E412" t="s">
        <v>2088</v>
      </c>
      <c r="F412" t="s">
        <v>3050</v>
      </c>
      <c r="G412" s="1">
        <v>3641</v>
      </c>
      <c r="H412">
        <v>23</v>
      </c>
      <c r="I412" t="b">
        <f>AND(COUNTIF(CO!A:A,A412)&gt;0,COUNTIF('NO2'!A:A,A412)&gt;0,COUNTIF('PM10'!A:A,A412)&gt;0,COUNTIF('PM2.5'!A:A,A412)&gt;0,COUNTIF('SO2'!A:A,A412)&gt;0,COUNTIF(Kendaraan!A:A,A412)&gt;0)</f>
        <v>1</v>
      </c>
    </row>
    <row r="413" spans="1:9" x14ac:dyDescent="0.45">
      <c r="A413" s="4">
        <v>45822</v>
      </c>
      <c r="B413" t="s">
        <v>365</v>
      </c>
      <c r="C413" t="s">
        <v>633</v>
      </c>
      <c r="D413" t="s">
        <v>926</v>
      </c>
      <c r="E413" t="s">
        <v>2756</v>
      </c>
      <c r="F413" t="s">
        <v>910</v>
      </c>
      <c r="G413" s="1">
        <v>3794</v>
      </c>
      <c r="H413">
        <v>24</v>
      </c>
      <c r="I413" t="b">
        <f>AND(COUNTIF(CO!A:A,A413)&gt;0,COUNTIF('NO2'!A:A,A413)&gt;0,COUNTIF('PM10'!A:A,A413)&gt;0,COUNTIF('PM2.5'!A:A,A413)&gt;0,COUNTIF('SO2'!A:A,A413)&gt;0,COUNTIF(Kendaraan!A:A,A413)&gt;0)</f>
        <v>1</v>
      </c>
    </row>
    <row r="414" spans="1:9" x14ac:dyDescent="0.45">
      <c r="A414" s="4">
        <v>45823</v>
      </c>
      <c r="B414" t="s">
        <v>1377</v>
      </c>
      <c r="C414" t="s">
        <v>847</v>
      </c>
      <c r="D414" t="s">
        <v>1355</v>
      </c>
      <c r="E414" t="s">
        <v>1331</v>
      </c>
      <c r="F414" t="s">
        <v>1567</v>
      </c>
      <c r="G414" s="1">
        <v>4599</v>
      </c>
      <c r="H414">
        <v>24</v>
      </c>
      <c r="I414" t="b">
        <f>AND(COUNTIF(CO!A:A,A414)&gt;0,COUNTIF('NO2'!A:A,A414)&gt;0,COUNTIF('PM10'!A:A,A414)&gt;0,COUNTIF('PM2.5'!A:A,A414)&gt;0,COUNTIF('SO2'!A:A,A414)&gt;0,COUNTIF(Kendaraan!A:A,A414)&gt;0)</f>
        <v>1</v>
      </c>
    </row>
    <row r="415" spans="1:9" x14ac:dyDescent="0.45">
      <c r="A415" s="4">
        <v>45824</v>
      </c>
      <c r="B415" t="s">
        <v>1455</v>
      </c>
      <c r="C415" t="s">
        <v>3051</v>
      </c>
      <c r="D415" t="s">
        <v>2875</v>
      </c>
      <c r="E415" t="s">
        <v>657</v>
      </c>
      <c r="F415" t="s">
        <v>3052</v>
      </c>
      <c r="G415" s="1">
        <v>3713</v>
      </c>
      <c r="H415">
        <v>24</v>
      </c>
      <c r="I415" t="b">
        <f>AND(COUNTIF(CO!A:A,A415)&gt;0,COUNTIF('NO2'!A:A,A415)&gt;0,COUNTIF('PM10'!A:A,A415)&gt;0,COUNTIF('PM2.5'!A:A,A415)&gt;0,COUNTIF('SO2'!A:A,A415)&gt;0,COUNTIF(Kendaraan!A:A,A415)&gt;0)</f>
        <v>1</v>
      </c>
    </row>
    <row r="416" spans="1:9" x14ac:dyDescent="0.45">
      <c r="A416" s="4">
        <v>45826</v>
      </c>
      <c r="B416" t="s">
        <v>3054</v>
      </c>
      <c r="C416" t="s">
        <v>2689</v>
      </c>
      <c r="D416" t="s">
        <v>1728</v>
      </c>
      <c r="E416" t="s">
        <v>3055</v>
      </c>
      <c r="F416" t="s">
        <v>699</v>
      </c>
      <c r="G416" s="1">
        <v>2644</v>
      </c>
      <c r="H416">
        <v>22</v>
      </c>
      <c r="I416" t="b">
        <f>AND(COUNTIF(CO!A:A,A416)&gt;0,COUNTIF('NO2'!A:A,A416)&gt;0,COUNTIF('PM10'!A:A,A416)&gt;0,COUNTIF('PM2.5'!A:A,A416)&gt;0,COUNTIF('SO2'!A:A,A416)&gt;0,COUNTIF(Kendaraan!A:A,A416)&gt;0)</f>
        <v>1</v>
      </c>
    </row>
    <row r="417" spans="1:9" x14ac:dyDescent="0.45">
      <c r="A417" s="4">
        <v>45827</v>
      </c>
      <c r="B417">
        <v>5</v>
      </c>
      <c r="C417" t="s">
        <v>1306</v>
      </c>
      <c r="D417" t="s">
        <v>729</v>
      </c>
      <c r="E417" t="s">
        <v>3039</v>
      </c>
      <c r="F417">
        <v>10</v>
      </c>
      <c r="G417" s="1">
        <v>1987</v>
      </c>
      <c r="H417">
        <v>24</v>
      </c>
      <c r="I417" t="b">
        <f>AND(COUNTIF(CO!A:A,A417)&gt;0,COUNTIF('NO2'!A:A,A417)&gt;0,COUNTIF('PM10'!A:A,A417)&gt;0,COUNTIF('PM2.5'!A:A,A417)&gt;0,COUNTIF('SO2'!A:A,A417)&gt;0,COUNTIF(Kendaraan!A:A,A417)&gt;0)</f>
        <v>1</v>
      </c>
    </row>
    <row r="418" spans="1:9" x14ac:dyDescent="0.45">
      <c r="A418" s="4">
        <v>45828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0</v>
      </c>
      <c r="H418">
        <v>24</v>
      </c>
      <c r="I418" t="b">
        <f>AND(COUNTIF(CO!A:A,A418)&gt;0,COUNTIF('NO2'!A:A,A418)&gt;0,COUNTIF('PM10'!A:A,A418)&gt;0,COUNTIF('PM2.5'!A:A,A418)&gt;0,COUNTIF('SO2'!A:A,A418)&gt;0,COUNTIF(Kendaraan!A:A,A418)&gt;0)</f>
        <v>1</v>
      </c>
    </row>
    <row r="419" spans="1:9" x14ac:dyDescent="0.45">
      <c r="A419" s="4">
        <v>45829</v>
      </c>
      <c r="B419" t="s">
        <v>69</v>
      </c>
      <c r="C419">
        <v>5</v>
      </c>
      <c r="D419" t="s">
        <v>3056</v>
      </c>
      <c r="E419" t="s">
        <v>115</v>
      </c>
      <c r="F419" t="s">
        <v>1914</v>
      </c>
      <c r="G419" s="1">
        <v>1385</v>
      </c>
      <c r="H419">
        <v>23</v>
      </c>
      <c r="I419" t="b">
        <f>AND(COUNTIF(CO!A:A,A419)&gt;0,COUNTIF('NO2'!A:A,A419)&gt;0,COUNTIF('PM10'!A:A,A419)&gt;0,COUNTIF('PM2.5'!A:A,A419)&gt;0,COUNTIF('SO2'!A:A,A419)&gt;0,COUNTIF(Kendaraan!A:A,A419)&gt;0)</f>
        <v>1</v>
      </c>
    </row>
    <row r="420" spans="1:9" x14ac:dyDescent="0.45">
      <c r="A420" s="4">
        <v>45830</v>
      </c>
      <c r="B420" t="s">
        <v>2078</v>
      </c>
      <c r="C420">
        <v>10</v>
      </c>
      <c r="D420">
        <v>10</v>
      </c>
      <c r="E420" t="s">
        <v>1868</v>
      </c>
      <c r="F420">
        <v>10</v>
      </c>
      <c r="G420" s="1">
        <v>1532</v>
      </c>
      <c r="H420">
        <v>24</v>
      </c>
      <c r="I420" t="b">
        <f>AND(COUNTIF(CO!A:A,A420)&gt;0,COUNTIF('NO2'!A:A,A420)&gt;0,COUNTIF('PM10'!A:A,A420)&gt;0,COUNTIF('PM2.5'!A:A,A420)&gt;0,COUNTIF('SO2'!A:A,A420)&gt;0,COUNTIF(Kendaraan!A:A,A420)&gt;0)</f>
        <v>1</v>
      </c>
    </row>
    <row r="421" spans="1:9" x14ac:dyDescent="0.45">
      <c r="A421" s="4">
        <v>45831</v>
      </c>
      <c r="B421">
        <v>5</v>
      </c>
      <c r="C421">
        <v>10</v>
      </c>
      <c r="D421" t="s">
        <v>729</v>
      </c>
      <c r="E421" t="s">
        <v>3039</v>
      </c>
      <c r="F421">
        <v>10</v>
      </c>
      <c r="G421" s="1">
        <v>1693</v>
      </c>
      <c r="H421">
        <v>24</v>
      </c>
      <c r="I421" t="b">
        <f>AND(COUNTIF(CO!A:A,A421)&gt;0,COUNTIF('NO2'!A:A,A421)&gt;0,COUNTIF('PM10'!A:A,A421)&gt;0,COUNTIF('PM2.5'!A:A,A421)&gt;0,COUNTIF('SO2'!A:A,A421)&gt;0,COUNTIF(Kendaraan!A:A,A421)&gt;0)</f>
        <v>1</v>
      </c>
    </row>
    <row r="422" spans="1:9" x14ac:dyDescent="0.45">
      <c r="A422" s="4">
        <v>45832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0</v>
      </c>
      <c r="H422">
        <v>24</v>
      </c>
      <c r="I422" t="b">
        <f>AND(COUNTIF(CO!A:A,A422)&gt;0,COUNTIF('NO2'!A:A,A422)&gt;0,COUNTIF('PM10'!A:A,A422)&gt;0,COUNTIF('PM2.5'!A:A,A422)&gt;0,COUNTIF('SO2'!A:A,A422)&gt;0,COUNTIF(Kendaraan!A:A,A422)&gt;0)</f>
        <v>1</v>
      </c>
    </row>
    <row r="423" spans="1:9" x14ac:dyDescent="0.45">
      <c r="A423" s="4">
        <v>45833</v>
      </c>
      <c r="B423">
        <v>5</v>
      </c>
      <c r="C423">
        <v>10</v>
      </c>
      <c r="D423" t="s">
        <v>1794</v>
      </c>
      <c r="E423">
        <v>5</v>
      </c>
      <c r="F423" t="s">
        <v>1868</v>
      </c>
      <c r="G423" s="1">
        <v>1693</v>
      </c>
      <c r="H423">
        <v>24</v>
      </c>
      <c r="I423" t="b">
        <f>AND(COUNTIF(CO!A:A,A423)&gt;0,COUNTIF('NO2'!A:A,A423)&gt;0,COUNTIF('PM10'!A:A,A423)&gt;0,COUNTIF('PM2.5'!A:A,A423)&gt;0,COUNTIF('SO2'!A:A,A423)&gt;0,COUNTIF(Kendaraan!A:A,A423)&gt;0)</f>
        <v>1</v>
      </c>
    </row>
    <row r="424" spans="1:9" x14ac:dyDescent="0.45">
      <c r="A424" s="4">
        <v>45834</v>
      </c>
      <c r="B424">
        <v>10</v>
      </c>
      <c r="C424">
        <v>10</v>
      </c>
      <c r="D424">
        <v>10</v>
      </c>
      <c r="E424">
        <v>10</v>
      </c>
      <c r="F424">
        <v>10</v>
      </c>
      <c r="G424">
        <v>0</v>
      </c>
      <c r="H424">
        <v>12</v>
      </c>
      <c r="I424" t="b">
        <f>AND(COUNTIF(CO!A:A,A424)&gt;0,COUNTIF('NO2'!A:A,A424)&gt;0,COUNTIF('PM10'!A:A,A424)&gt;0,COUNTIF('PM2.5'!A:A,A424)&gt;0,COUNTIF('SO2'!A:A,A424)&gt;0,COUNTIF(Kendaraan!A:A,A424)&gt;0)</f>
        <v>1</v>
      </c>
    </row>
    <row r="425" spans="1:9" x14ac:dyDescent="0.45">
      <c r="A425" s="4">
        <v>45838</v>
      </c>
      <c r="B425" t="s">
        <v>1983</v>
      </c>
      <c r="C425" t="s">
        <v>926</v>
      </c>
      <c r="D425" t="s">
        <v>926</v>
      </c>
      <c r="E425" t="s">
        <v>3057</v>
      </c>
      <c r="F425" t="s">
        <v>926</v>
      </c>
      <c r="G425" t="s">
        <v>23</v>
      </c>
      <c r="H425">
        <v>4</v>
      </c>
      <c r="I425" t="b">
        <f>AND(COUNTIF(CO!A:A,A425)&gt;0,COUNTIF('NO2'!A:A,A425)&gt;0,COUNTIF('PM10'!A:A,A425)&gt;0,COUNTIF('PM2.5'!A:A,A425)&gt;0,COUNTIF('SO2'!A:A,A425)&gt;0,COUNTIF(Kendaraan!A:A,A425)&gt;0)</f>
        <v>1</v>
      </c>
    </row>
    <row r="426" spans="1:9" x14ac:dyDescent="0.45">
      <c r="A426" s="4">
        <v>45839</v>
      </c>
      <c r="B426" t="s">
        <v>45</v>
      </c>
      <c r="C426" t="s">
        <v>3058</v>
      </c>
      <c r="D426" t="s">
        <v>3059</v>
      </c>
      <c r="E426" t="s">
        <v>3053</v>
      </c>
      <c r="F426" t="s">
        <v>1360</v>
      </c>
      <c r="G426" s="1">
        <v>4867</v>
      </c>
      <c r="H426">
        <v>23</v>
      </c>
      <c r="I426" t="b">
        <f>AND(COUNTIF(CO!A:A,A426)&gt;0,COUNTIF('NO2'!A:A,A426)&gt;0,COUNTIF('PM10'!A:A,A426)&gt;0,COUNTIF('PM2.5'!A:A,A426)&gt;0,COUNTIF('SO2'!A:A,A426)&gt;0,COUNTIF(Kendaraan!A:A,A426)&gt;0)</f>
        <v>1</v>
      </c>
    </row>
    <row r="427" spans="1:9" x14ac:dyDescent="0.45">
      <c r="A427" s="4">
        <v>45840</v>
      </c>
      <c r="B427" t="s">
        <v>18</v>
      </c>
      <c r="C427" t="s">
        <v>1964</v>
      </c>
      <c r="D427" t="s">
        <v>1773</v>
      </c>
      <c r="E427" t="s">
        <v>3060</v>
      </c>
      <c r="F427" t="s">
        <v>1753</v>
      </c>
      <c r="G427" s="1">
        <v>4256</v>
      </c>
      <c r="H427">
        <v>24</v>
      </c>
      <c r="I427" t="b">
        <f>AND(COUNTIF(CO!A:A,A427)&gt;0,COUNTIF('NO2'!A:A,A427)&gt;0,COUNTIF('PM10'!A:A,A427)&gt;0,COUNTIF('PM2.5'!A:A,A427)&gt;0,COUNTIF('SO2'!A:A,A427)&gt;0,COUNTIF(Kendaraan!A:A,A427)&gt;0)</f>
        <v>1</v>
      </c>
    </row>
    <row r="428" spans="1:9" x14ac:dyDescent="0.45">
      <c r="A428" s="4">
        <v>45841</v>
      </c>
      <c r="B428" t="s">
        <v>1863</v>
      </c>
      <c r="C428" t="s">
        <v>2724</v>
      </c>
      <c r="D428" t="s">
        <v>1429</v>
      </c>
      <c r="E428" t="s">
        <v>1964</v>
      </c>
      <c r="F428" t="s">
        <v>1857</v>
      </c>
      <c r="G428" t="s">
        <v>238</v>
      </c>
      <c r="H428">
        <v>24</v>
      </c>
      <c r="I428" t="b">
        <f>AND(COUNTIF(CO!A:A,A428)&gt;0,COUNTIF('NO2'!A:A,A428)&gt;0,COUNTIF('PM10'!A:A,A428)&gt;0,COUNTIF('PM2.5'!A:A,A428)&gt;0,COUNTIF('SO2'!A:A,A428)&gt;0,COUNTIF(Kendaraan!A:A,A428)&gt;0)</f>
        <v>1</v>
      </c>
    </row>
    <row r="429" spans="1:9" x14ac:dyDescent="0.45">
      <c r="A429" s="4">
        <v>45842</v>
      </c>
      <c r="B429" t="s">
        <v>1759</v>
      </c>
      <c r="C429" t="s">
        <v>1083</v>
      </c>
      <c r="D429" t="s">
        <v>1961</v>
      </c>
      <c r="E429" t="s">
        <v>2601</v>
      </c>
      <c r="F429" t="s">
        <v>2764</v>
      </c>
      <c r="G429" t="s">
        <v>706</v>
      </c>
      <c r="H429">
        <v>20</v>
      </c>
      <c r="I429" t="b">
        <f>AND(COUNTIF(CO!A:A,A429)&gt;0,COUNTIF('NO2'!A:A,A429)&gt;0,COUNTIF('PM10'!A:A,A429)&gt;0,COUNTIF('PM2.5'!A:A,A429)&gt;0,COUNTIF('SO2'!A:A,A429)&gt;0,COUNTIF(Kendaraan!A:A,A429)&gt;0)</f>
        <v>1</v>
      </c>
    </row>
    <row r="430" spans="1:9" x14ac:dyDescent="0.45">
      <c r="A430" s="4">
        <v>45845</v>
      </c>
      <c r="B430" t="s">
        <v>1960</v>
      </c>
      <c r="C430" t="s">
        <v>1977</v>
      </c>
      <c r="D430" t="s">
        <v>2788</v>
      </c>
      <c r="E430" t="s">
        <v>2401</v>
      </c>
      <c r="F430" t="s">
        <v>1857</v>
      </c>
      <c r="G430" t="s">
        <v>68</v>
      </c>
      <c r="H430">
        <v>5</v>
      </c>
      <c r="I430" t="b">
        <f>AND(COUNTIF(CO!A:A,A430)&gt;0,COUNTIF('NO2'!A:A,A430)&gt;0,COUNTIF('PM10'!A:A,A430)&gt;0,COUNTIF('PM2.5'!A:A,A430)&gt;0,COUNTIF('SO2'!A:A,A430)&gt;0,COUNTIF(Kendaraan!A:A,A430)&gt;0)</f>
        <v>1</v>
      </c>
    </row>
    <row r="431" spans="1:9" x14ac:dyDescent="0.45">
      <c r="A431" s="4">
        <v>45846</v>
      </c>
      <c r="B431" t="s">
        <v>1303</v>
      </c>
      <c r="C431" t="s">
        <v>2733</v>
      </c>
      <c r="D431" t="s">
        <v>1359</v>
      </c>
      <c r="E431" t="s">
        <v>1830</v>
      </c>
      <c r="F431" t="s">
        <v>1304</v>
      </c>
      <c r="G431" t="s">
        <v>491</v>
      </c>
      <c r="H431">
        <v>24</v>
      </c>
      <c r="I431" t="b">
        <f>AND(COUNTIF(CO!A:A,A431)&gt;0,COUNTIF('NO2'!A:A,A431)&gt;0,COUNTIF('PM10'!A:A,A431)&gt;0,COUNTIF('PM2.5'!A:A,A431)&gt;0,COUNTIF('SO2'!A:A,A431)&gt;0,COUNTIF(Kendaraan!A:A,A431)&gt;0)</f>
        <v>1</v>
      </c>
    </row>
    <row r="432" spans="1:9" x14ac:dyDescent="0.45">
      <c r="A432" s="4">
        <v>45847</v>
      </c>
      <c r="B432" t="s">
        <v>1713</v>
      </c>
      <c r="C432">
        <v>13</v>
      </c>
      <c r="D432" t="s">
        <v>2388</v>
      </c>
      <c r="E432" t="s">
        <v>704</v>
      </c>
      <c r="F432" t="s">
        <v>1363</v>
      </c>
      <c r="G432" s="1">
        <v>2196</v>
      </c>
      <c r="H432">
        <v>24</v>
      </c>
      <c r="I432" t="b">
        <f>AND(COUNTIF(CO!A:A,A432)&gt;0,COUNTIF('NO2'!A:A,A432)&gt;0,COUNTIF('PM10'!A:A,A432)&gt;0,COUNTIF('PM2.5'!A:A,A432)&gt;0,COUNTIF('SO2'!A:A,A432)&gt;0,COUNTIF(Kendaraan!A:A,A432)&gt;0)</f>
        <v>1</v>
      </c>
    </row>
    <row r="433" spans="1:9" x14ac:dyDescent="0.45">
      <c r="A433" s="4">
        <v>45848</v>
      </c>
      <c r="B433" t="s">
        <v>1839</v>
      </c>
      <c r="C433" t="s">
        <v>2909</v>
      </c>
      <c r="D433" t="s">
        <v>3061</v>
      </c>
      <c r="E433" t="s">
        <v>1135</v>
      </c>
      <c r="F433" t="s">
        <v>2854</v>
      </c>
      <c r="G433" s="1">
        <v>11245</v>
      </c>
      <c r="H433">
        <v>24</v>
      </c>
      <c r="I433" t="b">
        <f>AND(COUNTIF(CO!A:A,A433)&gt;0,COUNTIF('NO2'!A:A,A433)&gt;0,COUNTIF('PM10'!A:A,A433)&gt;0,COUNTIF('PM2.5'!A:A,A433)&gt;0,COUNTIF('SO2'!A:A,A433)&gt;0,COUNTIF(Kendaraan!A:A,A433)&gt;0)</f>
        <v>1</v>
      </c>
    </row>
    <row r="434" spans="1:9" x14ac:dyDescent="0.45">
      <c r="A434" s="4">
        <v>45849</v>
      </c>
      <c r="B434" t="s">
        <v>2493</v>
      </c>
      <c r="C434" t="s">
        <v>3062</v>
      </c>
      <c r="D434" t="s">
        <v>3063</v>
      </c>
      <c r="E434" t="s">
        <v>2292</v>
      </c>
      <c r="F434" t="s">
        <v>3064</v>
      </c>
      <c r="G434" t="s">
        <v>1838</v>
      </c>
      <c r="H434">
        <v>24</v>
      </c>
      <c r="I434" t="b">
        <f>AND(COUNTIF(CO!A:A,A434)&gt;0,COUNTIF('NO2'!A:A,A434)&gt;0,COUNTIF('PM10'!A:A,A434)&gt;0,COUNTIF('PM2.5'!A:A,A434)&gt;0,COUNTIF('SO2'!A:A,A434)&gt;0,COUNTIF(Kendaraan!A:A,A434)&gt;0)</f>
        <v>1</v>
      </c>
    </row>
    <row r="435" spans="1:9" x14ac:dyDescent="0.45">
      <c r="A435" s="4">
        <v>45850</v>
      </c>
      <c r="B435" t="s">
        <v>897</v>
      </c>
      <c r="C435" t="s">
        <v>3065</v>
      </c>
      <c r="D435" t="s">
        <v>1974</v>
      </c>
      <c r="E435" t="s">
        <v>422</v>
      </c>
      <c r="F435" t="s">
        <v>2020</v>
      </c>
      <c r="G435" t="s">
        <v>1769</v>
      </c>
      <c r="H435">
        <v>24</v>
      </c>
      <c r="I435" t="b">
        <f>AND(COUNTIF(CO!A:A,A435)&gt;0,COUNTIF('NO2'!A:A,A435)&gt;0,COUNTIF('PM10'!A:A,A435)&gt;0,COUNTIF('PM2.5'!A:A,A435)&gt;0,COUNTIF('SO2'!A:A,A435)&gt;0,COUNTIF(Kendaraan!A:A,A435)&gt;0)</f>
        <v>1</v>
      </c>
    </row>
    <row r="436" spans="1:9" x14ac:dyDescent="0.45">
      <c r="A436" s="4">
        <v>45851</v>
      </c>
      <c r="B436" t="s">
        <v>1924</v>
      </c>
      <c r="C436" t="s">
        <v>423</v>
      </c>
      <c r="D436" t="s">
        <v>1413</v>
      </c>
      <c r="E436" t="s">
        <v>3066</v>
      </c>
      <c r="F436" t="s">
        <v>1413</v>
      </c>
      <c r="G436" t="s">
        <v>279</v>
      </c>
      <c r="H436">
        <v>24</v>
      </c>
      <c r="I436" t="b">
        <f>AND(COUNTIF(CO!A:A,A436)&gt;0,COUNTIF('NO2'!A:A,A436)&gt;0,COUNTIF('PM10'!A:A,A436)&gt;0,COUNTIF('PM2.5'!A:A,A436)&gt;0,COUNTIF('SO2'!A:A,A436)&gt;0,COUNTIF(Kendaraan!A:A,A436)&gt;0)</f>
        <v>1</v>
      </c>
    </row>
    <row r="437" spans="1:9" x14ac:dyDescent="0.45">
      <c r="A437" s="4">
        <v>45852</v>
      </c>
      <c r="B437" t="s">
        <v>1093</v>
      </c>
      <c r="C437" t="s">
        <v>3067</v>
      </c>
      <c r="D437" t="s">
        <v>654</v>
      </c>
      <c r="E437" t="s">
        <v>1260</v>
      </c>
      <c r="F437" t="s">
        <v>540</v>
      </c>
      <c r="G437" s="1">
        <v>3716</v>
      </c>
      <c r="H437">
        <v>24</v>
      </c>
      <c r="I437" t="b">
        <f>AND(COUNTIF(CO!A:A,A437)&gt;0,COUNTIF('NO2'!A:A,A437)&gt;0,COUNTIF('PM10'!A:A,A437)&gt;0,COUNTIF('PM2.5'!A:A,A437)&gt;0,COUNTIF('SO2'!A:A,A437)&gt;0,COUNTIF(Kendaraan!A:A,A437)&gt;0)</f>
        <v>1</v>
      </c>
    </row>
    <row r="438" spans="1:9" x14ac:dyDescent="0.45">
      <c r="A438" s="4">
        <v>45853</v>
      </c>
      <c r="B438" t="s">
        <v>2751</v>
      </c>
      <c r="C438" t="s">
        <v>1181</v>
      </c>
      <c r="D438" t="s">
        <v>1981</v>
      </c>
      <c r="E438" t="s">
        <v>1045</v>
      </c>
      <c r="F438" t="s">
        <v>1503</v>
      </c>
      <c r="G438" t="s">
        <v>57</v>
      </c>
      <c r="H438">
        <v>24</v>
      </c>
      <c r="I438" t="b">
        <f>AND(COUNTIF(CO!A:A,A438)&gt;0,COUNTIF('NO2'!A:A,A438)&gt;0,COUNTIF('PM10'!A:A,A438)&gt;0,COUNTIF('PM2.5'!A:A,A438)&gt;0,COUNTIF('SO2'!A:A,A438)&gt;0,COUNTIF(Kendaraan!A:A,A438)&gt;0)</f>
        <v>1</v>
      </c>
    </row>
    <row r="439" spans="1:9" x14ac:dyDescent="0.45">
      <c r="A439" s="4">
        <v>45854</v>
      </c>
      <c r="B439" t="s">
        <v>1955</v>
      </c>
      <c r="C439" t="s">
        <v>1981</v>
      </c>
      <c r="D439" t="s">
        <v>1107</v>
      </c>
      <c r="E439" t="s">
        <v>1876</v>
      </c>
      <c r="F439" t="s">
        <v>1045</v>
      </c>
      <c r="G439" s="1">
        <v>3115</v>
      </c>
      <c r="H439">
        <v>24</v>
      </c>
      <c r="I439" t="b">
        <f>AND(COUNTIF(CO!A:A,A439)&gt;0,COUNTIF('NO2'!A:A,A439)&gt;0,COUNTIF('PM10'!A:A,A439)&gt;0,COUNTIF('PM2.5'!A:A,A439)&gt;0,COUNTIF('SO2'!A:A,A439)&gt;0,COUNTIF(Kendaraan!A:A,A439)&gt;0)</f>
        <v>1</v>
      </c>
    </row>
    <row r="440" spans="1:9" x14ac:dyDescent="0.45">
      <c r="A440" s="4">
        <v>45855</v>
      </c>
      <c r="B440" t="s">
        <v>69</v>
      </c>
      <c r="C440" t="s">
        <v>1797</v>
      </c>
      <c r="D440" t="s">
        <v>3068</v>
      </c>
      <c r="E440" t="s">
        <v>257</v>
      </c>
      <c r="F440">
        <v>5</v>
      </c>
      <c r="G440" s="1">
        <v>2041</v>
      </c>
      <c r="H440">
        <v>23</v>
      </c>
      <c r="I440" t="b">
        <f>AND(COUNTIF(CO!A:A,A440)&gt;0,COUNTIF('NO2'!A:A,A440)&gt;0,COUNTIF('PM10'!A:A,A440)&gt;0,COUNTIF('PM2.5'!A:A,A440)&gt;0,COUNTIF('SO2'!A:A,A440)&gt;0,COUNTIF(Kendaraan!A:A,A440)&gt;0)</f>
        <v>1</v>
      </c>
    </row>
    <row r="441" spans="1:9" x14ac:dyDescent="0.45">
      <c r="A441" s="4">
        <v>45857</v>
      </c>
      <c r="B441" t="s">
        <v>1768</v>
      </c>
      <c r="C441" t="s">
        <v>708</v>
      </c>
      <c r="D441" t="s">
        <v>1768</v>
      </c>
      <c r="E441" t="s">
        <v>1768</v>
      </c>
      <c r="F441" t="s">
        <v>351</v>
      </c>
      <c r="G441" t="s">
        <v>1465</v>
      </c>
      <c r="H441">
        <v>24</v>
      </c>
      <c r="I441" t="b">
        <f>AND(COUNTIF(CO!A:A,A441)&gt;0,COUNTIF('NO2'!A:A,A441)&gt;0,COUNTIF('PM10'!A:A,A441)&gt;0,COUNTIF('PM2.5'!A:A,A441)&gt;0,COUNTIF('SO2'!A:A,A441)&gt;0,COUNTIF(Kendaraan!A:A,A441)&gt;0)</f>
        <v>1</v>
      </c>
    </row>
    <row r="442" spans="1:9" x14ac:dyDescent="0.45">
      <c r="A442" s="4">
        <v>45858</v>
      </c>
      <c r="B442" t="s">
        <v>3070</v>
      </c>
      <c r="C442" t="s">
        <v>1146</v>
      </c>
      <c r="D442" t="s">
        <v>3071</v>
      </c>
      <c r="E442" t="s">
        <v>1768</v>
      </c>
      <c r="F442" t="s">
        <v>2390</v>
      </c>
      <c r="G442" s="1">
        <v>2961</v>
      </c>
      <c r="H442">
        <v>24</v>
      </c>
      <c r="I442" t="b">
        <f>AND(COUNTIF(CO!A:A,A442)&gt;0,COUNTIF('NO2'!A:A,A442)&gt;0,COUNTIF('PM10'!A:A,A442)&gt;0,COUNTIF('PM2.5'!A:A,A442)&gt;0,COUNTIF('SO2'!A:A,A442)&gt;0,COUNTIF(Kendaraan!A:A,A442)&gt;0)</f>
        <v>1</v>
      </c>
    </row>
    <row r="443" spans="1:9" x14ac:dyDescent="0.45">
      <c r="A443" s="4">
        <v>45859</v>
      </c>
      <c r="B443" t="s">
        <v>1146</v>
      </c>
      <c r="C443" t="s">
        <v>3072</v>
      </c>
      <c r="D443" t="s">
        <v>3025</v>
      </c>
      <c r="E443" t="s">
        <v>1166</v>
      </c>
      <c r="F443" t="s">
        <v>1980</v>
      </c>
      <c r="G443" t="s">
        <v>3073</v>
      </c>
      <c r="H443">
        <v>24</v>
      </c>
      <c r="I443" t="b">
        <f>AND(COUNTIF(CO!A:A,A443)&gt;0,COUNTIF('NO2'!A:A,A443)&gt;0,COUNTIF('PM10'!A:A,A443)&gt;0,COUNTIF('PM2.5'!A:A,A443)&gt;0,COUNTIF('SO2'!A:A,A443)&gt;0,COUNTIF(Kendaraan!A:A,A443)&gt;0)</f>
        <v>1</v>
      </c>
    </row>
    <row r="444" spans="1:9" x14ac:dyDescent="0.45">
      <c r="A444" s="4">
        <v>45860</v>
      </c>
      <c r="B444" t="s">
        <v>1632</v>
      </c>
      <c r="C444" t="s">
        <v>1986</v>
      </c>
      <c r="D444" t="s">
        <v>1067</v>
      </c>
      <c r="E444" t="s">
        <v>2599</v>
      </c>
      <c r="F444" t="s">
        <v>1986</v>
      </c>
      <c r="G444" t="s">
        <v>144</v>
      </c>
      <c r="H444">
        <v>24</v>
      </c>
      <c r="I444" t="b">
        <f>AND(COUNTIF(CO!A:A,A444)&gt;0,COUNTIF('NO2'!A:A,A444)&gt;0,COUNTIF('PM10'!A:A,A444)&gt;0,COUNTIF('PM2.5'!A:A,A444)&gt;0,COUNTIF('SO2'!A:A,A444)&gt;0,COUNTIF(Kendaraan!A:A,A444)&gt;0)</f>
        <v>1</v>
      </c>
    </row>
    <row r="445" spans="1:9" x14ac:dyDescent="0.45">
      <c r="A445" s="4">
        <v>45861</v>
      </c>
      <c r="B445" t="s">
        <v>1113</v>
      </c>
      <c r="C445" t="s">
        <v>936</v>
      </c>
      <c r="D445" t="s">
        <v>1128</v>
      </c>
      <c r="E445" t="s">
        <v>1113</v>
      </c>
      <c r="F445" t="s">
        <v>936</v>
      </c>
      <c r="G445" t="s">
        <v>52</v>
      </c>
      <c r="H445">
        <v>2</v>
      </c>
      <c r="I445" t="b">
        <f>AND(COUNTIF(CO!A:A,A445)&gt;0,COUNTIF('NO2'!A:A,A445)&gt;0,COUNTIF('PM10'!A:A,A445)&gt;0,COUNTIF('PM2.5'!A:A,A445)&gt;0,COUNTIF('SO2'!A:A,A445)&gt;0,COUNTIF(Kendaraan!A:A,A445)&gt;0)</f>
        <v>1</v>
      </c>
    </row>
    <row r="446" spans="1:9" x14ac:dyDescent="0.45">
      <c r="A446" s="4">
        <v>45862</v>
      </c>
      <c r="B446">
        <v>10</v>
      </c>
      <c r="C446">
        <v>10</v>
      </c>
      <c r="D446">
        <v>10</v>
      </c>
      <c r="E446">
        <v>10</v>
      </c>
      <c r="F446">
        <v>10</v>
      </c>
      <c r="G446">
        <v>0</v>
      </c>
      <c r="H446">
        <v>5</v>
      </c>
      <c r="I446" t="b">
        <f>AND(COUNTIF(CO!A:A,A446)&gt;0,COUNTIF('NO2'!A:A,A446)&gt;0,COUNTIF('PM10'!A:A,A446)&gt;0,COUNTIF('PM2.5'!A:A,A446)&gt;0,COUNTIF('SO2'!A:A,A446)&gt;0,COUNTIF(Kendaraan!A:A,A446)&gt;0)</f>
        <v>1</v>
      </c>
    </row>
    <row r="447" spans="1:9" x14ac:dyDescent="0.45">
      <c r="A447" s="4">
        <v>45863</v>
      </c>
      <c r="B447">
        <v>10</v>
      </c>
      <c r="C447">
        <v>10</v>
      </c>
      <c r="D447">
        <v>10</v>
      </c>
      <c r="E447">
        <v>10</v>
      </c>
      <c r="F447">
        <v>10</v>
      </c>
      <c r="G447">
        <v>0</v>
      </c>
      <c r="H447">
        <v>24</v>
      </c>
      <c r="I447" t="b">
        <f>AND(COUNTIF(CO!A:A,A447)&gt;0,COUNTIF('NO2'!A:A,A447)&gt;0,COUNTIF('PM10'!A:A,A447)&gt;0,COUNTIF('PM2.5'!A:A,A447)&gt;0,COUNTIF('SO2'!A:A,A447)&gt;0,COUNTIF(Kendaraan!A:A,A447)&gt;0)</f>
        <v>1</v>
      </c>
    </row>
    <row r="448" spans="1:9" x14ac:dyDescent="0.45">
      <c r="A448" s="4">
        <v>45864</v>
      </c>
      <c r="B448">
        <v>10</v>
      </c>
      <c r="C448">
        <v>10</v>
      </c>
      <c r="D448">
        <v>10</v>
      </c>
      <c r="E448">
        <v>10</v>
      </c>
      <c r="F448">
        <v>10</v>
      </c>
      <c r="G448">
        <v>0</v>
      </c>
      <c r="H448">
        <v>24</v>
      </c>
      <c r="I448" t="b">
        <f>AND(COUNTIF(CO!A:A,A448)&gt;0,COUNTIF('NO2'!A:A,A448)&gt;0,COUNTIF('PM10'!A:A,A448)&gt;0,COUNTIF('PM2.5'!A:A,A448)&gt;0,COUNTIF('SO2'!A:A,A448)&gt;0,COUNTIF(Kendaraan!A:A,A448)&gt;0)</f>
        <v>1</v>
      </c>
    </row>
    <row r="449" spans="1:9" x14ac:dyDescent="0.45">
      <c r="A449" s="4">
        <v>45865</v>
      </c>
      <c r="B449">
        <v>10</v>
      </c>
      <c r="C449">
        <v>10</v>
      </c>
      <c r="D449">
        <v>10</v>
      </c>
      <c r="E449">
        <v>10</v>
      </c>
      <c r="F449">
        <v>10</v>
      </c>
      <c r="G449">
        <v>0</v>
      </c>
      <c r="H449">
        <v>24</v>
      </c>
      <c r="I449" t="b">
        <f>AND(COUNTIF(CO!A:A,A449)&gt;0,COUNTIF('NO2'!A:A,A449)&gt;0,COUNTIF('PM10'!A:A,A449)&gt;0,COUNTIF('PM2.5'!A:A,A449)&gt;0,COUNTIF('SO2'!A:A,A449)&gt;0,COUNTIF(Kendaraan!A:A,A449)&gt;0)</f>
        <v>1</v>
      </c>
    </row>
    <row r="450" spans="1:9" x14ac:dyDescent="0.45">
      <c r="A450" s="4">
        <v>45866</v>
      </c>
      <c r="B450" t="s">
        <v>3074</v>
      </c>
      <c r="C450" t="s">
        <v>572</v>
      </c>
      <c r="D450" t="s">
        <v>1929</v>
      </c>
      <c r="E450" t="s">
        <v>1649</v>
      </c>
      <c r="F450" t="s">
        <v>911</v>
      </c>
      <c r="G450" s="1">
        <v>5632</v>
      </c>
      <c r="H450">
        <v>24</v>
      </c>
      <c r="I450" t="b">
        <f>AND(COUNTIF(CO!A:A,A450)&gt;0,COUNTIF('NO2'!A:A,A450)&gt;0,COUNTIF('PM10'!A:A,A450)&gt;0,COUNTIF('PM2.5'!A:A,A450)&gt;0,COUNTIF('SO2'!A:A,A450)&gt;0,COUNTIF(Kendaraan!A:A,A450)&gt;0)</f>
        <v>1</v>
      </c>
    </row>
    <row r="451" spans="1:9" x14ac:dyDescent="0.45">
      <c r="A451" s="4">
        <v>45867</v>
      </c>
      <c r="B451" t="s">
        <v>859</v>
      </c>
      <c r="C451" t="s">
        <v>2019</v>
      </c>
      <c r="D451" t="s">
        <v>2563</v>
      </c>
      <c r="E451" t="s">
        <v>398</v>
      </c>
      <c r="F451" t="s">
        <v>3075</v>
      </c>
      <c r="G451" t="s">
        <v>384</v>
      </c>
      <c r="H451">
        <v>24</v>
      </c>
      <c r="I451" t="b">
        <f>AND(COUNTIF(CO!A:A,A451)&gt;0,COUNTIF('NO2'!A:A,A451)&gt;0,COUNTIF('PM10'!A:A,A451)&gt;0,COUNTIF('PM2.5'!A:A,A451)&gt;0,COUNTIF('SO2'!A:A,A451)&gt;0,COUNTIF(Kendaraan!A:A,A451)&gt;0)</f>
        <v>1</v>
      </c>
    </row>
    <row r="452" spans="1:9" x14ac:dyDescent="0.45">
      <c r="A452" s="4">
        <v>45868</v>
      </c>
      <c r="B452" t="s">
        <v>1047</v>
      </c>
      <c r="C452" t="s">
        <v>537</v>
      </c>
      <c r="D452" t="s">
        <v>1865</v>
      </c>
      <c r="E452" t="s">
        <v>1643</v>
      </c>
      <c r="F452" t="s">
        <v>679</v>
      </c>
      <c r="G452" t="s">
        <v>2996</v>
      </c>
      <c r="H452">
        <v>24</v>
      </c>
      <c r="I452" t="b">
        <f>AND(COUNTIF(CO!A:A,A452)&gt;0,COUNTIF('NO2'!A:A,A452)&gt;0,COUNTIF('PM10'!A:A,A452)&gt;0,COUNTIF('PM2.5'!A:A,A452)&gt;0,COUNTIF('SO2'!A:A,A452)&gt;0,COUNTIF(Kendaraan!A:A,A452)&gt;0)</f>
        <v>1</v>
      </c>
    </row>
    <row r="453" spans="1:9" x14ac:dyDescent="0.45">
      <c r="A453" s="4">
        <v>45869</v>
      </c>
      <c r="B453" t="s">
        <v>1290</v>
      </c>
      <c r="C453" t="s">
        <v>2707</v>
      </c>
      <c r="D453" t="s">
        <v>2716</v>
      </c>
      <c r="E453" t="s">
        <v>2715</v>
      </c>
      <c r="F453" t="s">
        <v>2707</v>
      </c>
      <c r="G453" t="s">
        <v>888</v>
      </c>
      <c r="H453">
        <v>24</v>
      </c>
      <c r="I453" t="b">
        <f>AND(COUNTIF(CO!A:A,A453)&gt;0,COUNTIF('NO2'!A:A,A453)&gt;0,COUNTIF('PM10'!A:A,A453)&gt;0,COUNTIF('PM2.5'!A:A,A453)&gt;0,COUNTIF('SO2'!A:A,A453)&gt;0,COUNTIF(Kendaraan!A:A,A453)&gt;0)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83DB-77B6-41E2-9245-C2136F92DD85}">
  <dimension ref="A1:I453"/>
  <sheetViews>
    <sheetView topLeftCell="A423" workbookViewId="0">
      <selection activeCell="I2" sqref="I2:I453"/>
    </sheetView>
  </sheetViews>
  <sheetFormatPr defaultRowHeight="14.25" x14ac:dyDescent="0.45"/>
  <cols>
    <col min="1" max="1" width="12.5976562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>
        <v>12</v>
      </c>
      <c r="C2" t="s">
        <v>3169</v>
      </c>
      <c r="D2" t="s">
        <v>1778</v>
      </c>
      <c r="E2" t="s">
        <v>1647</v>
      </c>
      <c r="F2" t="s">
        <v>1923</v>
      </c>
      <c r="G2" s="1">
        <v>2029</v>
      </c>
      <c r="H2">
        <v>24</v>
      </c>
      <c r="I2" t="b">
        <f>AND(COUNTIF(CO!A:A,A2)&gt;0,COUNTIF('NO2'!A:A,A2)&gt;0,COUNTIF('O3'!A:A,A2)&gt;0,COUNTIF('PM2.5'!A:A,A2)&gt;0,COUNTIF('SO2'!A:A,A2)&gt;0,COUNTIF(Kendaraan!A:A,A2)&gt;0)</f>
        <v>1</v>
      </c>
    </row>
    <row r="3" spans="1:9" x14ac:dyDescent="0.45">
      <c r="A3" s="4">
        <v>45338</v>
      </c>
      <c r="B3">
        <v>5</v>
      </c>
      <c r="C3" t="s">
        <v>1229</v>
      </c>
      <c r="D3" t="s">
        <v>3225</v>
      </c>
      <c r="E3" t="s">
        <v>3164</v>
      </c>
      <c r="F3" t="s">
        <v>1507</v>
      </c>
      <c r="G3" s="1">
        <v>4522</v>
      </c>
      <c r="H3">
        <v>24</v>
      </c>
      <c r="I3" t="b">
        <f>AND(COUNTIF(CO!A:A,A3)&gt;0,COUNTIF('NO2'!A:A,A3)&gt;0,COUNTIF('O3'!A:A,A3)&gt;0,COUNTIF('PM2.5'!A:A,A3)&gt;0,COUNTIF('SO2'!A:A,A3)&gt;0,COUNTIF(Kendaraan!A:A,A3)&gt;0)</f>
        <v>1</v>
      </c>
    </row>
    <row r="4" spans="1:9" x14ac:dyDescent="0.45">
      <c r="A4" s="4">
        <v>45342</v>
      </c>
      <c r="B4" t="s">
        <v>1732</v>
      </c>
      <c r="C4" t="s">
        <v>1500</v>
      </c>
      <c r="D4" t="s">
        <v>1132</v>
      </c>
      <c r="E4" t="s">
        <v>1083</v>
      </c>
      <c r="F4" t="s">
        <v>1182</v>
      </c>
      <c r="G4" s="1">
        <v>1155</v>
      </c>
      <c r="H4">
        <v>24</v>
      </c>
      <c r="I4" t="b">
        <f>AND(COUNTIF(CO!A:A,A4)&gt;0,COUNTIF('NO2'!A:A,A4)&gt;0,COUNTIF('O3'!A:A,A4)&gt;0,COUNTIF('PM2.5'!A:A,A4)&gt;0,COUNTIF('SO2'!A:A,A4)&gt;0,COUNTIF(Kendaraan!A:A,A4)&gt;0)</f>
        <v>1</v>
      </c>
    </row>
    <row r="5" spans="1:9" x14ac:dyDescent="0.45">
      <c r="A5" s="4">
        <v>45343</v>
      </c>
      <c r="B5" t="s">
        <v>2085</v>
      </c>
      <c r="C5" t="s">
        <v>1950</v>
      </c>
      <c r="D5" t="s">
        <v>1912</v>
      </c>
      <c r="E5" t="s">
        <v>1748</v>
      </c>
      <c r="F5" t="s">
        <v>2784</v>
      </c>
      <c r="G5" s="1">
        <v>3383</v>
      </c>
      <c r="H5">
        <v>24</v>
      </c>
      <c r="I5" t="b">
        <f>AND(COUNTIF(CO!A:A,A5)&gt;0,COUNTIF('NO2'!A:A,A5)&gt;0,COUNTIF('O3'!A:A,A5)&gt;0,COUNTIF('PM2.5'!A:A,A5)&gt;0,COUNTIF('SO2'!A:A,A5)&gt;0,COUNTIF(Kendaraan!A:A,A5)&gt;0)</f>
        <v>1</v>
      </c>
    </row>
    <row r="6" spans="1:9" x14ac:dyDescent="0.45">
      <c r="A6" s="4">
        <v>45344</v>
      </c>
      <c r="B6" t="s">
        <v>47</v>
      </c>
      <c r="C6" t="s">
        <v>2086</v>
      </c>
      <c r="D6" t="s">
        <v>3241</v>
      </c>
      <c r="E6" t="s">
        <v>88</v>
      </c>
      <c r="F6" t="s">
        <v>1767</v>
      </c>
      <c r="G6" s="1">
        <v>1166</v>
      </c>
      <c r="H6">
        <v>7</v>
      </c>
      <c r="I6" t="b">
        <f>AND(COUNTIF(CO!A:A,A6)&gt;0,COUNTIF('NO2'!A:A,A6)&gt;0,COUNTIF('O3'!A:A,A6)&gt;0,COUNTIF('PM2.5'!A:A,A6)&gt;0,COUNTIF('SO2'!A:A,A6)&gt;0,COUNTIF(Kendaraan!A:A,A6)&gt;0)</f>
        <v>1</v>
      </c>
    </row>
    <row r="7" spans="1:9" x14ac:dyDescent="0.45">
      <c r="A7" s="4">
        <v>45372</v>
      </c>
      <c r="B7" t="s">
        <v>1510</v>
      </c>
      <c r="C7" t="s">
        <v>1226</v>
      </c>
      <c r="D7" t="s">
        <v>3115</v>
      </c>
      <c r="E7" t="s">
        <v>3117</v>
      </c>
      <c r="F7" t="s">
        <v>1450</v>
      </c>
      <c r="G7" t="s">
        <v>1262</v>
      </c>
      <c r="H7">
        <v>9</v>
      </c>
      <c r="I7" t="b">
        <f>AND(COUNTIF(CO!A:A,A7)&gt;0,COUNTIF('NO2'!A:A,A7)&gt;0,COUNTIF('O3'!A:A,A7)&gt;0,COUNTIF('PM2.5'!A:A,A7)&gt;0,COUNTIF('SO2'!A:A,A7)&gt;0,COUNTIF(Kendaraan!A:A,A7)&gt;0)</f>
        <v>1</v>
      </c>
    </row>
    <row r="8" spans="1:9" x14ac:dyDescent="0.45">
      <c r="A8" s="4">
        <v>45373</v>
      </c>
      <c r="B8" t="s">
        <v>3247</v>
      </c>
      <c r="C8" t="s">
        <v>3248</v>
      </c>
      <c r="D8" t="s">
        <v>3249</v>
      </c>
      <c r="E8" t="s">
        <v>3189</v>
      </c>
      <c r="F8" t="s">
        <v>3250</v>
      </c>
      <c r="G8" t="s">
        <v>55</v>
      </c>
      <c r="H8">
        <v>4</v>
      </c>
      <c r="I8" t="b">
        <f>AND(COUNTIF(CO!A:A,A8)&gt;0,COUNTIF('NO2'!A:A,A8)&gt;0,COUNTIF('O3'!A:A,A8)&gt;0,COUNTIF('PM2.5'!A:A,A8)&gt;0,COUNTIF('SO2'!A:A,A8)&gt;0,COUNTIF(Kendaraan!A:A,A8)&gt;0)</f>
        <v>1</v>
      </c>
    </row>
    <row r="9" spans="1:9" x14ac:dyDescent="0.45">
      <c r="A9" s="4">
        <v>45377</v>
      </c>
      <c r="B9" t="s">
        <v>1156</v>
      </c>
      <c r="C9" t="s">
        <v>1156</v>
      </c>
      <c r="D9" t="s">
        <v>1156</v>
      </c>
      <c r="E9" t="s">
        <v>1156</v>
      </c>
      <c r="F9" t="s">
        <v>1156</v>
      </c>
      <c r="G9">
        <v>0</v>
      </c>
      <c r="H9">
        <v>1</v>
      </c>
      <c r="I9" t="b">
        <f>AND(COUNTIF(CO!A:A,A9)&gt;0,COUNTIF('NO2'!A:A,A9)&gt;0,COUNTIF('O3'!A:A,A9)&gt;0,COUNTIF('PM2.5'!A:A,A9)&gt;0,COUNTIF('SO2'!A:A,A9)&gt;0,COUNTIF(Kendaraan!A:A,A9)&gt;0)</f>
        <v>1</v>
      </c>
    </row>
    <row r="10" spans="1:9" x14ac:dyDescent="0.45">
      <c r="A10" s="4">
        <v>45383</v>
      </c>
      <c r="B10" t="s">
        <v>1283</v>
      </c>
      <c r="C10" t="s">
        <v>1344</v>
      </c>
      <c r="D10" t="s">
        <v>1884</v>
      </c>
      <c r="E10" t="s">
        <v>752</v>
      </c>
      <c r="F10" t="s">
        <v>1707</v>
      </c>
      <c r="G10" t="s">
        <v>3251</v>
      </c>
      <c r="H10">
        <v>21</v>
      </c>
      <c r="I10" t="b">
        <f>AND(COUNTIF(CO!A:A,A10)&gt;0,COUNTIF('NO2'!A:A,A10)&gt;0,COUNTIF('O3'!A:A,A10)&gt;0,COUNTIF('PM2.5'!A:A,A10)&gt;0,COUNTIF('SO2'!A:A,A10)&gt;0,COUNTIF(Kendaraan!A:A,A10)&gt;0)</f>
        <v>1</v>
      </c>
    </row>
    <row r="11" spans="1:9" x14ac:dyDescent="0.45">
      <c r="A11" s="4">
        <v>45384</v>
      </c>
      <c r="B11" t="s">
        <v>1741</v>
      </c>
      <c r="C11" t="s">
        <v>1717</v>
      </c>
      <c r="D11" t="s">
        <v>3049</v>
      </c>
      <c r="E11" t="s">
        <v>1791</v>
      </c>
      <c r="F11" t="s">
        <v>1305</v>
      </c>
      <c r="G11" t="s">
        <v>808</v>
      </c>
      <c r="H11">
        <v>24</v>
      </c>
      <c r="I11" t="b">
        <f>AND(COUNTIF(CO!A:A,A11)&gt;0,COUNTIF('NO2'!A:A,A11)&gt;0,COUNTIF('O3'!A:A,A11)&gt;0,COUNTIF('PM2.5'!A:A,A11)&gt;0,COUNTIF('SO2'!A:A,A11)&gt;0,COUNTIF(Kendaraan!A:A,A11)&gt;0)</f>
        <v>1</v>
      </c>
    </row>
    <row r="12" spans="1:9" x14ac:dyDescent="0.45">
      <c r="A12" s="4">
        <v>45385</v>
      </c>
      <c r="B12" t="s">
        <v>1304</v>
      </c>
      <c r="C12" t="s">
        <v>3025</v>
      </c>
      <c r="D12" t="s">
        <v>1133</v>
      </c>
      <c r="E12" t="s">
        <v>2785</v>
      </c>
      <c r="F12" t="s">
        <v>3141</v>
      </c>
      <c r="G12" s="1">
        <v>1306</v>
      </c>
      <c r="H12">
        <v>24</v>
      </c>
      <c r="I12" t="b">
        <f>AND(COUNTIF(CO!A:A,A12)&gt;0,COUNTIF('NO2'!A:A,A12)&gt;0,COUNTIF('O3'!A:A,A12)&gt;0,COUNTIF('PM2.5'!A:A,A12)&gt;0,COUNTIF('SO2'!A:A,A12)&gt;0,COUNTIF(Kendaraan!A:A,A12)&gt;0)</f>
        <v>1</v>
      </c>
    </row>
    <row r="13" spans="1:9" x14ac:dyDescent="0.45">
      <c r="A13" s="4">
        <v>45386</v>
      </c>
      <c r="B13" t="s">
        <v>1321</v>
      </c>
      <c r="C13" t="s">
        <v>1089</v>
      </c>
      <c r="D13">
        <v>14</v>
      </c>
      <c r="E13" t="s">
        <v>1889</v>
      </c>
      <c r="F13" t="s">
        <v>1140</v>
      </c>
      <c r="G13" s="1">
        <v>1041</v>
      </c>
      <c r="H13">
        <v>24</v>
      </c>
      <c r="I13" t="b">
        <f>AND(COUNTIF(CO!A:A,A13)&gt;0,COUNTIF('NO2'!A:A,A13)&gt;0,COUNTIF('O3'!A:A,A13)&gt;0,COUNTIF('PM2.5'!A:A,A13)&gt;0,COUNTIF('SO2'!A:A,A13)&gt;0,COUNTIF(Kendaraan!A:A,A13)&gt;0)</f>
        <v>1</v>
      </c>
    </row>
    <row r="14" spans="1:9" x14ac:dyDescent="0.45">
      <c r="A14" s="4">
        <v>45387</v>
      </c>
      <c r="B14" t="s">
        <v>2384</v>
      </c>
      <c r="C14" t="s">
        <v>1075</v>
      </c>
      <c r="D14" t="s">
        <v>1340</v>
      </c>
      <c r="E14" t="s">
        <v>1708</v>
      </c>
      <c r="F14" t="s">
        <v>1843</v>
      </c>
      <c r="G14" s="1">
        <v>1129</v>
      </c>
      <c r="H14">
        <v>23</v>
      </c>
      <c r="I14" t="b">
        <f>AND(COUNTIF(CO!A:A,A14)&gt;0,COUNTIF('NO2'!A:A,A14)&gt;0,COUNTIF('O3'!A:A,A14)&gt;0,COUNTIF('PM2.5'!A:A,A14)&gt;0,COUNTIF('SO2'!A:A,A14)&gt;0,COUNTIF(Kendaraan!A:A,A14)&gt;0)</f>
        <v>1</v>
      </c>
    </row>
    <row r="15" spans="1:9" x14ac:dyDescent="0.45">
      <c r="A15" s="4">
        <v>45388</v>
      </c>
      <c r="B15" t="s">
        <v>1692</v>
      </c>
      <c r="C15" t="s">
        <v>1131</v>
      </c>
      <c r="D15" t="s">
        <v>2790</v>
      </c>
      <c r="E15" t="s">
        <v>2724</v>
      </c>
      <c r="F15" t="s">
        <v>1089</v>
      </c>
      <c r="G15" t="s">
        <v>862</v>
      </c>
      <c r="H15">
        <v>24</v>
      </c>
      <c r="I15" t="b">
        <f>AND(COUNTIF(CO!A:A,A15)&gt;0,COUNTIF('NO2'!A:A,A15)&gt;0,COUNTIF('O3'!A:A,A15)&gt;0,COUNTIF('PM2.5'!A:A,A15)&gt;0,COUNTIF('SO2'!A:A,A15)&gt;0,COUNTIF(Kendaraan!A:A,A15)&gt;0)</f>
        <v>1</v>
      </c>
    </row>
    <row r="16" spans="1:9" x14ac:dyDescent="0.45">
      <c r="A16" s="4">
        <v>45389</v>
      </c>
      <c r="B16" t="s">
        <v>1116</v>
      </c>
      <c r="C16" t="s">
        <v>669</v>
      </c>
      <c r="D16" t="s">
        <v>1218</v>
      </c>
      <c r="E16" t="s">
        <v>1979</v>
      </c>
      <c r="F16" t="s">
        <v>1476</v>
      </c>
      <c r="G16" s="1">
        <v>1519</v>
      </c>
      <c r="H16">
        <v>24</v>
      </c>
      <c r="I16" t="b">
        <f>AND(COUNTIF(CO!A:A,A16)&gt;0,COUNTIF('NO2'!A:A,A16)&gt;0,COUNTIF('O3'!A:A,A16)&gt;0,COUNTIF('PM2.5'!A:A,A16)&gt;0,COUNTIF('SO2'!A:A,A16)&gt;0,COUNTIF(Kendaraan!A:A,A16)&gt;0)</f>
        <v>1</v>
      </c>
    </row>
    <row r="17" spans="1:9" x14ac:dyDescent="0.45">
      <c r="A17" s="4">
        <v>45390</v>
      </c>
      <c r="B17" t="s">
        <v>2400</v>
      </c>
      <c r="C17" t="s">
        <v>879</v>
      </c>
      <c r="D17" t="s">
        <v>1873</v>
      </c>
      <c r="E17" t="s">
        <v>2062</v>
      </c>
      <c r="F17" t="s">
        <v>1216</v>
      </c>
      <c r="G17" s="1">
        <v>1784</v>
      </c>
      <c r="H17">
        <v>24</v>
      </c>
      <c r="I17" t="b">
        <f>AND(COUNTIF(CO!A:A,A17)&gt;0,COUNTIF('NO2'!A:A,A17)&gt;0,COUNTIF('O3'!A:A,A17)&gt;0,COUNTIF('PM2.5'!A:A,A17)&gt;0,COUNTIF('SO2'!A:A,A17)&gt;0,COUNTIF(Kendaraan!A:A,A17)&gt;0)</f>
        <v>1</v>
      </c>
    </row>
    <row r="18" spans="1:9" x14ac:dyDescent="0.45">
      <c r="A18" s="4">
        <v>45391</v>
      </c>
      <c r="B18" t="s">
        <v>1092</v>
      </c>
      <c r="C18" t="s">
        <v>1181</v>
      </c>
      <c r="D18" t="s">
        <v>1628</v>
      </c>
      <c r="E18" t="s">
        <v>3209</v>
      </c>
      <c r="F18" t="s">
        <v>3158</v>
      </c>
      <c r="G18" t="s">
        <v>3252</v>
      </c>
      <c r="H18">
        <v>24</v>
      </c>
      <c r="I18" t="b">
        <f>AND(COUNTIF(CO!A:A,A18)&gt;0,COUNTIF('NO2'!A:A,A18)&gt;0,COUNTIF('O3'!A:A,A18)&gt;0,COUNTIF('PM2.5'!A:A,A18)&gt;0,COUNTIF('SO2'!A:A,A18)&gt;0,COUNTIF(Kendaraan!A:A,A18)&gt;0)</f>
        <v>1</v>
      </c>
    </row>
    <row r="19" spans="1:9" x14ac:dyDescent="0.45">
      <c r="A19" s="4">
        <v>45392</v>
      </c>
      <c r="B19" t="s">
        <v>729</v>
      </c>
      <c r="C19" t="s">
        <v>1129</v>
      </c>
      <c r="D19" t="s">
        <v>2960</v>
      </c>
      <c r="E19" t="s">
        <v>952</v>
      </c>
      <c r="F19" t="s">
        <v>1977</v>
      </c>
      <c r="G19" s="1">
        <v>2441</v>
      </c>
      <c r="H19">
        <v>24</v>
      </c>
      <c r="I19" t="b">
        <f>AND(COUNTIF(CO!A:A,A19)&gt;0,COUNTIF('NO2'!A:A,A19)&gt;0,COUNTIF('O3'!A:A,A19)&gt;0,COUNTIF('PM2.5'!A:A,A19)&gt;0,COUNTIF('SO2'!A:A,A19)&gt;0,COUNTIF(Kendaraan!A:A,A19)&gt;0)</f>
        <v>1</v>
      </c>
    </row>
    <row r="20" spans="1:9" x14ac:dyDescent="0.45">
      <c r="A20" s="4">
        <v>45393</v>
      </c>
      <c r="B20" t="s">
        <v>739</v>
      </c>
      <c r="C20" t="s">
        <v>3077</v>
      </c>
      <c r="D20" t="s">
        <v>3233</v>
      </c>
      <c r="E20" t="s">
        <v>733</v>
      </c>
      <c r="F20" t="s">
        <v>1641</v>
      </c>
      <c r="G20" t="s">
        <v>2396</v>
      </c>
      <c r="H20">
        <v>24</v>
      </c>
      <c r="I20" t="b">
        <f>AND(COUNTIF(CO!A:A,A20)&gt;0,COUNTIF('NO2'!A:A,A20)&gt;0,COUNTIF('O3'!A:A,A20)&gt;0,COUNTIF('PM2.5'!A:A,A20)&gt;0,COUNTIF('SO2'!A:A,A20)&gt;0,COUNTIF(Kendaraan!A:A,A20)&gt;0)</f>
        <v>1</v>
      </c>
    </row>
    <row r="21" spans="1:9" x14ac:dyDescent="0.45">
      <c r="A21" s="4">
        <v>45394</v>
      </c>
      <c r="B21" t="s">
        <v>1286</v>
      </c>
      <c r="C21" t="s">
        <v>1129</v>
      </c>
      <c r="D21" t="s">
        <v>3253</v>
      </c>
      <c r="E21" t="s">
        <v>3254</v>
      </c>
      <c r="F21" t="s">
        <v>2601</v>
      </c>
      <c r="G21" s="1">
        <v>2251</v>
      </c>
      <c r="H21">
        <v>24</v>
      </c>
      <c r="I21" t="b">
        <f>AND(COUNTIF(CO!A:A,A21)&gt;0,COUNTIF('NO2'!A:A,A21)&gt;0,COUNTIF('O3'!A:A,A21)&gt;0,COUNTIF('PM2.5'!A:A,A21)&gt;0,COUNTIF('SO2'!A:A,A21)&gt;0,COUNTIF(Kendaraan!A:A,A21)&gt;0)</f>
        <v>1</v>
      </c>
    </row>
    <row r="22" spans="1:9" x14ac:dyDescent="0.45">
      <c r="A22" s="4">
        <v>45395</v>
      </c>
      <c r="B22" t="s">
        <v>2790</v>
      </c>
      <c r="C22" t="s">
        <v>1508</v>
      </c>
      <c r="D22" t="s">
        <v>1315</v>
      </c>
      <c r="E22" t="s">
        <v>1091</v>
      </c>
      <c r="F22" t="s">
        <v>1067</v>
      </c>
      <c r="G22" t="s">
        <v>3255</v>
      </c>
      <c r="H22">
        <v>24</v>
      </c>
      <c r="I22" t="b">
        <f>AND(COUNTIF(CO!A:A,A22)&gt;0,COUNTIF('NO2'!A:A,A22)&gt;0,COUNTIF('O3'!A:A,A22)&gt;0,COUNTIF('PM2.5'!A:A,A22)&gt;0,COUNTIF('SO2'!A:A,A22)&gt;0,COUNTIF(Kendaraan!A:A,A22)&gt;0)</f>
        <v>1</v>
      </c>
    </row>
    <row r="23" spans="1:9" x14ac:dyDescent="0.45">
      <c r="A23" s="4">
        <v>45396</v>
      </c>
      <c r="B23" t="s">
        <v>1186</v>
      </c>
      <c r="C23" t="s">
        <v>1101</v>
      </c>
      <c r="D23" t="s">
        <v>1980</v>
      </c>
      <c r="E23" t="s">
        <v>1587</v>
      </c>
      <c r="F23" t="s">
        <v>2599</v>
      </c>
      <c r="G23" t="s">
        <v>3256</v>
      </c>
      <c r="H23">
        <v>24</v>
      </c>
      <c r="I23" t="b">
        <f>AND(COUNTIF(CO!A:A,A23)&gt;0,COUNTIF('NO2'!A:A,A23)&gt;0,COUNTIF('O3'!A:A,A23)&gt;0,COUNTIF('PM2.5'!A:A,A23)&gt;0,COUNTIF('SO2'!A:A,A23)&gt;0,COUNTIF(Kendaraan!A:A,A23)&gt;0)</f>
        <v>1</v>
      </c>
    </row>
    <row r="24" spans="1:9" x14ac:dyDescent="0.45">
      <c r="A24" s="4">
        <v>45397</v>
      </c>
      <c r="B24">
        <v>17</v>
      </c>
      <c r="C24" t="s">
        <v>1198</v>
      </c>
      <c r="D24" t="s">
        <v>1917</v>
      </c>
      <c r="E24" t="s">
        <v>3159</v>
      </c>
      <c r="F24" t="s">
        <v>1205</v>
      </c>
      <c r="G24" s="1">
        <v>1408</v>
      </c>
      <c r="H24">
        <v>24</v>
      </c>
      <c r="I24" t="b">
        <f>AND(COUNTIF(CO!A:A,A24)&gt;0,COUNTIF('NO2'!A:A,A24)&gt;0,COUNTIF('O3'!A:A,A24)&gt;0,COUNTIF('PM2.5'!A:A,A24)&gt;0,COUNTIF('SO2'!A:A,A24)&gt;0,COUNTIF(Kendaraan!A:A,A24)&gt;0)</f>
        <v>1</v>
      </c>
    </row>
    <row r="25" spans="1:9" x14ac:dyDescent="0.45">
      <c r="A25" s="4">
        <v>45398</v>
      </c>
      <c r="B25" t="s">
        <v>1158</v>
      </c>
      <c r="C25" t="s">
        <v>1267</v>
      </c>
      <c r="D25" t="s">
        <v>1448</v>
      </c>
      <c r="E25" t="s">
        <v>2003</v>
      </c>
      <c r="F25" t="s">
        <v>3232</v>
      </c>
      <c r="G25" t="s">
        <v>3257</v>
      </c>
      <c r="H25">
        <v>24</v>
      </c>
      <c r="I25" t="b">
        <f>AND(COUNTIF(CO!A:A,A25)&gt;0,COUNTIF('NO2'!A:A,A25)&gt;0,COUNTIF('O3'!A:A,A25)&gt;0,COUNTIF('PM2.5'!A:A,A25)&gt;0,COUNTIF('SO2'!A:A,A25)&gt;0,COUNTIF(Kendaraan!A:A,A25)&gt;0)</f>
        <v>1</v>
      </c>
    </row>
    <row r="26" spans="1:9" x14ac:dyDescent="0.45">
      <c r="A26" s="4">
        <v>45399</v>
      </c>
      <c r="B26" t="s">
        <v>2691</v>
      </c>
      <c r="C26" t="s">
        <v>1127</v>
      </c>
      <c r="D26" t="s">
        <v>1844</v>
      </c>
      <c r="E26" t="s">
        <v>1781</v>
      </c>
      <c r="F26" t="s">
        <v>1761</v>
      </c>
      <c r="G26" s="1">
        <v>1518</v>
      </c>
      <c r="H26">
        <v>24</v>
      </c>
      <c r="I26" t="b">
        <f>AND(COUNTIF(CO!A:A,A26)&gt;0,COUNTIF('NO2'!A:A,A26)&gt;0,COUNTIF('O3'!A:A,A26)&gt;0,COUNTIF('PM2.5'!A:A,A26)&gt;0,COUNTIF('SO2'!A:A,A26)&gt;0,COUNTIF(Kendaraan!A:A,A26)&gt;0)</f>
        <v>1</v>
      </c>
    </row>
    <row r="27" spans="1:9" x14ac:dyDescent="0.45">
      <c r="A27" s="4">
        <v>45400</v>
      </c>
      <c r="B27" t="s">
        <v>1335</v>
      </c>
      <c r="C27" t="s">
        <v>3258</v>
      </c>
      <c r="D27" t="s">
        <v>1963</v>
      </c>
      <c r="E27" t="s">
        <v>1065</v>
      </c>
      <c r="F27" t="s">
        <v>2760</v>
      </c>
      <c r="G27" s="1">
        <v>1071</v>
      </c>
      <c r="H27">
        <v>24</v>
      </c>
      <c r="I27" t="b">
        <f>AND(COUNTIF(CO!A:A,A27)&gt;0,COUNTIF('NO2'!A:A,A27)&gt;0,COUNTIF('O3'!A:A,A27)&gt;0,COUNTIF('PM2.5'!A:A,A27)&gt;0,COUNTIF('SO2'!A:A,A27)&gt;0,COUNTIF(Kendaraan!A:A,A27)&gt;0)</f>
        <v>1</v>
      </c>
    </row>
    <row r="28" spans="1:9" x14ac:dyDescent="0.45">
      <c r="A28" s="4">
        <v>45401</v>
      </c>
      <c r="B28" t="s">
        <v>730</v>
      </c>
      <c r="C28" t="s">
        <v>2767</v>
      </c>
      <c r="D28" t="s">
        <v>1811</v>
      </c>
      <c r="E28" t="s">
        <v>1055</v>
      </c>
      <c r="F28" t="s">
        <v>2698</v>
      </c>
      <c r="G28" s="1">
        <v>1489</v>
      </c>
      <c r="H28">
        <v>24</v>
      </c>
      <c r="I28" t="b">
        <f>AND(COUNTIF(CO!A:A,A28)&gt;0,COUNTIF('NO2'!A:A,A28)&gt;0,COUNTIF('O3'!A:A,A28)&gt;0,COUNTIF('PM2.5'!A:A,A28)&gt;0,COUNTIF('SO2'!A:A,A28)&gt;0,COUNTIF(Kendaraan!A:A,A28)&gt;0)</f>
        <v>1</v>
      </c>
    </row>
    <row r="29" spans="1:9" x14ac:dyDescent="0.45">
      <c r="A29" s="4">
        <v>45402</v>
      </c>
      <c r="B29" t="s">
        <v>1281</v>
      </c>
      <c r="C29" t="s">
        <v>1850</v>
      </c>
      <c r="D29">
        <v>16</v>
      </c>
      <c r="E29" t="s">
        <v>1381</v>
      </c>
      <c r="F29" t="s">
        <v>1508</v>
      </c>
      <c r="G29" s="1">
        <v>2851</v>
      </c>
      <c r="H29">
        <v>24</v>
      </c>
      <c r="I29" t="b">
        <f>AND(COUNTIF(CO!A:A,A29)&gt;0,COUNTIF('NO2'!A:A,A29)&gt;0,COUNTIF('O3'!A:A,A29)&gt;0,COUNTIF('PM2.5'!A:A,A29)&gt;0,COUNTIF('SO2'!A:A,A29)&gt;0,COUNTIF(Kendaraan!A:A,A29)&gt;0)</f>
        <v>1</v>
      </c>
    </row>
    <row r="30" spans="1:9" x14ac:dyDescent="0.45">
      <c r="A30" s="4">
        <v>45403</v>
      </c>
      <c r="B30" t="s">
        <v>1976</v>
      </c>
      <c r="C30" t="s">
        <v>915</v>
      </c>
      <c r="D30" t="s">
        <v>3259</v>
      </c>
      <c r="E30" t="s">
        <v>1586</v>
      </c>
      <c r="F30" t="s">
        <v>1566</v>
      </c>
      <c r="G30" s="1">
        <v>1529</v>
      </c>
      <c r="H30">
        <v>24</v>
      </c>
      <c r="I30" t="b">
        <f>AND(COUNTIF(CO!A:A,A30)&gt;0,COUNTIF('NO2'!A:A,A30)&gt;0,COUNTIF('O3'!A:A,A30)&gt;0,COUNTIF('PM2.5'!A:A,A30)&gt;0,COUNTIF('SO2'!A:A,A30)&gt;0,COUNTIF(Kendaraan!A:A,A30)&gt;0)</f>
        <v>1</v>
      </c>
    </row>
    <row r="31" spans="1:9" x14ac:dyDescent="0.45">
      <c r="A31" s="4">
        <v>45404</v>
      </c>
      <c r="B31" t="s">
        <v>696</v>
      </c>
      <c r="C31" t="s">
        <v>1511</v>
      </c>
      <c r="D31" t="s">
        <v>1324</v>
      </c>
      <c r="E31" t="s">
        <v>3260</v>
      </c>
      <c r="F31" t="s">
        <v>2393</v>
      </c>
      <c r="G31" s="1">
        <v>1484</v>
      </c>
      <c r="H31">
        <v>24</v>
      </c>
      <c r="I31" t="b">
        <f>AND(COUNTIF(CO!A:A,A31)&gt;0,COUNTIF('NO2'!A:A,A31)&gt;0,COUNTIF('O3'!A:A,A31)&gt;0,COUNTIF('PM2.5'!A:A,A31)&gt;0,COUNTIF('SO2'!A:A,A31)&gt;0,COUNTIF(Kendaraan!A:A,A31)&gt;0)</f>
        <v>1</v>
      </c>
    </row>
    <row r="32" spans="1:9" x14ac:dyDescent="0.45">
      <c r="A32" s="4">
        <v>45405</v>
      </c>
      <c r="B32" t="s">
        <v>1338</v>
      </c>
      <c r="C32" t="s">
        <v>879</v>
      </c>
      <c r="D32" t="s">
        <v>1495</v>
      </c>
      <c r="E32" t="s">
        <v>1941</v>
      </c>
      <c r="F32" t="s">
        <v>1095</v>
      </c>
      <c r="G32" s="1">
        <v>2032</v>
      </c>
      <c r="H32">
        <v>24</v>
      </c>
      <c r="I32" t="b">
        <f>AND(COUNTIF(CO!A:A,A32)&gt;0,COUNTIF('NO2'!A:A,A32)&gt;0,COUNTIF('O3'!A:A,A32)&gt;0,COUNTIF('PM2.5'!A:A,A32)&gt;0,COUNTIF('SO2'!A:A,A32)&gt;0,COUNTIF(Kendaraan!A:A,A32)&gt;0)</f>
        <v>1</v>
      </c>
    </row>
    <row r="33" spans="1:9" x14ac:dyDescent="0.45">
      <c r="A33" s="4">
        <v>45406</v>
      </c>
      <c r="B33" t="s">
        <v>1242</v>
      </c>
      <c r="C33" t="s">
        <v>3261</v>
      </c>
      <c r="D33" t="s">
        <v>3262</v>
      </c>
      <c r="E33" t="s">
        <v>2321</v>
      </c>
      <c r="F33" t="s">
        <v>2879</v>
      </c>
      <c r="G33" s="1">
        <v>2325</v>
      </c>
      <c r="H33">
        <v>24</v>
      </c>
      <c r="I33" t="b">
        <f>AND(COUNTIF(CO!A:A,A33)&gt;0,COUNTIF('NO2'!A:A,A33)&gt;0,COUNTIF('O3'!A:A,A33)&gt;0,COUNTIF('PM2.5'!A:A,A33)&gt;0,COUNTIF('SO2'!A:A,A33)&gt;0,COUNTIF(Kendaraan!A:A,A33)&gt;0)</f>
        <v>1</v>
      </c>
    </row>
    <row r="34" spans="1:9" x14ac:dyDescent="0.45">
      <c r="A34" s="4">
        <v>45407</v>
      </c>
      <c r="B34" t="s">
        <v>909</v>
      </c>
      <c r="C34" t="s">
        <v>830</v>
      </c>
      <c r="D34" t="s">
        <v>404</v>
      </c>
      <c r="E34" t="s">
        <v>3263</v>
      </c>
      <c r="F34" t="s">
        <v>831</v>
      </c>
      <c r="G34" t="s">
        <v>2855</v>
      </c>
      <c r="H34">
        <v>24</v>
      </c>
      <c r="I34" t="b">
        <f>AND(COUNTIF(CO!A:A,A34)&gt;0,COUNTIF('NO2'!A:A,A34)&gt;0,COUNTIF('O3'!A:A,A34)&gt;0,COUNTIF('PM2.5'!A:A,A34)&gt;0,COUNTIF('SO2'!A:A,A34)&gt;0,COUNTIF(Kendaraan!A:A,A34)&gt;0)</f>
        <v>1</v>
      </c>
    </row>
    <row r="35" spans="1:9" x14ac:dyDescent="0.45">
      <c r="A35" s="4">
        <v>45408</v>
      </c>
      <c r="B35" t="s">
        <v>1226</v>
      </c>
      <c r="C35" t="s">
        <v>466</v>
      </c>
      <c r="D35" t="s">
        <v>885</v>
      </c>
      <c r="E35" t="s">
        <v>3264</v>
      </c>
      <c r="F35" t="s">
        <v>3265</v>
      </c>
      <c r="G35" s="1">
        <v>1219</v>
      </c>
      <c r="H35">
        <v>24</v>
      </c>
      <c r="I35" t="b">
        <f>AND(COUNTIF(CO!A:A,A35)&gt;0,COUNTIF('NO2'!A:A,A35)&gt;0,COUNTIF('O3'!A:A,A35)&gt;0,COUNTIF('PM2.5'!A:A,A35)&gt;0,COUNTIF('SO2'!A:A,A35)&gt;0,COUNTIF(Kendaraan!A:A,A35)&gt;0)</f>
        <v>1</v>
      </c>
    </row>
    <row r="36" spans="1:9" x14ac:dyDescent="0.45">
      <c r="A36" s="4">
        <v>45409</v>
      </c>
      <c r="B36" t="s">
        <v>2753</v>
      </c>
      <c r="C36" t="s">
        <v>477</v>
      </c>
      <c r="D36" t="s">
        <v>1101</v>
      </c>
      <c r="E36" t="s">
        <v>3266</v>
      </c>
      <c r="F36" t="s">
        <v>1206</v>
      </c>
      <c r="G36" s="1">
        <v>2401</v>
      </c>
      <c r="H36">
        <v>24</v>
      </c>
      <c r="I36" t="b">
        <f>AND(COUNTIF(CO!A:A,A36)&gt;0,COUNTIF('NO2'!A:A,A36)&gt;0,COUNTIF('O3'!A:A,A36)&gt;0,COUNTIF('PM2.5'!A:A,A36)&gt;0,COUNTIF('SO2'!A:A,A36)&gt;0,COUNTIF(Kendaraan!A:A,A36)&gt;0)</f>
        <v>1</v>
      </c>
    </row>
    <row r="37" spans="1:9" x14ac:dyDescent="0.45">
      <c r="A37" s="4">
        <v>45410</v>
      </c>
      <c r="B37" t="s">
        <v>517</v>
      </c>
      <c r="C37" t="s">
        <v>3267</v>
      </c>
      <c r="D37" t="s">
        <v>3268</v>
      </c>
      <c r="E37" t="s">
        <v>2558</v>
      </c>
      <c r="F37" t="s">
        <v>1523</v>
      </c>
      <c r="G37" t="s">
        <v>250</v>
      </c>
      <c r="H37">
        <v>24</v>
      </c>
      <c r="I37" t="b">
        <f>AND(COUNTIF(CO!A:A,A37)&gt;0,COUNTIF('NO2'!A:A,A37)&gt;0,COUNTIF('O3'!A:A,A37)&gt;0,COUNTIF('PM2.5'!A:A,A37)&gt;0,COUNTIF('SO2'!A:A,A37)&gt;0,COUNTIF(Kendaraan!A:A,A37)&gt;0)</f>
        <v>1</v>
      </c>
    </row>
    <row r="38" spans="1:9" x14ac:dyDescent="0.45">
      <c r="A38" s="4">
        <v>45411</v>
      </c>
      <c r="B38" t="s">
        <v>466</v>
      </c>
      <c r="C38" t="s">
        <v>2561</v>
      </c>
      <c r="D38" t="s">
        <v>493</v>
      </c>
      <c r="E38" t="s">
        <v>635</v>
      </c>
      <c r="F38" t="s">
        <v>3269</v>
      </c>
      <c r="G38" s="1">
        <v>1308</v>
      </c>
      <c r="H38">
        <v>24</v>
      </c>
      <c r="I38" t="b">
        <f>AND(COUNTIF(CO!A:A,A38)&gt;0,COUNTIF('NO2'!A:A,A38)&gt;0,COUNTIF('O3'!A:A,A38)&gt;0,COUNTIF('PM2.5'!A:A,A38)&gt;0,COUNTIF('SO2'!A:A,A38)&gt;0,COUNTIF(Kendaraan!A:A,A38)&gt;0)</f>
        <v>1</v>
      </c>
    </row>
    <row r="39" spans="1:9" x14ac:dyDescent="0.45">
      <c r="A39" s="4">
        <v>45412</v>
      </c>
      <c r="B39" t="s">
        <v>3188</v>
      </c>
      <c r="C39" t="s">
        <v>3270</v>
      </c>
      <c r="D39" t="s">
        <v>3271</v>
      </c>
      <c r="E39" t="s">
        <v>2566</v>
      </c>
      <c r="F39" t="s">
        <v>3272</v>
      </c>
      <c r="G39" s="1">
        <v>1605</v>
      </c>
      <c r="H39">
        <v>24</v>
      </c>
      <c r="I39" t="b">
        <f>AND(COUNTIF(CO!A:A,A39)&gt;0,COUNTIF('NO2'!A:A,A39)&gt;0,COUNTIF('O3'!A:A,A39)&gt;0,COUNTIF('PM2.5'!A:A,A39)&gt;0,COUNTIF('SO2'!A:A,A39)&gt;0,COUNTIF(Kendaraan!A:A,A39)&gt;0)</f>
        <v>1</v>
      </c>
    </row>
    <row r="40" spans="1:9" x14ac:dyDescent="0.45">
      <c r="A40" s="4">
        <v>45413</v>
      </c>
      <c r="B40" t="s">
        <v>1557</v>
      </c>
      <c r="C40">
        <v>34</v>
      </c>
      <c r="D40" t="s">
        <v>835</v>
      </c>
      <c r="E40" t="s">
        <v>3273</v>
      </c>
      <c r="F40" t="s">
        <v>3274</v>
      </c>
      <c r="G40" s="1">
        <v>2505</v>
      </c>
      <c r="H40">
        <v>24</v>
      </c>
      <c r="I40" t="b">
        <f>AND(COUNTIF(CO!A:A,A40)&gt;0,COUNTIF('NO2'!A:A,A40)&gt;0,COUNTIF('O3'!A:A,A40)&gt;0,COUNTIF('PM2.5'!A:A,A40)&gt;0,COUNTIF('SO2'!A:A,A40)&gt;0,COUNTIF(Kendaraan!A:A,A40)&gt;0)</f>
        <v>1</v>
      </c>
    </row>
    <row r="41" spans="1:9" x14ac:dyDescent="0.45">
      <c r="A41" s="4">
        <v>45414</v>
      </c>
      <c r="B41" t="s">
        <v>614</v>
      </c>
      <c r="C41" t="s">
        <v>2317</v>
      </c>
      <c r="D41" t="s">
        <v>3275</v>
      </c>
      <c r="E41" t="s">
        <v>2971</v>
      </c>
      <c r="F41" t="s">
        <v>2976</v>
      </c>
      <c r="G41" t="s">
        <v>3276</v>
      </c>
      <c r="H41">
        <v>24</v>
      </c>
      <c r="I41" t="b">
        <f>AND(COUNTIF(CO!A:A,A41)&gt;0,COUNTIF('NO2'!A:A,A41)&gt;0,COUNTIF('O3'!A:A,A41)&gt;0,COUNTIF('PM2.5'!A:A,A41)&gt;0,COUNTIF('SO2'!A:A,A41)&gt;0,COUNTIF(Kendaraan!A:A,A41)&gt;0)</f>
        <v>1</v>
      </c>
    </row>
    <row r="42" spans="1:9" x14ac:dyDescent="0.45">
      <c r="A42" s="4">
        <v>45415</v>
      </c>
      <c r="B42" t="s">
        <v>1212</v>
      </c>
      <c r="C42">
        <v>24</v>
      </c>
      <c r="D42" t="s">
        <v>428</v>
      </c>
      <c r="E42" t="s">
        <v>1253</v>
      </c>
      <c r="F42" t="s">
        <v>1408</v>
      </c>
      <c r="G42" s="1">
        <v>1346</v>
      </c>
      <c r="H42">
        <v>24</v>
      </c>
      <c r="I42" t="b">
        <f>AND(COUNTIF(CO!A:A,A42)&gt;0,COUNTIF('NO2'!A:A,A42)&gt;0,COUNTIF('O3'!A:A,A42)&gt;0,COUNTIF('PM2.5'!A:A,A42)&gt;0,COUNTIF('SO2'!A:A,A42)&gt;0,COUNTIF(Kendaraan!A:A,A42)&gt;0)</f>
        <v>1</v>
      </c>
    </row>
    <row r="43" spans="1:9" x14ac:dyDescent="0.45">
      <c r="A43" s="4">
        <v>45416</v>
      </c>
      <c r="B43" t="s">
        <v>1450</v>
      </c>
      <c r="C43" t="s">
        <v>3277</v>
      </c>
      <c r="D43" t="s">
        <v>3278</v>
      </c>
      <c r="E43" t="s">
        <v>1483</v>
      </c>
      <c r="F43" t="s">
        <v>679</v>
      </c>
      <c r="G43" s="1">
        <v>1435</v>
      </c>
      <c r="H43">
        <v>16</v>
      </c>
      <c r="I43" t="b">
        <f>AND(COUNTIF(CO!A:A,A43)&gt;0,COUNTIF('NO2'!A:A,A43)&gt;0,COUNTIF('O3'!A:A,A43)&gt;0,COUNTIF('PM2.5'!A:A,A43)&gt;0,COUNTIF('SO2'!A:A,A43)&gt;0,COUNTIF(Kendaraan!A:A,A43)&gt;0)</f>
        <v>1</v>
      </c>
    </row>
    <row r="44" spans="1:9" x14ac:dyDescent="0.45">
      <c r="A44" s="4">
        <v>45417</v>
      </c>
      <c r="B44" t="s">
        <v>1131</v>
      </c>
      <c r="C44" t="s">
        <v>1314</v>
      </c>
      <c r="D44" t="s">
        <v>2059</v>
      </c>
      <c r="E44" t="s">
        <v>1980</v>
      </c>
      <c r="F44" t="s">
        <v>2762</v>
      </c>
      <c r="G44" t="s">
        <v>3279</v>
      </c>
      <c r="H44">
        <v>20</v>
      </c>
      <c r="I44" t="b">
        <f>AND(COUNTIF(CO!A:A,A44)&gt;0,COUNTIF('NO2'!A:A,A44)&gt;0,COUNTIF('O3'!A:A,A44)&gt;0,COUNTIF('PM2.5'!A:A,A44)&gt;0,COUNTIF('SO2'!A:A,A44)&gt;0,COUNTIF(Kendaraan!A:A,A44)&gt;0)</f>
        <v>1</v>
      </c>
    </row>
    <row r="45" spans="1:9" x14ac:dyDescent="0.45">
      <c r="A45" s="4">
        <v>45418</v>
      </c>
      <c r="B45" t="s">
        <v>2770</v>
      </c>
      <c r="C45" t="s">
        <v>1231</v>
      </c>
      <c r="D45" t="s">
        <v>1132</v>
      </c>
      <c r="E45" t="s">
        <v>1082</v>
      </c>
      <c r="F45" t="s">
        <v>1976</v>
      </c>
      <c r="G45" s="1">
        <v>1542</v>
      </c>
      <c r="H45">
        <v>24</v>
      </c>
      <c r="I45" t="b">
        <f>AND(COUNTIF(CO!A:A,A45)&gt;0,COUNTIF('NO2'!A:A,A45)&gt;0,COUNTIF('O3'!A:A,A45)&gt;0,COUNTIF('PM2.5'!A:A,A45)&gt;0,COUNTIF('SO2'!A:A,A45)&gt;0,COUNTIF(Kendaraan!A:A,A45)&gt;0)</f>
        <v>1</v>
      </c>
    </row>
    <row r="46" spans="1:9" x14ac:dyDescent="0.45">
      <c r="A46" s="4">
        <v>45419</v>
      </c>
      <c r="B46" t="s">
        <v>1759</v>
      </c>
      <c r="C46" t="s">
        <v>412</v>
      </c>
      <c r="D46" t="s">
        <v>887</v>
      </c>
      <c r="E46" t="s">
        <v>1131</v>
      </c>
      <c r="F46" t="s">
        <v>3066</v>
      </c>
      <c r="G46" t="s">
        <v>3079</v>
      </c>
      <c r="H46">
        <v>24</v>
      </c>
      <c r="I46" t="b">
        <f>AND(COUNTIF(CO!A:A,A46)&gt;0,COUNTIF('NO2'!A:A,A46)&gt;0,COUNTIF('O3'!A:A,A46)&gt;0,COUNTIF('PM2.5'!A:A,A46)&gt;0,COUNTIF('SO2'!A:A,A46)&gt;0,COUNTIF(Kendaraan!A:A,A46)&gt;0)</f>
        <v>1</v>
      </c>
    </row>
    <row r="47" spans="1:9" x14ac:dyDescent="0.45">
      <c r="A47" s="4">
        <v>45420</v>
      </c>
      <c r="B47" t="s">
        <v>1848</v>
      </c>
      <c r="C47" t="s">
        <v>513</v>
      </c>
      <c r="D47" t="s">
        <v>3226</v>
      </c>
      <c r="E47" t="s">
        <v>1743</v>
      </c>
      <c r="F47" t="s">
        <v>623</v>
      </c>
      <c r="G47" s="1">
        <v>3615</v>
      </c>
      <c r="H47">
        <v>24</v>
      </c>
      <c r="I47" t="b">
        <f>AND(COUNTIF(CO!A:A,A47)&gt;0,COUNTIF('NO2'!A:A,A47)&gt;0,COUNTIF('O3'!A:A,A47)&gt;0,COUNTIF('PM2.5'!A:A,A47)&gt;0,COUNTIF('SO2'!A:A,A47)&gt;0,COUNTIF(Kendaraan!A:A,A47)&gt;0)</f>
        <v>1</v>
      </c>
    </row>
    <row r="48" spans="1:9" x14ac:dyDescent="0.45">
      <c r="A48" s="4">
        <v>45421</v>
      </c>
      <c r="B48" t="s">
        <v>2583</v>
      </c>
      <c r="C48" t="s">
        <v>2248</v>
      </c>
      <c r="D48" t="s">
        <v>2061</v>
      </c>
      <c r="E48" t="s">
        <v>3280</v>
      </c>
      <c r="F48" t="s">
        <v>3281</v>
      </c>
      <c r="G48" s="1">
        <v>3454</v>
      </c>
      <c r="H48">
        <v>24</v>
      </c>
      <c r="I48" t="b">
        <f>AND(COUNTIF(CO!A:A,A48)&gt;0,COUNTIF('NO2'!A:A,A48)&gt;0,COUNTIF('O3'!A:A,A48)&gt;0,COUNTIF('PM2.5'!A:A,A48)&gt;0,COUNTIF('SO2'!A:A,A48)&gt;0,COUNTIF(Kendaraan!A:A,A48)&gt;0)</f>
        <v>1</v>
      </c>
    </row>
    <row r="49" spans="1:9" x14ac:dyDescent="0.45">
      <c r="A49" s="4">
        <v>45422</v>
      </c>
      <c r="B49" t="s">
        <v>339</v>
      </c>
      <c r="C49" t="s">
        <v>2245</v>
      </c>
      <c r="D49" t="s">
        <v>3282</v>
      </c>
      <c r="E49" t="s">
        <v>1947</v>
      </c>
      <c r="F49" t="s">
        <v>2346</v>
      </c>
      <c r="G49" s="1">
        <v>1201</v>
      </c>
      <c r="H49">
        <v>24</v>
      </c>
      <c r="I49" t="b">
        <f>AND(COUNTIF(CO!A:A,A49)&gt;0,COUNTIF('NO2'!A:A,A49)&gt;0,COUNTIF('O3'!A:A,A49)&gt;0,COUNTIF('PM2.5'!A:A,A49)&gt;0,COUNTIF('SO2'!A:A,A49)&gt;0,COUNTIF(Kendaraan!A:A,A49)&gt;0)</f>
        <v>1</v>
      </c>
    </row>
    <row r="50" spans="1:9" x14ac:dyDescent="0.45">
      <c r="A50" s="4">
        <v>45423</v>
      </c>
      <c r="B50" t="s">
        <v>3283</v>
      </c>
      <c r="C50" t="s">
        <v>2231</v>
      </c>
      <c r="D50" t="s">
        <v>3284</v>
      </c>
      <c r="E50" t="s">
        <v>2014</v>
      </c>
      <c r="F50" t="s">
        <v>2369</v>
      </c>
      <c r="G50" s="1">
        <v>1296</v>
      </c>
      <c r="H50">
        <v>24</v>
      </c>
      <c r="I50" t="b">
        <f>AND(COUNTIF(CO!A:A,A50)&gt;0,COUNTIF('NO2'!A:A,A50)&gt;0,COUNTIF('O3'!A:A,A50)&gt;0,COUNTIF('PM2.5'!A:A,A50)&gt;0,COUNTIF('SO2'!A:A,A50)&gt;0,COUNTIF(Kendaraan!A:A,A50)&gt;0)</f>
        <v>1</v>
      </c>
    </row>
    <row r="51" spans="1:9" x14ac:dyDescent="0.45">
      <c r="A51" s="4">
        <v>45424</v>
      </c>
      <c r="B51" t="s">
        <v>2867</v>
      </c>
      <c r="C51" t="s">
        <v>3285</v>
      </c>
      <c r="D51" t="s">
        <v>3286</v>
      </c>
      <c r="E51" t="s">
        <v>3287</v>
      </c>
      <c r="F51" t="s">
        <v>2346</v>
      </c>
      <c r="G51" s="1">
        <v>2015</v>
      </c>
      <c r="H51">
        <v>24</v>
      </c>
      <c r="I51" t="b">
        <f>AND(COUNTIF(CO!A:A,A51)&gt;0,COUNTIF('NO2'!A:A,A51)&gt;0,COUNTIF('O3'!A:A,A51)&gt;0,COUNTIF('PM2.5'!A:A,A51)&gt;0,COUNTIF('SO2'!A:A,A51)&gt;0,COUNTIF(Kendaraan!A:A,A51)&gt;0)</f>
        <v>1</v>
      </c>
    </row>
    <row r="52" spans="1:9" x14ac:dyDescent="0.45">
      <c r="A52" s="4">
        <v>45425</v>
      </c>
      <c r="B52" t="s">
        <v>2267</v>
      </c>
      <c r="C52" t="s">
        <v>2531</v>
      </c>
      <c r="D52" t="s">
        <v>2499</v>
      </c>
      <c r="E52" t="s">
        <v>3222</v>
      </c>
      <c r="F52" t="s">
        <v>2887</v>
      </c>
      <c r="G52" s="1">
        <v>2724</v>
      </c>
      <c r="H52">
        <v>24</v>
      </c>
      <c r="I52" t="b">
        <f>AND(COUNTIF(CO!A:A,A52)&gt;0,COUNTIF('NO2'!A:A,A52)&gt;0,COUNTIF('O3'!A:A,A52)&gt;0,COUNTIF('PM2.5'!A:A,A52)&gt;0,COUNTIF('SO2'!A:A,A52)&gt;0,COUNTIF(Kendaraan!A:A,A52)&gt;0)</f>
        <v>1</v>
      </c>
    </row>
    <row r="53" spans="1:9" x14ac:dyDescent="0.45">
      <c r="A53" s="4">
        <v>45426</v>
      </c>
      <c r="B53" t="s">
        <v>839</v>
      </c>
      <c r="C53" t="s">
        <v>3288</v>
      </c>
      <c r="D53" t="s">
        <v>3177</v>
      </c>
      <c r="E53" t="s">
        <v>3289</v>
      </c>
      <c r="F53" t="s">
        <v>3290</v>
      </c>
      <c r="G53" s="1">
        <v>1212</v>
      </c>
      <c r="H53">
        <v>24</v>
      </c>
      <c r="I53" t="b">
        <f>AND(COUNTIF(CO!A:A,A53)&gt;0,COUNTIF('NO2'!A:A,A53)&gt;0,COUNTIF('O3'!A:A,A53)&gt;0,COUNTIF('PM2.5'!A:A,A53)&gt;0,COUNTIF('SO2'!A:A,A53)&gt;0,COUNTIF(Kendaraan!A:A,A53)&gt;0)</f>
        <v>1</v>
      </c>
    </row>
    <row r="54" spans="1:9" x14ac:dyDescent="0.45">
      <c r="A54" s="4">
        <v>45427</v>
      </c>
      <c r="B54" t="s">
        <v>2306</v>
      </c>
      <c r="C54" t="s">
        <v>3291</v>
      </c>
      <c r="D54" t="s">
        <v>2499</v>
      </c>
      <c r="E54" t="s">
        <v>3292</v>
      </c>
      <c r="F54" t="s">
        <v>3293</v>
      </c>
      <c r="G54" s="1">
        <v>4083</v>
      </c>
      <c r="H54">
        <v>24</v>
      </c>
      <c r="I54" t="b">
        <f>AND(COUNTIF(CO!A:A,A54)&gt;0,COUNTIF('NO2'!A:A,A54)&gt;0,COUNTIF('O3'!A:A,A54)&gt;0,COUNTIF('PM2.5'!A:A,A54)&gt;0,COUNTIF('SO2'!A:A,A54)&gt;0,COUNTIF(Kendaraan!A:A,A54)&gt;0)</f>
        <v>1</v>
      </c>
    </row>
    <row r="55" spans="1:9" x14ac:dyDescent="0.45">
      <c r="A55" s="4">
        <v>45428</v>
      </c>
      <c r="B55" t="s">
        <v>3294</v>
      </c>
      <c r="C55" t="s">
        <v>3295</v>
      </c>
      <c r="D55" t="s">
        <v>2361</v>
      </c>
      <c r="E55" t="s">
        <v>2302</v>
      </c>
      <c r="F55" t="s">
        <v>3296</v>
      </c>
      <c r="G55" s="1">
        <v>5719</v>
      </c>
      <c r="H55">
        <v>24</v>
      </c>
      <c r="I55" t="b">
        <f>AND(COUNTIF(CO!A:A,A55)&gt;0,COUNTIF('NO2'!A:A,A55)&gt;0,COUNTIF('O3'!A:A,A55)&gt;0,COUNTIF('PM2.5'!A:A,A55)&gt;0,COUNTIF('SO2'!A:A,A55)&gt;0,COUNTIF(Kendaraan!A:A,A55)&gt;0)</f>
        <v>1</v>
      </c>
    </row>
    <row r="56" spans="1:9" x14ac:dyDescent="0.45">
      <c r="A56" s="4">
        <v>45429</v>
      </c>
      <c r="B56" t="s">
        <v>566</v>
      </c>
      <c r="C56" t="s">
        <v>834</v>
      </c>
      <c r="D56" t="s">
        <v>1978</v>
      </c>
      <c r="E56" t="s">
        <v>3297</v>
      </c>
      <c r="F56" t="s">
        <v>3298</v>
      </c>
      <c r="G56" t="s">
        <v>154</v>
      </c>
      <c r="H56">
        <v>24</v>
      </c>
      <c r="I56" t="b">
        <f>AND(COUNTIF(CO!A:A,A56)&gt;0,COUNTIF('NO2'!A:A,A56)&gt;0,COUNTIF('O3'!A:A,A56)&gt;0,COUNTIF('PM2.5'!A:A,A56)&gt;0,COUNTIF('SO2'!A:A,A56)&gt;0,COUNTIF(Kendaraan!A:A,A56)&gt;0)</f>
        <v>1</v>
      </c>
    </row>
    <row r="57" spans="1:9" x14ac:dyDescent="0.45">
      <c r="A57" s="4">
        <v>45430</v>
      </c>
      <c r="B57" t="s">
        <v>1404</v>
      </c>
      <c r="C57" t="s">
        <v>3280</v>
      </c>
      <c r="D57" t="s">
        <v>833</v>
      </c>
      <c r="E57" t="s">
        <v>477</v>
      </c>
      <c r="F57" t="s">
        <v>3299</v>
      </c>
      <c r="G57" s="1">
        <v>2378</v>
      </c>
      <c r="H57">
        <v>24</v>
      </c>
      <c r="I57" t="b">
        <f>AND(COUNTIF(CO!A:A,A57)&gt;0,COUNTIF('NO2'!A:A,A57)&gt;0,COUNTIF('O3'!A:A,A57)&gt;0,COUNTIF('PM2.5'!A:A,A57)&gt;0,COUNTIF('SO2'!A:A,A57)&gt;0,COUNTIF(Kendaraan!A:A,A57)&gt;0)</f>
        <v>1</v>
      </c>
    </row>
    <row r="58" spans="1:9" x14ac:dyDescent="0.45">
      <c r="A58" s="4">
        <v>45431</v>
      </c>
      <c r="B58" t="s">
        <v>1739</v>
      </c>
      <c r="C58" t="s">
        <v>1386</v>
      </c>
      <c r="D58" t="s">
        <v>1202</v>
      </c>
      <c r="E58" t="s">
        <v>3144</v>
      </c>
      <c r="F58" t="s">
        <v>1562</v>
      </c>
      <c r="G58" s="1">
        <v>1178</v>
      </c>
      <c r="H58">
        <v>24</v>
      </c>
      <c r="I58" t="b">
        <f>AND(COUNTIF(CO!A:A,A58)&gt;0,COUNTIF('NO2'!A:A,A58)&gt;0,COUNTIF('O3'!A:A,A58)&gt;0,COUNTIF('PM2.5'!A:A,A58)&gt;0,COUNTIF('SO2'!A:A,A58)&gt;0,COUNTIF(Kendaraan!A:A,A58)&gt;0)</f>
        <v>1</v>
      </c>
    </row>
    <row r="59" spans="1:9" x14ac:dyDescent="0.45">
      <c r="A59" s="4">
        <v>45432</v>
      </c>
      <c r="B59" t="s">
        <v>1205</v>
      </c>
      <c r="C59" t="s">
        <v>3123</v>
      </c>
      <c r="D59" t="s">
        <v>911</v>
      </c>
      <c r="E59" t="s">
        <v>3145</v>
      </c>
      <c r="F59" t="s">
        <v>502</v>
      </c>
      <c r="G59" s="1">
        <v>1805</v>
      </c>
      <c r="H59">
        <v>24</v>
      </c>
      <c r="I59" t="b">
        <f>AND(COUNTIF(CO!A:A,A59)&gt;0,COUNTIF('NO2'!A:A,A59)&gt;0,COUNTIF('O3'!A:A,A59)&gt;0,COUNTIF('PM2.5'!A:A,A59)&gt;0,COUNTIF('SO2'!A:A,A59)&gt;0,COUNTIF(Kendaraan!A:A,A59)&gt;0)</f>
        <v>1</v>
      </c>
    </row>
    <row r="60" spans="1:9" x14ac:dyDescent="0.45">
      <c r="A60" s="4">
        <v>45433</v>
      </c>
      <c r="B60" t="s">
        <v>489</v>
      </c>
      <c r="C60" t="s">
        <v>2870</v>
      </c>
      <c r="D60" t="s">
        <v>3300</v>
      </c>
      <c r="E60" t="s">
        <v>3156</v>
      </c>
      <c r="F60" t="s">
        <v>3301</v>
      </c>
      <c r="G60" s="1">
        <v>2157</v>
      </c>
      <c r="H60">
        <v>24</v>
      </c>
      <c r="I60" t="b">
        <f>AND(COUNTIF(CO!A:A,A60)&gt;0,COUNTIF('NO2'!A:A,A60)&gt;0,COUNTIF('O3'!A:A,A60)&gt;0,COUNTIF('PM2.5'!A:A,A60)&gt;0,COUNTIF('SO2'!A:A,A60)&gt;0,COUNTIF(Kendaraan!A:A,A60)&gt;0)</f>
        <v>1</v>
      </c>
    </row>
    <row r="61" spans="1:9" x14ac:dyDescent="0.45">
      <c r="A61" s="4">
        <v>45434</v>
      </c>
      <c r="B61" t="s">
        <v>2040</v>
      </c>
      <c r="C61" t="s">
        <v>3302</v>
      </c>
      <c r="D61" t="s">
        <v>1899</v>
      </c>
      <c r="E61" t="s">
        <v>3303</v>
      </c>
      <c r="F61" t="s">
        <v>2354</v>
      </c>
      <c r="G61" s="1">
        <v>2534</v>
      </c>
      <c r="H61">
        <v>18</v>
      </c>
      <c r="I61" t="b">
        <f>AND(COUNTIF(CO!A:A,A61)&gt;0,COUNTIF('NO2'!A:A,A61)&gt;0,COUNTIF('O3'!A:A,A61)&gt;0,COUNTIF('PM2.5'!A:A,A61)&gt;0,COUNTIF('SO2'!A:A,A61)&gt;0,COUNTIF(Kendaraan!A:A,A61)&gt;0)</f>
        <v>1</v>
      </c>
    </row>
    <row r="62" spans="1:9" x14ac:dyDescent="0.45">
      <c r="A62" s="4">
        <v>45435</v>
      </c>
      <c r="B62" t="s">
        <v>3304</v>
      </c>
      <c r="C62" t="s">
        <v>2195</v>
      </c>
      <c r="D62" t="s">
        <v>3305</v>
      </c>
      <c r="E62" t="s">
        <v>2843</v>
      </c>
      <c r="F62" t="s">
        <v>3306</v>
      </c>
      <c r="G62" s="1">
        <v>1243</v>
      </c>
      <c r="H62">
        <v>18</v>
      </c>
      <c r="I62" t="b">
        <f>AND(COUNTIF(CO!A:A,A62)&gt;0,COUNTIF('NO2'!A:A,A62)&gt;0,COUNTIF('O3'!A:A,A62)&gt;0,COUNTIF('PM2.5'!A:A,A62)&gt;0,COUNTIF('SO2'!A:A,A62)&gt;0,COUNTIF(Kendaraan!A:A,A62)&gt;0)</f>
        <v>1</v>
      </c>
    </row>
    <row r="63" spans="1:9" x14ac:dyDescent="0.45">
      <c r="A63" s="4">
        <v>45446</v>
      </c>
      <c r="B63" t="s">
        <v>2785</v>
      </c>
      <c r="C63" t="s">
        <v>563</v>
      </c>
      <c r="D63" t="s">
        <v>1184</v>
      </c>
      <c r="E63" t="s">
        <v>1964</v>
      </c>
      <c r="F63" t="s">
        <v>429</v>
      </c>
      <c r="G63" s="1">
        <v>4216</v>
      </c>
      <c r="H63">
        <v>24</v>
      </c>
      <c r="I63" t="b">
        <f>AND(COUNTIF(CO!A:A,A63)&gt;0,COUNTIF('NO2'!A:A,A63)&gt;0,COUNTIF('O3'!A:A,A63)&gt;0,COUNTIF('PM2.5'!A:A,A63)&gt;0,COUNTIF('SO2'!A:A,A63)&gt;0,COUNTIF(Kendaraan!A:A,A63)&gt;0)</f>
        <v>1</v>
      </c>
    </row>
    <row r="64" spans="1:9" x14ac:dyDescent="0.45">
      <c r="A64" s="4">
        <v>45447</v>
      </c>
      <c r="B64" t="s">
        <v>2730</v>
      </c>
      <c r="C64" t="s">
        <v>3312</v>
      </c>
      <c r="D64" t="s">
        <v>490</v>
      </c>
      <c r="E64" t="s">
        <v>2585</v>
      </c>
      <c r="F64" t="s">
        <v>3313</v>
      </c>
      <c r="G64" s="1">
        <v>5346</v>
      </c>
      <c r="H64">
        <v>24</v>
      </c>
      <c r="I64" t="b">
        <f>AND(COUNTIF(CO!A:A,A64)&gt;0,COUNTIF('NO2'!A:A,A64)&gt;0,COUNTIF('O3'!A:A,A64)&gt;0,COUNTIF('PM2.5'!A:A,A64)&gt;0,COUNTIF('SO2'!A:A,A64)&gt;0,COUNTIF(Kendaraan!A:A,A64)&gt;0)</f>
        <v>1</v>
      </c>
    </row>
    <row r="65" spans="1:9" x14ac:dyDescent="0.45">
      <c r="A65" s="4">
        <v>45448</v>
      </c>
      <c r="B65" t="s">
        <v>1181</v>
      </c>
      <c r="C65" t="s">
        <v>3314</v>
      </c>
      <c r="D65" t="s">
        <v>3315</v>
      </c>
      <c r="E65" t="s">
        <v>1468</v>
      </c>
      <c r="F65" t="s">
        <v>627</v>
      </c>
      <c r="G65" s="1">
        <v>4656</v>
      </c>
      <c r="H65">
        <v>23</v>
      </c>
      <c r="I65" t="b">
        <f>AND(COUNTIF(CO!A:A,A65)&gt;0,COUNTIF('NO2'!A:A,A65)&gt;0,COUNTIF('O3'!A:A,A65)&gt;0,COUNTIF('PM2.5'!A:A,A65)&gt;0,COUNTIF('SO2'!A:A,A65)&gt;0,COUNTIF(Kendaraan!A:A,A65)&gt;0)</f>
        <v>1</v>
      </c>
    </row>
    <row r="66" spans="1:9" x14ac:dyDescent="0.45">
      <c r="A66" s="4">
        <v>45449</v>
      </c>
      <c r="B66" t="s">
        <v>1067</v>
      </c>
      <c r="C66" t="s">
        <v>537</v>
      </c>
      <c r="D66" t="s">
        <v>1154</v>
      </c>
      <c r="E66" t="s">
        <v>3191</v>
      </c>
      <c r="F66">
        <v>24</v>
      </c>
      <c r="G66" s="1">
        <v>3343</v>
      </c>
      <c r="H66">
        <v>24</v>
      </c>
      <c r="I66" t="b">
        <f>AND(COUNTIF(CO!A:A,A66)&gt;0,COUNTIF('NO2'!A:A,A66)&gt;0,COUNTIF('O3'!A:A,A66)&gt;0,COUNTIF('PM2.5'!A:A,A66)&gt;0,COUNTIF('SO2'!A:A,A66)&gt;0,COUNTIF(Kendaraan!A:A,A66)&gt;0)</f>
        <v>1</v>
      </c>
    </row>
    <row r="67" spans="1:9" x14ac:dyDescent="0.45">
      <c r="A67" s="4">
        <v>45450</v>
      </c>
      <c r="B67" t="s">
        <v>417</v>
      </c>
      <c r="C67" t="s">
        <v>3316</v>
      </c>
      <c r="D67" t="s">
        <v>2048</v>
      </c>
      <c r="E67" t="s">
        <v>3317</v>
      </c>
      <c r="F67" t="s">
        <v>3318</v>
      </c>
      <c r="G67" s="1">
        <v>1768</v>
      </c>
      <c r="H67">
        <v>24</v>
      </c>
      <c r="I67" t="b">
        <f>AND(COUNTIF(CO!A:A,A67)&gt;0,COUNTIF('NO2'!A:A,A67)&gt;0,COUNTIF('O3'!A:A,A67)&gt;0,COUNTIF('PM2.5'!A:A,A67)&gt;0,COUNTIF('SO2'!A:A,A67)&gt;0,COUNTIF(Kendaraan!A:A,A67)&gt;0)</f>
        <v>1</v>
      </c>
    </row>
    <row r="68" spans="1:9" x14ac:dyDescent="0.45">
      <c r="A68" s="4">
        <v>45451</v>
      </c>
      <c r="B68" t="s">
        <v>3277</v>
      </c>
      <c r="C68" t="s">
        <v>859</v>
      </c>
      <c r="D68" t="s">
        <v>663</v>
      </c>
      <c r="E68" t="s">
        <v>680</v>
      </c>
      <c r="F68" t="s">
        <v>1555</v>
      </c>
      <c r="G68" s="1">
        <v>1944</v>
      </c>
      <c r="H68">
        <v>24</v>
      </c>
      <c r="I68" t="b">
        <f>AND(COUNTIF(CO!A:A,A68)&gt;0,COUNTIF('NO2'!A:A,A68)&gt;0,COUNTIF('O3'!A:A,A68)&gt;0,COUNTIF('PM2.5'!A:A,A68)&gt;0,COUNTIF('SO2'!A:A,A68)&gt;0,COUNTIF(Kendaraan!A:A,A68)&gt;0)</f>
        <v>1</v>
      </c>
    </row>
    <row r="69" spans="1:9" x14ac:dyDescent="0.45">
      <c r="A69" s="4">
        <v>45452</v>
      </c>
      <c r="B69" t="s">
        <v>1530</v>
      </c>
      <c r="C69" t="s">
        <v>3319</v>
      </c>
      <c r="D69" t="s">
        <v>2046</v>
      </c>
      <c r="E69" t="s">
        <v>3320</v>
      </c>
      <c r="F69" t="s">
        <v>2808</v>
      </c>
      <c r="G69" t="s">
        <v>3321</v>
      </c>
      <c r="H69">
        <v>24</v>
      </c>
      <c r="I69" t="b">
        <f>AND(COUNTIF(CO!A:A,A69)&gt;0,COUNTIF('NO2'!A:A,A69)&gt;0,COUNTIF('O3'!A:A,A69)&gt;0,COUNTIF('PM2.5'!A:A,A69)&gt;0,COUNTIF('SO2'!A:A,A69)&gt;0,COUNTIF(Kendaraan!A:A,A69)&gt;0)</f>
        <v>1</v>
      </c>
    </row>
    <row r="70" spans="1:9" x14ac:dyDescent="0.45">
      <c r="A70" s="4">
        <v>45453</v>
      </c>
      <c r="B70" t="s">
        <v>2583</v>
      </c>
      <c r="C70" t="s">
        <v>2137</v>
      </c>
      <c r="D70" t="s">
        <v>560</v>
      </c>
      <c r="E70" t="s">
        <v>1894</v>
      </c>
      <c r="F70" t="s">
        <v>3322</v>
      </c>
      <c r="G70" s="1">
        <v>1056</v>
      </c>
      <c r="H70">
        <v>24</v>
      </c>
      <c r="I70" t="b">
        <f>AND(COUNTIF(CO!A:A,A70)&gt;0,COUNTIF('NO2'!A:A,A70)&gt;0,COUNTIF('O3'!A:A,A70)&gt;0,COUNTIF('PM2.5'!A:A,A70)&gt;0,COUNTIF('SO2'!A:A,A70)&gt;0,COUNTIF(Kendaraan!A:A,A70)&gt;0)</f>
        <v>1</v>
      </c>
    </row>
    <row r="71" spans="1:9" x14ac:dyDescent="0.45">
      <c r="A71" s="4">
        <v>45454</v>
      </c>
      <c r="B71" t="s">
        <v>522</v>
      </c>
      <c r="C71" t="s">
        <v>3323</v>
      </c>
      <c r="D71" t="s">
        <v>2565</v>
      </c>
      <c r="E71" t="s">
        <v>2877</v>
      </c>
      <c r="F71" t="s">
        <v>3324</v>
      </c>
      <c r="G71" t="s">
        <v>3325</v>
      </c>
      <c r="H71">
        <v>24</v>
      </c>
      <c r="I71" t="b">
        <f>AND(COUNTIF(CO!A:A,A71)&gt;0,COUNTIF('NO2'!A:A,A71)&gt;0,COUNTIF('O3'!A:A,A71)&gt;0,COUNTIF('PM2.5'!A:A,A71)&gt;0,COUNTIF('SO2'!A:A,A71)&gt;0,COUNTIF(Kendaraan!A:A,A71)&gt;0)</f>
        <v>1</v>
      </c>
    </row>
    <row r="72" spans="1:9" x14ac:dyDescent="0.45">
      <c r="A72" s="4">
        <v>45455</v>
      </c>
      <c r="B72" t="s">
        <v>581</v>
      </c>
      <c r="C72" t="s">
        <v>834</v>
      </c>
      <c r="D72" t="s">
        <v>2328</v>
      </c>
      <c r="E72" t="s">
        <v>2316</v>
      </c>
      <c r="F72" t="s">
        <v>3326</v>
      </c>
      <c r="G72" s="1">
        <v>1467</v>
      </c>
      <c r="H72">
        <v>24</v>
      </c>
      <c r="I72" t="b">
        <f>AND(COUNTIF(CO!A:A,A72)&gt;0,COUNTIF('NO2'!A:A,A72)&gt;0,COUNTIF('O3'!A:A,A72)&gt;0,COUNTIF('PM2.5'!A:A,A72)&gt;0,COUNTIF('SO2'!A:A,A72)&gt;0,COUNTIF(Kendaraan!A:A,A72)&gt;0)</f>
        <v>1</v>
      </c>
    </row>
    <row r="73" spans="1:9" x14ac:dyDescent="0.45">
      <c r="A73" s="4">
        <v>45456</v>
      </c>
      <c r="B73" t="s">
        <v>1395</v>
      </c>
      <c r="C73" t="s">
        <v>2303</v>
      </c>
      <c r="D73" t="s">
        <v>3269</v>
      </c>
      <c r="E73" t="s">
        <v>659</v>
      </c>
      <c r="F73" t="s">
        <v>2799</v>
      </c>
      <c r="G73" s="1">
        <v>3254</v>
      </c>
      <c r="H73">
        <v>24</v>
      </c>
      <c r="I73" t="b">
        <f>AND(COUNTIF(CO!A:A,A73)&gt;0,COUNTIF('NO2'!A:A,A73)&gt;0,COUNTIF('O3'!A:A,A73)&gt;0,COUNTIF('PM2.5'!A:A,A73)&gt;0,COUNTIF('SO2'!A:A,A73)&gt;0,COUNTIF(Kendaraan!A:A,A73)&gt;0)</f>
        <v>1</v>
      </c>
    </row>
    <row r="74" spans="1:9" x14ac:dyDescent="0.45">
      <c r="A74" s="4">
        <v>45457</v>
      </c>
      <c r="B74" t="s">
        <v>3270</v>
      </c>
      <c r="C74" t="s">
        <v>3327</v>
      </c>
      <c r="D74" t="s">
        <v>1032</v>
      </c>
      <c r="E74" t="s">
        <v>2989</v>
      </c>
      <c r="F74" t="s">
        <v>3328</v>
      </c>
      <c r="G74" t="s">
        <v>3329</v>
      </c>
      <c r="H74">
        <v>19</v>
      </c>
      <c r="I74" t="b">
        <f>AND(COUNTIF(CO!A:A,A74)&gt;0,COUNTIF('NO2'!A:A,A74)&gt;0,COUNTIF('O3'!A:A,A74)&gt;0,COUNTIF('PM2.5'!A:A,A74)&gt;0,COUNTIF('SO2'!A:A,A74)&gt;0,COUNTIF(Kendaraan!A:A,A74)&gt;0)</f>
        <v>1</v>
      </c>
    </row>
    <row r="75" spans="1:9" x14ac:dyDescent="0.45">
      <c r="A75" s="4">
        <v>45458</v>
      </c>
      <c r="B75" t="s">
        <v>398</v>
      </c>
      <c r="C75" t="s">
        <v>3330</v>
      </c>
      <c r="D75" t="s">
        <v>2806</v>
      </c>
      <c r="E75" t="s">
        <v>3331</v>
      </c>
      <c r="F75" t="s">
        <v>337</v>
      </c>
      <c r="G75" s="1">
        <v>2412</v>
      </c>
      <c r="H75">
        <v>23</v>
      </c>
      <c r="I75" t="b">
        <f>AND(COUNTIF(CO!A:A,A75)&gt;0,COUNTIF('NO2'!A:A,A75)&gt;0,COUNTIF('O3'!A:A,A75)&gt;0,COUNTIF('PM2.5'!A:A,A75)&gt;0,COUNTIF('SO2'!A:A,A75)&gt;0,COUNTIF(Kendaraan!A:A,A75)&gt;0)</f>
        <v>1</v>
      </c>
    </row>
    <row r="76" spans="1:9" x14ac:dyDescent="0.45">
      <c r="A76" s="4">
        <v>45459</v>
      </c>
      <c r="B76" t="s">
        <v>3332</v>
      </c>
      <c r="C76" t="s">
        <v>3333</v>
      </c>
      <c r="D76" t="s">
        <v>3334</v>
      </c>
      <c r="E76" t="s">
        <v>2130</v>
      </c>
      <c r="F76" t="s">
        <v>3335</v>
      </c>
      <c r="G76" s="1">
        <v>3131</v>
      </c>
      <c r="H76">
        <v>24</v>
      </c>
      <c r="I76" t="b">
        <f>AND(COUNTIF(CO!A:A,A76)&gt;0,COUNTIF('NO2'!A:A,A76)&gt;0,COUNTIF('O3'!A:A,A76)&gt;0,COUNTIF('PM2.5'!A:A,A76)&gt;0,COUNTIF('SO2'!A:A,A76)&gt;0,COUNTIF(Kendaraan!A:A,A76)&gt;0)</f>
        <v>1</v>
      </c>
    </row>
    <row r="77" spans="1:9" x14ac:dyDescent="0.45">
      <c r="A77" s="4">
        <v>45460</v>
      </c>
      <c r="B77" t="s">
        <v>1991</v>
      </c>
      <c r="C77" t="s">
        <v>2929</v>
      </c>
      <c r="D77" t="s">
        <v>2864</v>
      </c>
      <c r="E77" t="s">
        <v>1540</v>
      </c>
      <c r="F77" t="s">
        <v>3336</v>
      </c>
      <c r="G77" s="1">
        <v>6522</v>
      </c>
      <c r="H77">
        <v>24</v>
      </c>
      <c r="I77" t="b">
        <f>AND(COUNTIF(CO!A:A,A77)&gt;0,COUNTIF('NO2'!A:A,A77)&gt;0,COUNTIF('O3'!A:A,A77)&gt;0,COUNTIF('PM2.5'!A:A,A77)&gt;0,COUNTIF('SO2'!A:A,A77)&gt;0,COUNTIF(Kendaraan!A:A,A77)&gt;0)</f>
        <v>1</v>
      </c>
    </row>
    <row r="78" spans="1:9" x14ac:dyDescent="0.45">
      <c r="A78" s="4">
        <v>45461</v>
      </c>
      <c r="B78" t="s">
        <v>3302</v>
      </c>
      <c r="C78" t="s">
        <v>3337</v>
      </c>
      <c r="D78" t="s">
        <v>3137</v>
      </c>
      <c r="E78" t="s">
        <v>2917</v>
      </c>
      <c r="F78" t="s">
        <v>3338</v>
      </c>
      <c r="G78" s="1">
        <v>5099</v>
      </c>
      <c r="H78">
        <v>24</v>
      </c>
      <c r="I78" t="b">
        <f>AND(COUNTIF(CO!A:A,A78)&gt;0,COUNTIF('NO2'!A:A,A78)&gt;0,COUNTIF('O3'!A:A,A78)&gt;0,COUNTIF('PM2.5'!A:A,A78)&gt;0,COUNTIF('SO2'!A:A,A78)&gt;0,COUNTIF(Kendaraan!A:A,A78)&gt;0)</f>
        <v>1</v>
      </c>
    </row>
    <row r="79" spans="1:9" x14ac:dyDescent="0.45">
      <c r="A79" s="4">
        <v>45462</v>
      </c>
      <c r="B79" t="s">
        <v>3339</v>
      </c>
      <c r="C79" t="s">
        <v>3340</v>
      </c>
      <c r="D79" t="s">
        <v>2835</v>
      </c>
      <c r="E79" t="s">
        <v>2019</v>
      </c>
      <c r="F79" t="s">
        <v>3341</v>
      </c>
      <c r="G79" s="1">
        <v>2016</v>
      </c>
      <c r="H79">
        <v>24</v>
      </c>
      <c r="I79" t="b">
        <f>AND(COUNTIF(CO!A:A,A79)&gt;0,COUNTIF('NO2'!A:A,A79)&gt;0,COUNTIF('O3'!A:A,A79)&gt;0,COUNTIF('PM2.5'!A:A,A79)&gt;0,COUNTIF('SO2'!A:A,A79)&gt;0,COUNTIF(Kendaraan!A:A,A79)&gt;0)</f>
        <v>1</v>
      </c>
    </row>
    <row r="80" spans="1:9" x14ac:dyDescent="0.45">
      <c r="A80" s="4">
        <v>45463</v>
      </c>
      <c r="B80" t="s">
        <v>1558</v>
      </c>
      <c r="C80" t="s">
        <v>2849</v>
      </c>
      <c r="D80" t="s">
        <v>3342</v>
      </c>
      <c r="E80" t="s">
        <v>2019</v>
      </c>
      <c r="F80" t="s">
        <v>2833</v>
      </c>
      <c r="G80" s="1">
        <v>1847</v>
      </c>
      <c r="H80">
        <v>24</v>
      </c>
      <c r="I80" t="b">
        <f>AND(COUNTIF(CO!A:A,A80)&gt;0,COUNTIF('NO2'!A:A,A80)&gt;0,COUNTIF('O3'!A:A,A80)&gt;0,COUNTIF('PM2.5'!A:A,A80)&gt;0,COUNTIF('SO2'!A:A,A80)&gt;0,COUNTIF(Kendaraan!A:A,A80)&gt;0)</f>
        <v>1</v>
      </c>
    </row>
    <row r="81" spans="1:9" x14ac:dyDescent="0.45">
      <c r="A81" s="4">
        <v>45464</v>
      </c>
      <c r="B81" t="s">
        <v>2056</v>
      </c>
      <c r="C81" t="s">
        <v>558</v>
      </c>
      <c r="D81" t="s">
        <v>1623</v>
      </c>
      <c r="E81" t="s">
        <v>1567</v>
      </c>
      <c r="F81" t="s">
        <v>498</v>
      </c>
      <c r="G81" s="1">
        <v>2227</v>
      </c>
      <c r="H81">
        <v>24</v>
      </c>
      <c r="I81" t="b">
        <f>AND(COUNTIF(CO!A:A,A81)&gt;0,COUNTIF('NO2'!A:A,A81)&gt;0,COUNTIF('O3'!A:A,A81)&gt;0,COUNTIF('PM2.5'!A:A,A81)&gt;0,COUNTIF('SO2'!A:A,A81)&gt;0,COUNTIF(Kendaraan!A:A,A81)&gt;0)</f>
        <v>1</v>
      </c>
    </row>
    <row r="82" spans="1:9" x14ac:dyDescent="0.45">
      <c r="A82" s="4">
        <v>45465</v>
      </c>
      <c r="B82" t="s">
        <v>1198</v>
      </c>
      <c r="C82" t="s">
        <v>3277</v>
      </c>
      <c r="D82" t="s">
        <v>411</v>
      </c>
      <c r="E82" t="s">
        <v>1925</v>
      </c>
      <c r="F82" t="s">
        <v>434</v>
      </c>
      <c r="G82" t="s">
        <v>3343</v>
      </c>
      <c r="H82">
        <v>24</v>
      </c>
      <c r="I82" t="b">
        <f>AND(COUNTIF(CO!A:A,A82)&gt;0,COUNTIF('NO2'!A:A,A82)&gt;0,COUNTIF('O3'!A:A,A82)&gt;0,COUNTIF('PM2.5'!A:A,A82)&gt;0,COUNTIF('SO2'!A:A,A82)&gt;0,COUNTIF(Kendaraan!A:A,A82)&gt;0)</f>
        <v>1</v>
      </c>
    </row>
    <row r="83" spans="1:9" x14ac:dyDescent="0.45">
      <c r="A83" s="4">
        <v>45466</v>
      </c>
      <c r="B83" t="s">
        <v>1498</v>
      </c>
      <c r="C83" t="s">
        <v>1234</v>
      </c>
      <c r="D83" t="s">
        <v>3344</v>
      </c>
      <c r="E83" t="s">
        <v>1738</v>
      </c>
      <c r="F83" t="s">
        <v>1468</v>
      </c>
      <c r="G83" t="s">
        <v>3345</v>
      </c>
      <c r="H83">
        <v>24</v>
      </c>
      <c r="I83" t="b">
        <f>AND(COUNTIF(CO!A:A,A83)&gt;0,COUNTIF('NO2'!A:A,A83)&gt;0,COUNTIF('O3'!A:A,A83)&gt;0,COUNTIF('PM2.5'!A:A,A83)&gt;0,COUNTIF('SO2'!A:A,A83)&gt;0,COUNTIF(Kendaraan!A:A,A83)&gt;0)</f>
        <v>1</v>
      </c>
    </row>
    <row r="84" spans="1:9" x14ac:dyDescent="0.45">
      <c r="A84" s="4">
        <v>45467</v>
      </c>
      <c r="B84" t="s">
        <v>1509</v>
      </c>
      <c r="C84" t="s">
        <v>1239</v>
      </c>
      <c r="D84" t="s">
        <v>1225</v>
      </c>
      <c r="E84" t="s">
        <v>926</v>
      </c>
      <c r="F84">
        <v>20</v>
      </c>
      <c r="G84" t="s">
        <v>1420</v>
      </c>
      <c r="H84">
        <v>24</v>
      </c>
      <c r="I84" t="b">
        <f>AND(COUNTIF(CO!A:A,A84)&gt;0,COUNTIF('NO2'!A:A,A84)&gt;0,COUNTIF('O3'!A:A,A84)&gt;0,COUNTIF('PM2.5'!A:A,A84)&gt;0,COUNTIF('SO2'!A:A,A84)&gt;0,COUNTIF(Kendaraan!A:A,A84)&gt;0)</f>
        <v>1</v>
      </c>
    </row>
    <row r="85" spans="1:9" x14ac:dyDescent="0.45">
      <c r="A85" s="4">
        <v>45468</v>
      </c>
      <c r="B85" t="s">
        <v>885</v>
      </c>
      <c r="C85" t="s">
        <v>438</v>
      </c>
      <c r="D85" t="s">
        <v>1479</v>
      </c>
      <c r="E85" t="s">
        <v>1221</v>
      </c>
      <c r="F85" t="s">
        <v>3346</v>
      </c>
      <c r="G85" t="s">
        <v>1806</v>
      </c>
      <c r="H85">
        <v>24</v>
      </c>
      <c r="I85" t="b">
        <f>AND(COUNTIF(CO!A:A,A85)&gt;0,COUNTIF('NO2'!A:A,A85)&gt;0,COUNTIF('O3'!A:A,A85)&gt;0,COUNTIF('PM2.5'!A:A,A85)&gt;0,COUNTIF('SO2'!A:A,A85)&gt;0,COUNTIF(Kendaraan!A:A,A85)&gt;0)</f>
        <v>1</v>
      </c>
    </row>
    <row r="86" spans="1:9" x14ac:dyDescent="0.45">
      <c r="A86" s="4">
        <v>45469</v>
      </c>
      <c r="B86" t="s">
        <v>1253</v>
      </c>
      <c r="C86" t="s">
        <v>2029</v>
      </c>
      <c r="D86" t="s">
        <v>1416</v>
      </c>
      <c r="E86" t="s">
        <v>1566</v>
      </c>
      <c r="F86" t="s">
        <v>497</v>
      </c>
      <c r="G86" s="1">
        <v>2063</v>
      </c>
      <c r="H86">
        <v>24</v>
      </c>
      <c r="I86" t="b">
        <f>AND(COUNTIF(CO!A:A,A86)&gt;0,COUNTIF('NO2'!A:A,A86)&gt;0,COUNTIF('O3'!A:A,A86)&gt;0,COUNTIF('PM2.5'!A:A,A86)&gt;0,COUNTIF('SO2'!A:A,A86)&gt;0,COUNTIF(Kendaraan!A:A,A86)&gt;0)</f>
        <v>1</v>
      </c>
    </row>
    <row r="87" spans="1:9" x14ac:dyDescent="0.45">
      <c r="A87" s="4">
        <v>45470</v>
      </c>
      <c r="B87" t="s">
        <v>937</v>
      </c>
      <c r="C87" t="s">
        <v>3347</v>
      </c>
      <c r="D87" t="s">
        <v>1867</v>
      </c>
      <c r="E87" t="s">
        <v>1116</v>
      </c>
      <c r="F87" t="s">
        <v>465</v>
      </c>
      <c r="G87" s="1">
        <v>2941</v>
      </c>
      <c r="H87">
        <v>23</v>
      </c>
      <c r="I87" t="b">
        <f>AND(COUNTIF(CO!A:A,A87)&gt;0,COUNTIF('NO2'!A:A,A87)&gt;0,COUNTIF('O3'!A:A,A87)&gt;0,COUNTIF('PM2.5'!A:A,A87)&gt;0,COUNTIF('SO2'!A:A,A87)&gt;0,COUNTIF(Kendaraan!A:A,A87)&gt;0)</f>
        <v>1</v>
      </c>
    </row>
    <row r="88" spans="1:9" x14ac:dyDescent="0.45">
      <c r="A88" s="4">
        <v>45471</v>
      </c>
      <c r="B88" t="s">
        <v>3348</v>
      </c>
      <c r="C88" t="s">
        <v>1386</v>
      </c>
      <c r="D88" t="s">
        <v>3154</v>
      </c>
      <c r="E88" t="s">
        <v>3349</v>
      </c>
      <c r="F88" t="s">
        <v>2580</v>
      </c>
      <c r="G88" s="1">
        <v>1986</v>
      </c>
      <c r="H88">
        <v>23</v>
      </c>
      <c r="I88" t="b">
        <f>AND(COUNTIF(CO!A:A,A88)&gt;0,COUNTIF('NO2'!A:A,A88)&gt;0,COUNTIF('O3'!A:A,A88)&gt;0,COUNTIF('PM2.5'!A:A,A88)&gt;0,COUNTIF('SO2'!A:A,A88)&gt;0,COUNTIF(Kendaraan!A:A,A88)&gt;0)</f>
        <v>1</v>
      </c>
    </row>
    <row r="89" spans="1:9" x14ac:dyDescent="0.45">
      <c r="A89" s="4">
        <v>45472</v>
      </c>
      <c r="B89" t="s">
        <v>930</v>
      </c>
      <c r="C89" t="s">
        <v>505</v>
      </c>
      <c r="D89" t="s">
        <v>1972</v>
      </c>
      <c r="E89" t="s">
        <v>1203</v>
      </c>
      <c r="F89" t="s">
        <v>3350</v>
      </c>
      <c r="G89" s="1">
        <v>2179</v>
      </c>
      <c r="H89">
        <v>24</v>
      </c>
      <c r="I89" t="b">
        <f>AND(COUNTIF(CO!A:A,A89)&gt;0,COUNTIF('NO2'!A:A,A89)&gt;0,COUNTIF('O3'!A:A,A89)&gt;0,COUNTIF('PM2.5'!A:A,A89)&gt;0,COUNTIF('SO2'!A:A,A89)&gt;0,COUNTIF(Kendaraan!A:A,A89)&gt;0)</f>
        <v>1</v>
      </c>
    </row>
    <row r="90" spans="1:9" x14ac:dyDescent="0.45">
      <c r="A90" s="4">
        <v>45473</v>
      </c>
      <c r="B90">
        <v>11</v>
      </c>
      <c r="C90" t="s">
        <v>1107</v>
      </c>
      <c r="D90" t="s">
        <v>1910</v>
      </c>
      <c r="E90" t="s">
        <v>1891</v>
      </c>
      <c r="F90" t="s">
        <v>1593</v>
      </c>
      <c r="G90" s="1">
        <v>1979</v>
      </c>
      <c r="H90">
        <v>24</v>
      </c>
      <c r="I90" t="b">
        <f>AND(COUNTIF(CO!A:A,A90)&gt;0,COUNTIF('NO2'!A:A,A90)&gt;0,COUNTIF('O3'!A:A,A90)&gt;0,COUNTIF('PM2.5'!A:A,A90)&gt;0,COUNTIF('SO2'!A:A,A90)&gt;0,COUNTIF(Kendaraan!A:A,A90)&gt;0)</f>
        <v>1</v>
      </c>
    </row>
    <row r="91" spans="1:9" x14ac:dyDescent="0.45">
      <c r="A91" s="4">
        <v>45474</v>
      </c>
      <c r="B91" t="s">
        <v>1783</v>
      </c>
      <c r="C91" t="s">
        <v>1510</v>
      </c>
      <c r="D91" t="s">
        <v>2747</v>
      </c>
      <c r="E91" t="s">
        <v>2697</v>
      </c>
      <c r="F91" t="s">
        <v>1141</v>
      </c>
      <c r="G91" s="1">
        <v>1893</v>
      </c>
      <c r="H91">
        <v>24</v>
      </c>
      <c r="I91" t="b">
        <f>AND(COUNTIF(CO!A:A,A91)&gt;0,COUNTIF('NO2'!A:A,A91)&gt;0,COUNTIF('O3'!A:A,A91)&gt;0,COUNTIF('PM2.5'!A:A,A91)&gt;0,COUNTIF('SO2'!A:A,A91)&gt;0,COUNTIF(Kendaraan!A:A,A91)&gt;0)</f>
        <v>1</v>
      </c>
    </row>
    <row r="92" spans="1:9" x14ac:dyDescent="0.45">
      <c r="A92" s="4">
        <v>45475</v>
      </c>
      <c r="B92">
        <v>15</v>
      </c>
      <c r="C92" t="s">
        <v>1452</v>
      </c>
      <c r="D92" t="s">
        <v>1183</v>
      </c>
      <c r="E92" t="s">
        <v>1091</v>
      </c>
      <c r="F92" t="s">
        <v>2057</v>
      </c>
      <c r="G92" s="1">
        <v>1213</v>
      </c>
      <c r="H92">
        <v>24</v>
      </c>
      <c r="I92" t="b">
        <f>AND(COUNTIF(CO!A:A,A92)&gt;0,COUNTIF('NO2'!A:A,A92)&gt;0,COUNTIF('O3'!A:A,A92)&gt;0,COUNTIF('PM2.5'!A:A,A92)&gt;0,COUNTIF('SO2'!A:A,A92)&gt;0,COUNTIF(Kendaraan!A:A,A92)&gt;0)</f>
        <v>1</v>
      </c>
    </row>
    <row r="93" spans="1:9" x14ac:dyDescent="0.45">
      <c r="A93" s="4">
        <v>45476</v>
      </c>
      <c r="B93" t="s">
        <v>2700</v>
      </c>
      <c r="C93" t="s">
        <v>1660</v>
      </c>
      <c r="D93" t="s">
        <v>1714</v>
      </c>
      <c r="E93" t="s">
        <v>3245</v>
      </c>
      <c r="F93" t="s">
        <v>1752</v>
      </c>
      <c r="G93" t="s">
        <v>302</v>
      </c>
      <c r="H93">
        <v>23</v>
      </c>
      <c r="I93" t="b">
        <f>AND(COUNTIF(CO!A:A,A93)&gt;0,COUNTIF('NO2'!A:A,A93)&gt;0,COUNTIF('O3'!A:A,A93)&gt;0,COUNTIF('PM2.5'!A:A,A93)&gt;0,COUNTIF('SO2'!A:A,A93)&gt;0,COUNTIF(Kendaraan!A:A,A93)&gt;0)</f>
        <v>1</v>
      </c>
    </row>
    <row r="94" spans="1:9" x14ac:dyDescent="0.45">
      <c r="A94" s="4">
        <v>45477</v>
      </c>
      <c r="B94" t="s">
        <v>707</v>
      </c>
      <c r="C94" t="s">
        <v>3351</v>
      </c>
      <c r="D94" t="s">
        <v>2067</v>
      </c>
      <c r="E94" t="s">
        <v>1835</v>
      </c>
      <c r="F94" t="s">
        <v>2992</v>
      </c>
      <c r="G94" t="s">
        <v>11</v>
      </c>
      <c r="H94">
        <v>24</v>
      </c>
      <c r="I94" t="b">
        <f>AND(COUNTIF(CO!A:A,A94)&gt;0,COUNTIF('NO2'!A:A,A94)&gt;0,COUNTIF('O3'!A:A,A94)&gt;0,COUNTIF('PM2.5'!A:A,A94)&gt;0,COUNTIF('SO2'!A:A,A94)&gt;0,COUNTIF(Kendaraan!A:A,A94)&gt;0)</f>
        <v>1</v>
      </c>
    </row>
    <row r="95" spans="1:9" x14ac:dyDescent="0.45">
      <c r="A95" s="4">
        <v>45478</v>
      </c>
      <c r="B95" t="s">
        <v>1289</v>
      </c>
      <c r="C95" t="s">
        <v>1466</v>
      </c>
      <c r="D95" t="s">
        <v>1954</v>
      </c>
      <c r="E95" t="s">
        <v>3217</v>
      </c>
      <c r="F95" t="s">
        <v>2607</v>
      </c>
      <c r="G95" s="1">
        <v>2695</v>
      </c>
      <c r="H95">
        <v>24</v>
      </c>
      <c r="I95" t="b">
        <f>AND(COUNTIF(CO!A:A,A95)&gt;0,COUNTIF('NO2'!A:A,A95)&gt;0,COUNTIF('O3'!A:A,A95)&gt;0,COUNTIF('PM2.5'!A:A,A95)&gt;0,COUNTIF('SO2'!A:A,A95)&gt;0,COUNTIF(Kendaraan!A:A,A95)&gt;0)</f>
        <v>1</v>
      </c>
    </row>
    <row r="96" spans="1:9" x14ac:dyDescent="0.45">
      <c r="A96" s="4">
        <v>45479</v>
      </c>
      <c r="B96" t="s">
        <v>2733</v>
      </c>
      <c r="C96" t="s">
        <v>1416</v>
      </c>
      <c r="D96" t="s">
        <v>1437</v>
      </c>
      <c r="E96" t="s">
        <v>1320</v>
      </c>
      <c r="F96" t="s">
        <v>3120</v>
      </c>
      <c r="G96" s="1">
        <v>2876</v>
      </c>
      <c r="H96">
        <v>24</v>
      </c>
      <c r="I96" t="b">
        <f>AND(COUNTIF(CO!A:A,A96)&gt;0,COUNTIF('NO2'!A:A,A96)&gt;0,COUNTIF('O3'!A:A,A96)&gt;0,COUNTIF('PM2.5'!A:A,A96)&gt;0,COUNTIF('SO2'!A:A,A96)&gt;0,COUNTIF(Kendaraan!A:A,A96)&gt;0)</f>
        <v>1</v>
      </c>
    </row>
    <row r="97" spans="1:9" x14ac:dyDescent="0.45">
      <c r="A97" s="4">
        <v>45480</v>
      </c>
      <c r="B97" t="s">
        <v>1718</v>
      </c>
      <c r="C97" t="s">
        <v>1270</v>
      </c>
      <c r="D97" t="s">
        <v>3093</v>
      </c>
      <c r="E97" t="s">
        <v>1655</v>
      </c>
      <c r="F97" t="s">
        <v>1864</v>
      </c>
      <c r="G97" s="1">
        <v>2383</v>
      </c>
      <c r="H97">
        <v>24</v>
      </c>
      <c r="I97" t="b">
        <f>AND(COUNTIF(CO!A:A,A97)&gt;0,COUNTIF('NO2'!A:A,A97)&gt;0,COUNTIF('O3'!A:A,A97)&gt;0,COUNTIF('PM2.5'!A:A,A97)&gt;0,COUNTIF('SO2'!A:A,A97)&gt;0,COUNTIF(Kendaraan!A:A,A97)&gt;0)</f>
        <v>1</v>
      </c>
    </row>
    <row r="98" spans="1:9" x14ac:dyDescent="0.45">
      <c r="A98" s="4">
        <v>45481</v>
      </c>
      <c r="B98" t="s">
        <v>1099</v>
      </c>
      <c r="C98" t="s">
        <v>409</v>
      </c>
      <c r="D98" t="s">
        <v>615</v>
      </c>
      <c r="E98" t="s">
        <v>1999</v>
      </c>
      <c r="F98" t="s">
        <v>1258</v>
      </c>
      <c r="G98" t="s">
        <v>3352</v>
      </c>
      <c r="H98">
        <v>24</v>
      </c>
      <c r="I98" t="b">
        <f>AND(COUNTIF(CO!A:A,A98)&gt;0,COUNTIF('NO2'!A:A,A98)&gt;0,COUNTIF('O3'!A:A,A98)&gt;0,COUNTIF('PM2.5'!A:A,A98)&gt;0,COUNTIF('SO2'!A:A,A98)&gt;0,COUNTIF(Kendaraan!A:A,A98)&gt;0)</f>
        <v>1</v>
      </c>
    </row>
    <row r="99" spans="1:9" x14ac:dyDescent="0.45">
      <c r="A99" s="4">
        <v>45482</v>
      </c>
      <c r="B99" t="s">
        <v>1186</v>
      </c>
      <c r="C99" t="s">
        <v>1543</v>
      </c>
      <c r="D99" t="s">
        <v>3025</v>
      </c>
      <c r="E99" t="s">
        <v>1079</v>
      </c>
      <c r="F99" t="s">
        <v>1438</v>
      </c>
      <c r="G99" t="s">
        <v>3054</v>
      </c>
      <c r="H99">
        <v>24</v>
      </c>
      <c r="I99" t="b">
        <f>AND(COUNTIF(CO!A:A,A99)&gt;0,COUNTIF('NO2'!A:A,A99)&gt;0,COUNTIF('O3'!A:A,A99)&gt;0,COUNTIF('PM2.5'!A:A,A99)&gt;0,COUNTIF('SO2'!A:A,A99)&gt;0,COUNTIF(Kendaraan!A:A,A99)&gt;0)</f>
        <v>1</v>
      </c>
    </row>
    <row r="100" spans="1:9" x14ac:dyDescent="0.45">
      <c r="A100" s="4">
        <v>45483</v>
      </c>
      <c r="B100" t="s">
        <v>438</v>
      </c>
      <c r="C100" t="s">
        <v>540</v>
      </c>
      <c r="D100" t="s">
        <v>663</v>
      </c>
      <c r="E100" t="s">
        <v>823</v>
      </c>
      <c r="F100" t="s">
        <v>469</v>
      </c>
      <c r="G100" s="1">
        <v>1259</v>
      </c>
      <c r="H100">
        <v>15</v>
      </c>
      <c r="I100" t="b">
        <f>AND(COUNTIF(CO!A:A,A100)&gt;0,COUNTIF('NO2'!A:A,A100)&gt;0,COUNTIF('O3'!A:A,A100)&gt;0,COUNTIF('PM2.5'!A:A,A100)&gt;0,COUNTIF('SO2'!A:A,A100)&gt;0,COUNTIF(Kendaraan!A:A,A100)&gt;0)</f>
        <v>1</v>
      </c>
    </row>
    <row r="101" spans="1:9" x14ac:dyDescent="0.45">
      <c r="A101" s="4">
        <v>45484</v>
      </c>
      <c r="B101" t="s">
        <v>1167</v>
      </c>
      <c r="C101" t="s">
        <v>1167</v>
      </c>
      <c r="D101" t="s">
        <v>1167</v>
      </c>
      <c r="E101" t="s">
        <v>1167</v>
      </c>
      <c r="F101" t="s">
        <v>1167</v>
      </c>
      <c r="G101">
        <v>0</v>
      </c>
      <c r="H101">
        <v>1</v>
      </c>
      <c r="I101" t="b">
        <f>AND(COUNTIF(CO!A:A,A101)&gt;0,COUNTIF('NO2'!A:A,A101)&gt;0,COUNTIF('O3'!A:A,A101)&gt;0,COUNTIF('PM2.5'!A:A,A101)&gt;0,COUNTIF('SO2'!A:A,A101)&gt;0,COUNTIF(Kendaraan!A:A,A101)&gt;0)</f>
        <v>1</v>
      </c>
    </row>
    <row r="102" spans="1:9" x14ac:dyDescent="0.45">
      <c r="A102" s="4">
        <v>45485</v>
      </c>
      <c r="B102" t="s">
        <v>1584</v>
      </c>
      <c r="C102" t="s">
        <v>1473</v>
      </c>
      <c r="D102" t="s">
        <v>1968</v>
      </c>
      <c r="E102" t="s">
        <v>1150</v>
      </c>
      <c r="F102" t="s">
        <v>3145</v>
      </c>
      <c r="G102" t="s">
        <v>156</v>
      </c>
      <c r="H102">
        <v>24</v>
      </c>
      <c r="I102" t="b">
        <f>AND(COUNTIF(CO!A:A,A102)&gt;0,COUNTIF('NO2'!A:A,A102)&gt;0,COUNTIF('O3'!A:A,A102)&gt;0,COUNTIF('PM2.5'!A:A,A102)&gt;0,COUNTIF('SO2'!A:A,A102)&gt;0,COUNTIF(Kendaraan!A:A,A102)&gt;0)</f>
        <v>1</v>
      </c>
    </row>
    <row r="103" spans="1:9" x14ac:dyDescent="0.45">
      <c r="A103" s="4">
        <v>45486</v>
      </c>
      <c r="B103" t="s">
        <v>1380</v>
      </c>
      <c r="C103" t="s">
        <v>1473</v>
      </c>
      <c r="D103" t="s">
        <v>1509</v>
      </c>
      <c r="E103" t="s">
        <v>1125</v>
      </c>
      <c r="F103" t="s">
        <v>1228</v>
      </c>
      <c r="G103" t="s">
        <v>3056</v>
      </c>
      <c r="H103">
        <v>24</v>
      </c>
      <c r="I103" t="b">
        <f>AND(COUNTIF(CO!A:A,A103)&gt;0,COUNTIF('NO2'!A:A,A103)&gt;0,COUNTIF('O3'!A:A,A103)&gt;0,COUNTIF('PM2.5'!A:A,A103)&gt;0,COUNTIF('SO2'!A:A,A103)&gt;0,COUNTIF(Kendaraan!A:A,A103)&gt;0)</f>
        <v>1</v>
      </c>
    </row>
    <row r="104" spans="1:9" x14ac:dyDescent="0.45">
      <c r="A104" s="4">
        <v>45487</v>
      </c>
      <c r="B104" t="s">
        <v>946</v>
      </c>
      <c r="C104" t="s">
        <v>2606</v>
      </c>
      <c r="D104" t="s">
        <v>3351</v>
      </c>
      <c r="E104" t="s">
        <v>2701</v>
      </c>
      <c r="F104" t="s">
        <v>1362</v>
      </c>
      <c r="G104" s="1">
        <v>1108</v>
      </c>
      <c r="H104">
        <v>24</v>
      </c>
      <c r="I104" t="b">
        <f>AND(COUNTIF(CO!A:A,A104)&gt;0,COUNTIF('NO2'!A:A,A104)&gt;0,COUNTIF('O3'!A:A,A104)&gt;0,COUNTIF('PM2.5'!A:A,A104)&gt;0,COUNTIF('SO2'!A:A,A104)&gt;0,COUNTIF(Kendaraan!A:A,A104)&gt;0)</f>
        <v>1</v>
      </c>
    </row>
    <row r="105" spans="1:9" x14ac:dyDescent="0.45">
      <c r="A105" s="4">
        <v>45488</v>
      </c>
      <c r="B105" t="s">
        <v>1357</v>
      </c>
      <c r="C105" t="s">
        <v>3141</v>
      </c>
      <c r="D105" t="s">
        <v>2759</v>
      </c>
      <c r="E105" t="s">
        <v>1140</v>
      </c>
      <c r="F105" t="s">
        <v>3353</v>
      </c>
      <c r="G105" t="s">
        <v>3354</v>
      </c>
      <c r="H105">
        <v>24</v>
      </c>
      <c r="I105" t="b">
        <f>AND(COUNTIF(CO!A:A,A105)&gt;0,COUNTIF('NO2'!A:A,A105)&gt;0,COUNTIF('O3'!A:A,A105)&gt;0,COUNTIF('PM2.5'!A:A,A105)&gt;0,COUNTIF('SO2'!A:A,A105)&gt;0,COUNTIF(Kendaraan!A:A,A105)&gt;0)</f>
        <v>1</v>
      </c>
    </row>
    <row r="106" spans="1:9" x14ac:dyDescent="0.45">
      <c r="A106" s="4">
        <v>45489</v>
      </c>
      <c r="B106" t="s">
        <v>1330</v>
      </c>
      <c r="C106" t="s">
        <v>640</v>
      </c>
      <c r="D106" t="s">
        <v>1933</v>
      </c>
      <c r="E106" t="s">
        <v>1857</v>
      </c>
      <c r="F106" t="s">
        <v>1243</v>
      </c>
      <c r="G106" s="1">
        <v>3376</v>
      </c>
      <c r="H106">
        <v>24</v>
      </c>
      <c r="I106" t="b">
        <f>AND(COUNTIF(CO!A:A,A106)&gt;0,COUNTIF('NO2'!A:A,A106)&gt;0,COUNTIF('O3'!A:A,A106)&gt;0,COUNTIF('PM2.5'!A:A,A106)&gt;0,COUNTIF('SO2'!A:A,A106)&gt;0,COUNTIF(Kendaraan!A:A,A106)&gt;0)</f>
        <v>1</v>
      </c>
    </row>
    <row r="107" spans="1:9" x14ac:dyDescent="0.45">
      <c r="A107" s="4">
        <v>45490</v>
      </c>
      <c r="B107" t="s">
        <v>1397</v>
      </c>
      <c r="C107" t="s">
        <v>2035</v>
      </c>
      <c r="D107" t="s">
        <v>562</v>
      </c>
      <c r="E107" t="s">
        <v>599</v>
      </c>
      <c r="F107" t="s">
        <v>3355</v>
      </c>
      <c r="G107" s="1">
        <v>1755</v>
      </c>
      <c r="H107">
        <v>24</v>
      </c>
      <c r="I107" t="b">
        <f>AND(COUNTIF(CO!A:A,A107)&gt;0,COUNTIF('NO2'!A:A,A107)&gt;0,COUNTIF('O3'!A:A,A107)&gt;0,COUNTIF('PM2.5'!A:A,A107)&gt;0,COUNTIF('SO2'!A:A,A107)&gt;0,COUNTIF(Kendaraan!A:A,A107)&gt;0)</f>
        <v>1</v>
      </c>
    </row>
    <row r="108" spans="1:9" x14ac:dyDescent="0.45">
      <c r="A108" s="4">
        <v>45491</v>
      </c>
      <c r="B108" t="s">
        <v>2338</v>
      </c>
      <c r="C108" t="s">
        <v>1898</v>
      </c>
      <c r="D108" t="s">
        <v>2870</v>
      </c>
      <c r="E108" t="s">
        <v>1902</v>
      </c>
      <c r="F108" t="s">
        <v>1527</v>
      </c>
      <c r="G108" t="s">
        <v>3356</v>
      </c>
      <c r="H108">
        <v>24</v>
      </c>
      <c r="I108" t="b">
        <f>AND(COUNTIF(CO!A:A,A108)&gt;0,COUNTIF('NO2'!A:A,A108)&gt;0,COUNTIF('O3'!A:A,A108)&gt;0,COUNTIF('PM2.5'!A:A,A108)&gt;0,COUNTIF('SO2'!A:A,A108)&gt;0,COUNTIF(Kendaraan!A:A,A108)&gt;0)</f>
        <v>1</v>
      </c>
    </row>
    <row r="109" spans="1:9" x14ac:dyDescent="0.45">
      <c r="A109" s="4">
        <v>45492</v>
      </c>
      <c r="B109" t="s">
        <v>1271</v>
      </c>
      <c r="C109" t="s">
        <v>2331</v>
      </c>
      <c r="D109" t="s">
        <v>3357</v>
      </c>
      <c r="E109" t="s">
        <v>3358</v>
      </c>
      <c r="F109" t="s">
        <v>2554</v>
      </c>
      <c r="G109" s="1">
        <v>3198</v>
      </c>
      <c r="H109">
        <v>24</v>
      </c>
      <c r="I109" t="b">
        <f>AND(COUNTIF(CO!A:A,A109)&gt;0,COUNTIF('NO2'!A:A,A109)&gt;0,COUNTIF('O3'!A:A,A109)&gt;0,COUNTIF('PM2.5'!A:A,A109)&gt;0,COUNTIF('SO2'!A:A,A109)&gt;0,COUNTIF(Kendaraan!A:A,A109)&gt;0)</f>
        <v>1</v>
      </c>
    </row>
    <row r="110" spans="1:9" x14ac:dyDescent="0.45">
      <c r="A110" s="4">
        <v>45493</v>
      </c>
      <c r="B110" t="s">
        <v>931</v>
      </c>
      <c r="C110" t="s">
        <v>1975</v>
      </c>
      <c r="D110" t="s">
        <v>1670</v>
      </c>
      <c r="E110" t="s">
        <v>3359</v>
      </c>
      <c r="F110" t="s">
        <v>623</v>
      </c>
      <c r="G110" s="1">
        <v>1332</v>
      </c>
      <c r="H110">
        <v>24</v>
      </c>
      <c r="I110" t="b">
        <f>AND(COUNTIF(CO!A:A,A110)&gt;0,COUNTIF('NO2'!A:A,A110)&gt;0,COUNTIF('O3'!A:A,A110)&gt;0,COUNTIF('PM2.5'!A:A,A110)&gt;0,COUNTIF('SO2'!A:A,A110)&gt;0,COUNTIF(Kendaraan!A:A,A110)&gt;0)</f>
        <v>1</v>
      </c>
    </row>
    <row r="111" spans="1:9" x14ac:dyDescent="0.45">
      <c r="A111" s="4">
        <v>45494</v>
      </c>
      <c r="B111" t="s">
        <v>2602</v>
      </c>
      <c r="C111" t="s">
        <v>1150</v>
      </c>
      <c r="D111" t="s">
        <v>1320</v>
      </c>
      <c r="E111" t="s">
        <v>1101</v>
      </c>
      <c r="F111" t="s">
        <v>1145</v>
      </c>
      <c r="G111" t="s">
        <v>1939</v>
      </c>
      <c r="H111">
        <v>23</v>
      </c>
      <c r="I111" t="b">
        <f>AND(COUNTIF(CO!A:A,A111)&gt;0,COUNTIF('NO2'!A:A,A111)&gt;0,COUNTIF('O3'!A:A,A111)&gt;0,COUNTIF('PM2.5'!A:A,A111)&gt;0,COUNTIF('SO2'!A:A,A111)&gt;0,COUNTIF(Kendaraan!A:A,A111)&gt;0)</f>
        <v>1</v>
      </c>
    </row>
    <row r="112" spans="1:9" x14ac:dyDescent="0.45">
      <c r="A112" s="4">
        <v>45495</v>
      </c>
      <c r="B112" t="s">
        <v>2602</v>
      </c>
      <c r="C112" t="s">
        <v>429</v>
      </c>
      <c r="D112" t="s">
        <v>1389</v>
      </c>
      <c r="E112" t="s">
        <v>1500</v>
      </c>
      <c r="F112" t="s">
        <v>446</v>
      </c>
      <c r="G112" s="1">
        <v>1823</v>
      </c>
      <c r="H112">
        <v>24</v>
      </c>
      <c r="I112" t="b">
        <f>AND(COUNTIF(CO!A:A,A112)&gt;0,COUNTIF('NO2'!A:A,A112)&gt;0,COUNTIF('O3'!A:A,A112)&gt;0,COUNTIF('PM2.5'!A:A,A112)&gt;0,COUNTIF('SO2'!A:A,A112)&gt;0,COUNTIF(Kendaraan!A:A,A112)&gt;0)</f>
        <v>1</v>
      </c>
    </row>
    <row r="113" spans="1:9" x14ac:dyDescent="0.45">
      <c r="A113" s="4">
        <v>45496</v>
      </c>
      <c r="B113" t="s">
        <v>1212</v>
      </c>
      <c r="C113" t="s">
        <v>440</v>
      </c>
      <c r="D113" t="s">
        <v>3134</v>
      </c>
      <c r="E113" t="s">
        <v>1224</v>
      </c>
      <c r="F113" t="s">
        <v>443</v>
      </c>
      <c r="G113" t="s">
        <v>3360</v>
      </c>
      <c r="H113">
        <v>24</v>
      </c>
      <c r="I113" t="b">
        <f>AND(COUNTIF(CO!A:A,A113)&gt;0,COUNTIF('NO2'!A:A,A113)&gt;0,COUNTIF('O3'!A:A,A113)&gt;0,COUNTIF('PM2.5'!A:A,A113)&gt;0,COUNTIF('SO2'!A:A,A113)&gt;0,COUNTIF(Kendaraan!A:A,A113)&gt;0)</f>
        <v>1</v>
      </c>
    </row>
    <row r="114" spans="1:9" x14ac:dyDescent="0.45">
      <c r="A114" s="4">
        <v>45497</v>
      </c>
      <c r="B114" t="s">
        <v>1102</v>
      </c>
      <c r="C114" t="s">
        <v>1156</v>
      </c>
      <c r="D114">
        <v>18</v>
      </c>
      <c r="E114" t="s">
        <v>1168</v>
      </c>
      <c r="F114" t="s">
        <v>2762</v>
      </c>
      <c r="G114" t="s">
        <v>3361</v>
      </c>
      <c r="H114">
        <v>24</v>
      </c>
      <c r="I114" t="b">
        <f>AND(COUNTIF(CO!A:A,A114)&gt;0,COUNTIF('NO2'!A:A,A114)&gt;0,COUNTIF('O3'!A:A,A114)&gt;0,COUNTIF('PM2.5'!A:A,A114)&gt;0,COUNTIF('SO2'!A:A,A114)&gt;0,COUNTIF(Kendaraan!A:A,A114)&gt;0)</f>
        <v>1</v>
      </c>
    </row>
    <row r="115" spans="1:9" x14ac:dyDescent="0.45">
      <c r="A115" s="4">
        <v>45498</v>
      </c>
      <c r="B115" t="s">
        <v>926</v>
      </c>
      <c r="C115" t="s">
        <v>613</v>
      </c>
      <c r="D115" t="s">
        <v>1213</v>
      </c>
      <c r="E115" t="s">
        <v>1197</v>
      </c>
      <c r="F115" t="s">
        <v>1444</v>
      </c>
      <c r="G115" t="s">
        <v>229</v>
      </c>
      <c r="H115">
        <v>24</v>
      </c>
      <c r="I115" t="b">
        <f>AND(COUNTIF(CO!A:A,A115)&gt;0,COUNTIF('NO2'!A:A,A115)&gt;0,COUNTIF('O3'!A:A,A115)&gt;0,COUNTIF('PM2.5'!A:A,A115)&gt;0,COUNTIF('SO2'!A:A,A115)&gt;0,COUNTIF(Kendaraan!A:A,A115)&gt;0)</f>
        <v>1</v>
      </c>
    </row>
    <row r="116" spans="1:9" x14ac:dyDescent="0.45">
      <c r="A116" s="4">
        <v>45499</v>
      </c>
      <c r="B116" t="s">
        <v>1738</v>
      </c>
      <c r="C116" t="s">
        <v>588</v>
      </c>
      <c r="D116" t="s">
        <v>623</v>
      </c>
      <c r="E116" t="s">
        <v>3131</v>
      </c>
      <c r="F116" t="s">
        <v>466</v>
      </c>
      <c r="G116" s="1">
        <v>1708</v>
      </c>
      <c r="H116">
        <v>24</v>
      </c>
      <c r="I116" t="b">
        <f>AND(COUNTIF(CO!A:A,A116)&gt;0,COUNTIF('NO2'!A:A,A116)&gt;0,COUNTIF('O3'!A:A,A116)&gt;0,COUNTIF('PM2.5'!A:A,A116)&gt;0,COUNTIF('SO2'!A:A,A116)&gt;0,COUNTIF(Kendaraan!A:A,A116)&gt;0)</f>
        <v>1</v>
      </c>
    </row>
    <row r="117" spans="1:9" x14ac:dyDescent="0.45">
      <c r="A117" s="4">
        <v>45500</v>
      </c>
      <c r="B117" t="s">
        <v>1565</v>
      </c>
      <c r="C117" t="s">
        <v>2583</v>
      </c>
      <c r="D117" t="s">
        <v>502</v>
      </c>
      <c r="E117" t="s">
        <v>667</v>
      </c>
      <c r="F117" t="s">
        <v>607</v>
      </c>
      <c r="G117" s="1">
        <v>1124</v>
      </c>
      <c r="H117">
        <v>24</v>
      </c>
      <c r="I117" t="b">
        <f>AND(COUNTIF(CO!A:A,A117)&gt;0,COUNTIF('NO2'!A:A,A117)&gt;0,COUNTIF('O3'!A:A,A117)&gt;0,COUNTIF('PM2.5'!A:A,A117)&gt;0,COUNTIF('SO2'!A:A,A117)&gt;0,COUNTIF(Kendaraan!A:A,A117)&gt;0)</f>
        <v>1</v>
      </c>
    </row>
    <row r="118" spans="1:9" x14ac:dyDescent="0.45">
      <c r="A118" s="4">
        <v>45501</v>
      </c>
      <c r="B118" t="s">
        <v>1236</v>
      </c>
      <c r="C118" t="s">
        <v>877</v>
      </c>
      <c r="D118" t="s">
        <v>871</v>
      </c>
      <c r="E118" t="s">
        <v>1483</v>
      </c>
      <c r="F118" t="s">
        <v>1261</v>
      </c>
      <c r="G118" t="s">
        <v>3218</v>
      </c>
      <c r="H118">
        <v>24</v>
      </c>
      <c r="I118" t="b">
        <f>AND(COUNTIF(CO!A:A,A118)&gt;0,COUNTIF('NO2'!A:A,A118)&gt;0,COUNTIF('O3'!A:A,A118)&gt;0,COUNTIF('PM2.5'!A:A,A118)&gt;0,COUNTIF('SO2'!A:A,A118)&gt;0,COUNTIF(Kendaraan!A:A,A118)&gt;0)</f>
        <v>1</v>
      </c>
    </row>
    <row r="119" spans="1:9" x14ac:dyDescent="0.45">
      <c r="A119" s="4">
        <v>45502</v>
      </c>
      <c r="B119" t="s">
        <v>1121</v>
      </c>
      <c r="C119" t="s">
        <v>1218</v>
      </c>
      <c r="D119" t="s">
        <v>2762</v>
      </c>
      <c r="E119" t="s">
        <v>932</v>
      </c>
      <c r="F119" t="s">
        <v>921</v>
      </c>
      <c r="G119" t="s">
        <v>3362</v>
      </c>
      <c r="H119">
        <v>24</v>
      </c>
      <c r="I119" t="b">
        <f>AND(COUNTIF(CO!A:A,A119)&gt;0,COUNTIF('NO2'!A:A,A119)&gt;0,COUNTIF('O3'!A:A,A119)&gt;0,COUNTIF('PM2.5'!A:A,A119)&gt;0,COUNTIF('SO2'!A:A,A119)&gt;0,COUNTIF(Kendaraan!A:A,A119)&gt;0)</f>
        <v>1</v>
      </c>
    </row>
    <row r="120" spans="1:9" x14ac:dyDescent="0.45">
      <c r="A120" s="4">
        <v>45503</v>
      </c>
      <c r="B120" t="s">
        <v>1107</v>
      </c>
      <c r="C120" t="s">
        <v>1983</v>
      </c>
      <c r="D120" t="s">
        <v>929</v>
      </c>
      <c r="E120" t="s">
        <v>1986</v>
      </c>
      <c r="F120" t="s">
        <v>1930</v>
      </c>
      <c r="G120" t="s">
        <v>2891</v>
      </c>
      <c r="H120">
        <v>24</v>
      </c>
      <c r="I120" t="b">
        <f>AND(COUNTIF(CO!A:A,A120)&gt;0,COUNTIF('NO2'!A:A,A120)&gt;0,COUNTIF('O3'!A:A,A120)&gt;0,COUNTIF('PM2.5'!A:A,A120)&gt;0,COUNTIF('SO2'!A:A,A120)&gt;0,COUNTIF(Kendaraan!A:A,A120)&gt;0)</f>
        <v>1</v>
      </c>
    </row>
    <row r="121" spans="1:9" x14ac:dyDescent="0.45">
      <c r="A121" s="4">
        <v>45504</v>
      </c>
      <c r="B121" t="s">
        <v>1111</v>
      </c>
      <c r="C121" t="s">
        <v>1227</v>
      </c>
      <c r="D121" t="s">
        <v>3363</v>
      </c>
      <c r="E121" t="s">
        <v>3364</v>
      </c>
      <c r="F121" t="s">
        <v>3201</v>
      </c>
      <c r="G121" s="1">
        <v>1051</v>
      </c>
      <c r="H121">
        <v>24</v>
      </c>
      <c r="I121" t="b">
        <f>AND(COUNTIF(CO!A:A,A121)&gt;0,COUNTIF('NO2'!A:A,A121)&gt;0,COUNTIF('O3'!A:A,A121)&gt;0,COUNTIF('PM2.5'!A:A,A121)&gt;0,COUNTIF('SO2'!A:A,A121)&gt;0,COUNTIF(Kendaraan!A:A,A121)&gt;0)</f>
        <v>1</v>
      </c>
    </row>
    <row r="122" spans="1:9" x14ac:dyDescent="0.45">
      <c r="A122" s="4">
        <v>45505</v>
      </c>
      <c r="B122" t="s">
        <v>2735</v>
      </c>
      <c r="C122" t="s">
        <v>1146</v>
      </c>
      <c r="D122" t="s">
        <v>1113</v>
      </c>
      <c r="E122" t="s">
        <v>1743</v>
      </c>
      <c r="F122" t="s">
        <v>1096</v>
      </c>
      <c r="G122" t="s">
        <v>1262</v>
      </c>
      <c r="H122">
        <v>24</v>
      </c>
      <c r="I122" t="b">
        <f>AND(COUNTIF(CO!A:A,A122)&gt;0,COUNTIF('NO2'!A:A,A122)&gt;0,COUNTIF('O3'!A:A,A122)&gt;0,COUNTIF('PM2.5'!A:A,A122)&gt;0,COUNTIF('SO2'!A:A,A122)&gt;0,COUNTIF(Kendaraan!A:A,A122)&gt;0)</f>
        <v>1</v>
      </c>
    </row>
    <row r="123" spans="1:9" x14ac:dyDescent="0.45">
      <c r="A123" s="4">
        <v>45506</v>
      </c>
      <c r="B123" t="s">
        <v>2790</v>
      </c>
      <c r="C123" t="s">
        <v>1067</v>
      </c>
      <c r="D123" t="s">
        <v>1133</v>
      </c>
      <c r="E123" t="s">
        <v>2149</v>
      </c>
      <c r="F123" t="s">
        <v>1168</v>
      </c>
      <c r="G123" t="s">
        <v>28</v>
      </c>
      <c r="H123">
        <v>24</v>
      </c>
      <c r="I123" t="b">
        <f>AND(COUNTIF(CO!A:A,A123)&gt;0,COUNTIF('NO2'!A:A,A123)&gt;0,COUNTIF('O3'!A:A,A123)&gt;0,COUNTIF('PM2.5'!A:A,A123)&gt;0,COUNTIF('SO2'!A:A,A123)&gt;0,COUNTIF(Kendaraan!A:A,A123)&gt;0)</f>
        <v>1</v>
      </c>
    </row>
    <row r="124" spans="1:9" x14ac:dyDescent="0.45">
      <c r="A124" s="4">
        <v>45507</v>
      </c>
      <c r="B124" t="s">
        <v>1176</v>
      </c>
      <c r="C124" t="s">
        <v>1449</v>
      </c>
      <c r="D124" t="s">
        <v>2062</v>
      </c>
      <c r="E124" t="s">
        <v>2599</v>
      </c>
      <c r="F124" t="s">
        <v>3365</v>
      </c>
      <c r="G124" t="s">
        <v>1162</v>
      </c>
      <c r="H124">
        <v>24</v>
      </c>
      <c r="I124" t="b">
        <f>AND(COUNTIF(CO!A:A,A124)&gt;0,COUNTIF('NO2'!A:A,A124)&gt;0,COUNTIF('O3'!A:A,A124)&gt;0,COUNTIF('PM2.5'!A:A,A124)&gt;0,COUNTIF('SO2'!A:A,A124)&gt;0,COUNTIF(Kendaraan!A:A,A124)&gt;0)</f>
        <v>1</v>
      </c>
    </row>
    <row r="125" spans="1:9" x14ac:dyDescent="0.45">
      <c r="A125" s="4">
        <v>45508</v>
      </c>
      <c r="B125" t="s">
        <v>1299</v>
      </c>
      <c r="C125" t="s">
        <v>1935</v>
      </c>
      <c r="D125" t="s">
        <v>1295</v>
      </c>
      <c r="E125" t="s">
        <v>1692</v>
      </c>
      <c r="F125" t="s">
        <v>2609</v>
      </c>
      <c r="G125" s="1">
        <v>1888</v>
      </c>
      <c r="H125">
        <v>24</v>
      </c>
      <c r="I125" t="b">
        <f>AND(COUNTIF(CO!A:A,A125)&gt;0,COUNTIF('NO2'!A:A,A125)&gt;0,COUNTIF('O3'!A:A,A125)&gt;0,COUNTIF('PM2.5'!A:A,A125)&gt;0,COUNTIF('SO2'!A:A,A125)&gt;0,COUNTIF(Kendaraan!A:A,A125)&gt;0)</f>
        <v>1</v>
      </c>
    </row>
    <row r="126" spans="1:9" x14ac:dyDescent="0.45">
      <c r="A126" s="4">
        <v>45509</v>
      </c>
      <c r="B126" t="s">
        <v>1671</v>
      </c>
      <c r="C126" t="s">
        <v>1183</v>
      </c>
      <c r="D126" t="s">
        <v>1331</v>
      </c>
      <c r="E126" t="s">
        <v>1825</v>
      </c>
      <c r="F126" t="s">
        <v>2400</v>
      </c>
      <c r="G126" s="1">
        <v>1604</v>
      </c>
      <c r="H126">
        <v>24</v>
      </c>
      <c r="I126" t="b">
        <f>AND(COUNTIF(CO!A:A,A126)&gt;0,COUNTIF('NO2'!A:A,A126)&gt;0,COUNTIF('O3'!A:A,A126)&gt;0,COUNTIF('PM2.5'!A:A,A126)&gt;0,COUNTIF('SO2'!A:A,A126)&gt;0,COUNTIF(Kendaraan!A:A,A126)&gt;0)</f>
        <v>1</v>
      </c>
    </row>
    <row r="127" spans="1:9" x14ac:dyDescent="0.45">
      <c r="A127" s="4">
        <v>45510</v>
      </c>
      <c r="B127" t="s">
        <v>1629</v>
      </c>
      <c r="C127" t="s">
        <v>915</v>
      </c>
      <c r="D127" t="s">
        <v>1563</v>
      </c>
      <c r="E127" t="s">
        <v>3259</v>
      </c>
      <c r="F127" t="s">
        <v>870</v>
      </c>
      <c r="G127" s="1">
        <v>1433</v>
      </c>
      <c r="H127">
        <v>24</v>
      </c>
      <c r="I127" t="b">
        <f>AND(COUNTIF(CO!A:A,A127)&gt;0,COUNTIF('NO2'!A:A,A127)&gt;0,COUNTIF('O3'!A:A,A127)&gt;0,COUNTIF('PM2.5'!A:A,A127)&gt;0,COUNTIF('SO2'!A:A,A127)&gt;0,COUNTIF(Kendaraan!A:A,A127)&gt;0)</f>
        <v>1</v>
      </c>
    </row>
    <row r="128" spans="1:9" x14ac:dyDescent="0.45">
      <c r="A128" s="4">
        <v>45511</v>
      </c>
      <c r="B128" t="s">
        <v>1103</v>
      </c>
      <c r="C128" t="s">
        <v>870</v>
      </c>
      <c r="D128" t="s">
        <v>1662</v>
      </c>
      <c r="E128" t="s">
        <v>1149</v>
      </c>
      <c r="F128" t="s">
        <v>1225</v>
      </c>
      <c r="G128" s="1">
        <v>1084</v>
      </c>
      <c r="H128">
        <v>24</v>
      </c>
      <c r="I128" t="b">
        <f>AND(COUNTIF(CO!A:A,A128)&gt;0,COUNTIF('NO2'!A:A,A128)&gt;0,COUNTIF('O3'!A:A,A128)&gt;0,COUNTIF('PM2.5'!A:A,A128)&gt;0,COUNTIF('SO2'!A:A,A128)&gt;0,COUNTIF(Kendaraan!A:A,A128)&gt;0)</f>
        <v>1</v>
      </c>
    </row>
    <row r="129" spans="1:9" x14ac:dyDescent="0.45">
      <c r="A129" s="4">
        <v>45512</v>
      </c>
      <c r="B129" t="s">
        <v>3258</v>
      </c>
      <c r="C129" t="s">
        <v>2148</v>
      </c>
      <c r="D129" t="s">
        <v>1201</v>
      </c>
      <c r="E129" t="s">
        <v>1738</v>
      </c>
      <c r="F129" t="s">
        <v>2578</v>
      </c>
      <c r="G129" s="1">
        <v>1626</v>
      </c>
      <c r="H129">
        <v>24</v>
      </c>
      <c r="I129" t="b">
        <f>AND(COUNTIF(CO!A:A,A129)&gt;0,COUNTIF('NO2'!A:A,A129)&gt;0,COUNTIF('O3'!A:A,A129)&gt;0,COUNTIF('PM2.5'!A:A,A129)&gt;0,COUNTIF('SO2'!A:A,A129)&gt;0,COUNTIF(Kendaraan!A:A,A129)&gt;0)</f>
        <v>1</v>
      </c>
    </row>
    <row r="130" spans="1:9" x14ac:dyDescent="0.45">
      <c r="A130" s="4">
        <v>45513</v>
      </c>
      <c r="B130" t="s">
        <v>1089</v>
      </c>
      <c r="C130" t="s">
        <v>1466</v>
      </c>
      <c r="D130" t="s">
        <v>1510</v>
      </c>
      <c r="E130" t="s">
        <v>1106</v>
      </c>
      <c r="F130" t="s">
        <v>3366</v>
      </c>
      <c r="G130" t="s">
        <v>3367</v>
      </c>
      <c r="H130">
        <v>24</v>
      </c>
      <c r="I130" t="b">
        <f>AND(COUNTIF(CO!A:A,A130)&gt;0,COUNTIF('NO2'!A:A,A130)&gt;0,COUNTIF('O3'!A:A,A130)&gt;0,COUNTIF('PM2.5'!A:A,A130)&gt;0,COUNTIF('SO2'!A:A,A130)&gt;0,COUNTIF(Kendaraan!A:A,A130)&gt;0)</f>
        <v>1</v>
      </c>
    </row>
    <row r="131" spans="1:9" x14ac:dyDescent="0.45">
      <c r="A131" s="4">
        <v>45514</v>
      </c>
      <c r="B131" t="s">
        <v>1739</v>
      </c>
      <c r="C131" t="s">
        <v>537</v>
      </c>
      <c r="D131" t="s">
        <v>1400</v>
      </c>
      <c r="E131" t="s">
        <v>426</v>
      </c>
      <c r="F131" t="s">
        <v>477</v>
      </c>
      <c r="G131" s="1">
        <v>2451</v>
      </c>
      <c r="H131">
        <v>24</v>
      </c>
      <c r="I131" t="b">
        <f>AND(COUNTIF(CO!A:A,A131)&gt;0,COUNTIF('NO2'!A:A,A131)&gt;0,COUNTIF('O3'!A:A,A131)&gt;0,COUNTIF('PM2.5'!A:A,A131)&gt;0,COUNTIF('SO2'!A:A,A131)&gt;0,COUNTIF(Kendaraan!A:A,A131)&gt;0)</f>
        <v>1</v>
      </c>
    </row>
    <row r="132" spans="1:9" x14ac:dyDescent="0.45">
      <c r="A132" s="4">
        <v>45516</v>
      </c>
      <c r="B132" t="s">
        <v>3181</v>
      </c>
      <c r="C132">
        <v>28</v>
      </c>
      <c r="D132" t="s">
        <v>1536</v>
      </c>
      <c r="E132" t="s">
        <v>3368</v>
      </c>
      <c r="F132">
        <v>28</v>
      </c>
      <c r="G132" t="s">
        <v>3369</v>
      </c>
      <c r="H132">
        <v>17</v>
      </c>
      <c r="I132" t="b">
        <f>AND(COUNTIF(CO!A:A,A132)&gt;0,COUNTIF('NO2'!A:A,A132)&gt;0,COUNTIF('O3'!A:A,A132)&gt;0,COUNTIF('PM2.5'!A:A,A132)&gt;0,COUNTIF('SO2'!A:A,A132)&gt;0,COUNTIF(Kendaraan!A:A,A132)&gt;0)</f>
        <v>1</v>
      </c>
    </row>
    <row r="133" spans="1:9" x14ac:dyDescent="0.45">
      <c r="A133" s="4">
        <v>45517</v>
      </c>
      <c r="B133" t="s">
        <v>1991</v>
      </c>
      <c r="C133" t="s">
        <v>612</v>
      </c>
      <c r="D133" t="s">
        <v>1994</v>
      </c>
      <c r="E133" t="s">
        <v>1404</v>
      </c>
      <c r="F133" t="s">
        <v>463</v>
      </c>
      <c r="G133" t="s">
        <v>3370</v>
      </c>
      <c r="H133">
        <v>5</v>
      </c>
      <c r="I133" t="b">
        <f>AND(COUNTIF(CO!A:A,A133)&gt;0,COUNTIF('NO2'!A:A,A133)&gt;0,COUNTIF('O3'!A:A,A133)&gt;0,COUNTIF('PM2.5'!A:A,A133)&gt;0,COUNTIF('SO2'!A:A,A133)&gt;0,COUNTIF(Kendaraan!A:A,A133)&gt;0)</f>
        <v>1</v>
      </c>
    </row>
    <row r="134" spans="1:9" x14ac:dyDescent="0.45">
      <c r="A134" s="4">
        <v>45518</v>
      </c>
      <c r="B134" t="s">
        <v>1230</v>
      </c>
      <c r="C134" t="s">
        <v>427</v>
      </c>
      <c r="D134" t="s">
        <v>1409</v>
      </c>
      <c r="E134" t="s">
        <v>621</v>
      </c>
      <c r="F134" t="s">
        <v>412</v>
      </c>
      <c r="G134" s="1">
        <v>1066</v>
      </c>
      <c r="H134">
        <v>24</v>
      </c>
      <c r="I134" t="b">
        <f>AND(COUNTIF(CO!A:A,A134)&gt;0,COUNTIF('NO2'!A:A,A134)&gt;0,COUNTIF('O3'!A:A,A134)&gt;0,COUNTIF('PM2.5'!A:A,A134)&gt;0,COUNTIF('SO2'!A:A,A134)&gt;0,COUNTIF(Kendaraan!A:A,A134)&gt;0)</f>
        <v>1</v>
      </c>
    </row>
    <row r="135" spans="1:9" x14ac:dyDescent="0.45">
      <c r="A135" s="4">
        <v>45519</v>
      </c>
      <c r="B135">
        <v>15</v>
      </c>
      <c r="C135" t="s">
        <v>2056</v>
      </c>
      <c r="D135" t="s">
        <v>1180</v>
      </c>
      <c r="E135" t="s">
        <v>1170</v>
      </c>
      <c r="F135" t="s">
        <v>1506</v>
      </c>
      <c r="G135" s="1">
        <v>1486</v>
      </c>
      <c r="H135">
        <v>15</v>
      </c>
      <c r="I135" t="b">
        <f>AND(COUNTIF(CO!A:A,A135)&gt;0,COUNTIF('NO2'!A:A,A135)&gt;0,COUNTIF('O3'!A:A,A135)&gt;0,COUNTIF('PM2.5'!A:A,A135)&gt;0,COUNTIF('SO2'!A:A,A135)&gt;0,COUNTIF(Kendaraan!A:A,A135)&gt;0)</f>
        <v>1</v>
      </c>
    </row>
    <row r="136" spans="1:9" x14ac:dyDescent="0.45">
      <c r="A136" s="4">
        <v>45521</v>
      </c>
      <c r="B136" t="s">
        <v>1660</v>
      </c>
      <c r="C136" t="s">
        <v>1449</v>
      </c>
      <c r="D136" t="s">
        <v>1123</v>
      </c>
      <c r="E136" t="s">
        <v>1318</v>
      </c>
      <c r="F136" t="s">
        <v>3371</v>
      </c>
      <c r="G136" s="1">
        <v>1555</v>
      </c>
      <c r="H136">
        <v>24</v>
      </c>
      <c r="I136" t="b">
        <f>AND(COUNTIF(CO!A:A,A136)&gt;0,COUNTIF('NO2'!A:A,A136)&gt;0,COUNTIF('O3'!A:A,A136)&gt;0,COUNTIF('PM2.5'!A:A,A136)&gt;0,COUNTIF('SO2'!A:A,A136)&gt;0,COUNTIF(Kendaraan!A:A,A136)&gt;0)</f>
        <v>1</v>
      </c>
    </row>
    <row r="137" spans="1:9" x14ac:dyDescent="0.45">
      <c r="A137" s="4">
        <v>45522</v>
      </c>
      <c r="B137" t="s">
        <v>1375</v>
      </c>
      <c r="C137" t="s">
        <v>440</v>
      </c>
      <c r="D137" t="s">
        <v>1234</v>
      </c>
      <c r="E137" t="s">
        <v>2602</v>
      </c>
      <c r="F137" t="s">
        <v>873</v>
      </c>
      <c r="G137" s="1">
        <v>2562</v>
      </c>
      <c r="H137">
        <v>24</v>
      </c>
      <c r="I137" t="b">
        <f>AND(COUNTIF(CO!A:A,A137)&gt;0,COUNTIF('NO2'!A:A,A137)&gt;0,COUNTIF('O3'!A:A,A137)&gt;0,COUNTIF('PM2.5'!A:A,A137)&gt;0,COUNTIF('SO2'!A:A,A137)&gt;0,COUNTIF(Kendaraan!A:A,A137)&gt;0)</f>
        <v>1</v>
      </c>
    </row>
    <row r="138" spans="1:9" x14ac:dyDescent="0.45">
      <c r="A138" s="4">
        <v>45523</v>
      </c>
      <c r="B138" t="s">
        <v>1709</v>
      </c>
      <c r="C138" t="s">
        <v>2605</v>
      </c>
      <c r="D138" t="s">
        <v>1872</v>
      </c>
      <c r="E138" t="s">
        <v>1347</v>
      </c>
      <c r="F138" t="s">
        <v>2783</v>
      </c>
      <c r="G138" t="s">
        <v>302</v>
      </c>
      <c r="H138">
        <v>24</v>
      </c>
      <c r="I138" t="b">
        <f>AND(COUNTIF(CO!A:A,A138)&gt;0,COUNTIF('NO2'!A:A,A138)&gt;0,COUNTIF('O3'!A:A,A138)&gt;0,COUNTIF('PM2.5'!A:A,A138)&gt;0,COUNTIF('SO2'!A:A,A138)&gt;0,COUNTIF(Kendaraan!A:A,A138)&gt;0)</f>
        <v>1</v>
      </c>
    </row>
    <row r="139" spans="1:9" x14ac:dyDescent="0.45">
      <c r="A139" s="4">
        <v>45524</v>
      </c>
      <c r="B139" t="s">
        <v>2724</v>
      </c>
      <c r="C139" t="s">
        <v>1506</v>
      </c>
      <c r="D139" t="s">
        <v>1511</v>
      </c>
      <c r="E139" t="s">
        <v>1173</v>
      </c>
      <c r="F139" t="s">
        <v>3258</v>
      </c>
      <c r="G139" s="1">
        <v>1238</v>
      </c>
      <c r="H139">
        <v>22</v>
      </c>
      <c r="I139" t="b">
        <f>AND(COUNTIF(CO!A:A,A139)&gt;0,COUNTIF('NO2'!A:A,A139)&gt;0,COUNTIF('O3'!A:A,A139)&gt;0,COUNTIF('PM2.5'!A:A,A139)&gt;0,COUNTIF('SO2'!A:A,A139)&gt;0,COUNTIF(Kendaraan!A:A,A139)&gt;0)</f>
        <v>1</v>
      </c>
    </row>
    <row r="140" spans="1:9" x14ac:dyDescent="0.45">
      <c r="A140" s="4">
        <v>45525</v>
      </c>
      <c r="B140" t="s">
        <v>2057</v>
      </c>
      <c r="C140" t="s">
        <v>3372</v>
      </c>
      <c r="D140" t="s">
        <v>1865</v>
      </c>
      <c r="E140" t="s">
        <v>1644</v>
      </c>
      <c r="F140" t="s">
        <v>1243</v>
      </c>
      <c r="G140" s="1">
        <v>1671</v>
      </c>
      <c r="H140">
        <v>24</v>
      </c>
      <c r="I140" t="b">
        <f>AND(COUNTIF(CO!A:A,A140)&gt;0,COUNTIF('NO2'!A:A,A140)&gt;0,COUNTIF('O3'!A:A,A140)&gt;0,COUNTIF('PM2.5'!A:A,A140)&gt;0,COUNTIF('SO2'!A:A,A140)&gt;0,COUNTIF(Kendaraan!A:A,A140)&gt;0)</f>
        <v>1</v>
      </c>
    </row>
    <row r="141" spans="1:9" x14ac:dyDescent="0.45">
      <c r="A141" s="4">
        <v>45526</v>
      </c>
      <c r="B141" t="s">
        <v>1395</v>
      </c>
      <c r="C141" t="s">
        <v>2558</v>
      </c>
      <c r="D141" t="s">
        <v>523</v>
      </c>
      <c r="E141" t="s">
        <v>3373</v>
      </c>
      <c r="F141" t="s">
        <v>3178</v>
      </c>
      <c r="G141" s="1">
        <v>1253</v>
      </c>
      <c r="H141">
        <v>24</v>
      </c>
      <c r="I141" t="b">
        <f>AND(COUNTIF(CO!A:A,A141)&gt;0,COUNTIF('NO2'!A:A,A141)&gt;0,COUNTIF('O3'!A:A,A141)&gt;0,COUNTIF('PM2.5'!A:A,A141)&gt;0,COUNTIF('SO2'!A:A,A141)&gt;0,COUNTIF(Kendaraan!A:A,A141)&gt;0)</f>
        <v>1</v>
      </c>
    </row>
    <row r="142" spans="1:9" x14ac:dyDescent="0.45">
      <c r="A142" s="4">
        <v>45527</v>
      </c>
      <c r="B142" t="s">
        <v>926</v>
      </c>
      <c r="C142" t="s">
        <v>649</v>
      </c>
      <c r="D142" t="s">
        <v>1267</v>
      </c>
      <c r="E142" t="s">
        <v>1443</v>
      </c>
      <c r="F142" t="s">
        <v>1240</v>
      </c>
      <c r="G142" s="1">
        <v>1268</v>
      </c>
      <c r="H142">
        <v>24</v>
      </c>
      <c r="I142" t="b">
        <f>AND(COUNTIF(CO!A:A,A142)&gt;0,COUNTIF('NO2'!A:A,A142)&gt;0,COUNTIF('O3'!A:A,A142)&gt;0,COUNTIF('PM2.5'!A:A,A142)&gt;0,COUNTIF('SO2'!A:A,A142)&gt;0,COUNTIF(Kendaraan!A:A,A142)&gt;0)</f>
        <v>1</v>
      </c>
    </row>
    <row r="143" spans="1:9" x14ac:dyDescent="0.45">
      <c r="A143" s="4">
        <v>45528</v>
      </c>
      <c r="B143">
        <v>11</v>
      </c>
      <c r="C143" t="s">
        <v>926</v>
      </c>
      <c r="D143" t="s">
        <v>1344</v>
      </c>
      <c r="E143" t="s">
        <v>3374</v>
      </c>
      <c r="F143" t="s">
        <v>1587</v>
      </c>
      <c r="G143" s="1">
        <v>3014</v>
      </c>
      <c r="H143">
        <v>24</v>
      </c>
      <c r="I143" t="b">
        <f>AND(COUNTIF(CO!A:A,A143)&gt;0,COUNTIF('NO2'!A:A,A143)&gt;0,COUNTIF('O3'!A:A,A143)&gt;0,COUNTIF('PM2.5'!A:A,A143)&gt;0,COUNTIF('SO2'!A:A,A143)&gt;0,COUNTIF(Kendaraan!A:A,A143)&gt;0)</f>
        <v>1</v>
      </c>
    </row>
    <row r="144" spans="1:9" x14ac:dyDescent="0.45">
      <c r="A144" s="4">
        <v>45529</v>
      </c>
      <c r="B144" t="s">
        <v>1700</v>
      </c>
      <c r="C144" t="s">
        <v>939</v>
      </c>
      <c r="D144" t="s">
        <v>1363</v>
      </c>
      <c r="E144" t="s">
        <v>2717</v>
      </c>
      <c r="F144" t="s">
        <v>2776</v>
      </c>
      <c r="G144" s="1">
        <v>1977</v>
      </c>
      <c r="H144">
        <v>24</v>
      </c>
      <c r="I144" t="b">
        <f>AND(COUNTIF(CO!A:A,A144)&gt;0,COUNTIF('NO2'!A:A,A144)&gt;0,COUNTIF('O3'!A:A,A144)&gt;0,COUNTIF('PM2.5'!A:A,A144)&gt;0,COUNTIF('SO2'!A:A,A144)&gt;0,COUNTIF(Kendaraan!A:A,A144)&gt;0)</f>
        <v>1</v>
      </c>
    </row>
    <row r="145" spans="1:9" x14ac:dyDescent="0.45">
      <c r="A145" s="4">
        <v>45530</v>
      </c>
      <c r="B145" t="s">
        <v>2694</v>
      </c>
      <c r="C145" t="s">
        <v>3141</v>
      </c>
      <c r="D145" t="s">
        <v>1373</v>
      </c>
      <c r="E145" t="s">
        <v>940</v>
      </c>
      <c r="F145" t="s">
        <v>1188</v>
      </c>
      <c r="G145" s="1">
        <v>1488</v>
      </c>
      <c r="H145">
        <v>24</v>
      </c>
      <c r="I145" t="b">
        <f>AND(COUNTIF(CO!A:A,A145)&gt;0,COUNTIF('NO2'!A:A,A145)&gt;0,COUNTIF('O3'!A:A,A145)&gt;0,COUNTIF('PM2.5'!A:A,A145)&gt;0,COUNTIF('SO2'!A:A,A145)&gt;0,COUNTIF(Kendaraan!A:A,A145)&gt;0)</f>
        <v>1</v>
      </c>
    </row>
    <row r="146" spans="1:9" x14ac:dyDescent="0.45">
      <c r="A146" s="4">
        <v>45531</v>
      </c>
      <c r="B146" t="s">
        <v>1054</v>
      </c>
      <c r="C146" t="s">
        <v>1807</v>
      </c>
      <c r="D146" t="s">
        <v>3375</v>
      </c>
      <c r="E146" t="s">
        <v>1281</v>
      </c>
      <c r="F146" t="s">
        <v>3376</v>
      </c>
      <c r="G146" t="s">
        <v>3377</v>
      </c>
      <c r="H146">
        <v>24</v>
      </c>
      <c r="I146" t="b">
        <f>AND(COUNTIF(CO!A:A,A146)&gt;0,COUNTIF('NO2'!A:A,A146)&gt;0,COUNTIF('O3'!A:A,A146)&gt;0,COUNTIF('PM2.5'!A:A,A146)&gt;0,COUNTIF('SO2'!A:A,A146)&gt;0,COUNTIF(Kendaraan!A:A,A146)&gt;0)</f>
        <v>1</v>
      </c>
    </row>
    <row r="147" spans="1:9" x14ac:dyDescent="0.45">
      <c r="A147" s="4">
        <v>45532</v>
      </c>
      <c r="B147" t="s">
        <v>1281</v>
      </c>
      <c r="C147" t="s">
        <v>1326</v>
      </c>
      <c r="D147" t="s">
        <v>3221</v>
      </c>
      <c r="E147" t="s">
        <v>1817</v>
      </c>
      <c r="F147" t="s">
        <v>1324</v>
      </c>
      <c r="G147" t="s">
        <v>3378</v>
      </c>
      <c r="H147">
        <v>24</v>
      </c>
      <c r="I147" t="b">
        <f>AND(COUNTIF(CO!A:A,A147)&gt;0,COUNTIF('NO2'!A:A,A147)&gt;0,COUNTIF('O3'!A:A,A147)&gt;0,COUNTIF('PM2.5'!A:A,A147)&gt;0,COUNTIF('SO2'!A:A,A147)&gt;0,COUNTIF(Kendaraan!A:A,A147)&gt;0)</f>
        <v>1</v>
      </c>
    </row>
    <row r="148" spans="1:9" x14ac:dyDescent="0.45">
      <c r="A148" s="4">
        <v>45533</v>
      </c>
      <c r="B148" t="s">
        <v>1347</v>
      </c>
      <c r="C148" t="s">
        <v>1325</v>
      </c>
      <c r="D148" t="s">
        <v>1304</v>
      </c>
      <c r="E148" t="s">
        <v>2698</v>
      </c>
      <c r="F148" t="s">
        <v>2392</v>
      </c>
      <c r="G148" t="s">
        <v>1475</v>
      </c>
      <c r="H148">
        <v>24</v>
      </c>
      <c r="I148" t="b">
        <f>AND(COUNTIF(CO!A:A,A148)&gt;0,COUNTIF('NO2'!A:A,A148)&gt;0,COUNTIF('O3'!A:A,A148)&gt;0,COUNTIF('PM2.5'!A:A,A148)&gt;0,COUNTIF('SO2'!A:A,A148)&gt;0,COUNTIF(Kendaraan!A:A,A148)&gt;0)</f>
        <v>1</v>
      </c>
    </row>
    <row r="149" spans="1:9" x14ac:dyDescent="0.45">
      <c r="A149" s="4">
        <v>45534</v>
      </c>
      <c r="B149" t="s">
        <v>1360</v>
      </c>
      <c r="C149" t="s">
        <v>934</v>
      </c>
      <c r="D149" t="s">
        <v>1348</v>
      </c>
      <c r="E149" t="s">
        <v>1347</v>
      </c>
      <c r="F149" t="s">
        <v>1374</v>
      </c>
      <c r="G149" s="1">
        <v>1242</v>
      </c>
      <c r="H149">
        <v>24</v>
      </c>
      <c r="I149" t="b">
        <f>AND(COUNTIF(CO!A:A,A149)&gt;0,COUNTIF('NO2'!A:A,A149)&gt;0,COUNTIF('O3'!A:A,A149)&gt;0,COUNTIF('PM2.5'!A:A,A149)&gt;0,COUNTIF('SO2'!A:A,A149)&gt;0,COUNTIF(Kendaraan!A:A,A149)&gt;0)</f>
        <v>1</v>
      </c>
    </row>
    <row r="150" spans="1:9" x14ac:dyDescent="0.45">
      <c r="A150" s="4">
        <v>45535</v>
      </c>
      <c r="B150" t="s">
        <v>1106</v>
      </c>
      <c r="C150">
        <v>20</v>
      </c>
      <c r="D150">
        <v>20</v>
      </c>
      <c r="E150" t="s">
        <v>920</v>
      </c>
      <c r="F150">
        <v>20</v>
      </c>
      <c r="G150" s="1">
        <v>1081</v>
      </c>
      <c r="H150">
        <v>24</v>
      </c>
      <c r="I150" t="b">
        <f>AND(COUNTIF(CO!A:A,A150)&gt;0,COUNTIF('NO2'!A:A,A150)&gt;0,COUNTIF('O3'!A:A,A150)&gt;0,COUNTIF('PM2.5'!A:A,A150)&gt;0,COUNTIF('SO2'!A:A,A150)&gt;0,COUNTIF(Kendaraan!A:A,A150)&gt;0)</f>
        <v>1</v>
      </c>
    </row>
    <row r="151" spans="1:9" x14ac:dyDescent="0.45">
      <c r="A151" s="4">
        <v>45536</v>
      </c>
      <c r="B151">
        <v>20</v>
      </c>
      <c r="C151">
        <v>20</v>
      </c>
      <c r="D151">
        <v>20</v>
      </c>
      <c r="E151">
        <v>20</v>
      </c>
      <c r="F151">
        <v>20</v>
      </c>
      <c r="G151">
        <v>0</v>
      </c>
      <c r="H151">
        <v>24</v>
      </c>
      <c r="I151" t="b">
        <f>AND(COUNTIF(CO!A:A,A151)&gt;0,COUNTIF('NO2'!A:A,A151)&gt;0,COUNTIF('O3'!A:A,A151)&gt;0,COUNTIF('PM2.5'!A:A,A151)&gt;0,COUNTIF('SO2'!A:A,A151)&gt;0,COUNTIF(Kendaraan!A:A,A151)&gt;0)</f>
        <v>1</v>
      </c>
    </row>
    <row r="152" spans="1:9" x14ac:dyDescent="0.45">
      <c r="A152" s="4">
        <v>45537</v>
      </c>
      <c r="B152" t="s">
        <v>1957</v>
      </c>
      <c r="C152">
        <v>20</v>
      </c>
      <c r="D152" t="s">
        <v>692</v>
      </c>
      <c r="E152" t="s">
        <v>1099</v>
      </c>
      <c r="F152">
        <v>20</v>
      </c>
      <c r="G152" s="1">
        <v>1945</v>
      </c>
      <c r="H152">
        <v>24</v>
      </c>
      <c r="I152" t="b">
        <f>AND(COUNTIF(CO!A:A,A152)&gt;0,COUNTIF('NO2'!A:A,A152)&gt;0,COUNTIF('O3'!A:A,A152)&gt;0,COUNTIF('PM2.5'!A:A,A152)&gt;0,COUNTIF('SO2'!A:A,A152)&gt;0,COUNTIF(Kendaraan!A:A,A152)&gt;0)</f>
        <v>1</v>
      </c>
    </row>
    <row r="153" spans="1:9" x14ac:dyDescent="0.45">
      <c r="A153" s="4">
        <v>45538</v>
      </c>
      <c r="B153" t="s">
        <v>1790</v>
      </c>
      <c r="C153" t="s">
        <v>1355</v>
      </c>
      <c r="D153" t="s">
        <v>1308</v>
      </c>
      <c r="E153" t="s">
        <v>3049</v>
      </c>
      <c r="F153" t="s">
        <v>1311</v>
      </c>
      <c r="G153" t="s">
        <v>21</v>
      </c>
      <c r="H153">
        <v>24</v>
      </c>
      <c r="I153" t="b">
        <f>AND(COUNTIF(CO!A:A,A153)&gt;0,COUNTIF('NO2'!A:A,A153)&gt;0,COUNTIF('O3'!A:A,A153)&gt;0,COUNTIF('PM2.5'!A:A,A153)&gt;0,COUNTIF('SO2'!A:A,A153)&gt;0,COUNTIF(Kendaraan!A:A,A153)&gt;0)</f>
        <v>1</v>
      </c>
    </row>
    <row r="154" spans="1:9" x14ac:dyDescent="0.45">
      <c r="A154" s="4">
        <v>45539</v>
      </c>
      <c r="B154" t="s">
        <v>1957</v>
      </c>
      <c r="C154" t="s">
        <v>3110</v>
      </c>
      <c r="D154" t="s">
        <v>2724</v>
      </c>
      <c r="E154" t="s">
        <v>3088</v>
      </c>
      <c r="F154" t="s">
        <v>2736</v>
      </c>
      <c r="G154" t="s">
        <v>3379</v>
      </c>
      <c r="H154">
        <v>24</v>
      </c>
      <c r="I154" t="b">
        <f>AND(COUNTIF(CO!A:A,A154)&gt;0,COUNTIF('NO2'!A:A,A154)&gt;0,COUNTIF('O3'!A:A,A154)&gt;0,COUNTIF('PM2.5'!A:A,A154)&gt;0,COUNTIF('SO2'!A:A,A154)&gt;0,COUNTIF(Kendaraan!A:A,A154)&gt;0)</f>
        <v>1</v>
      </c>
    </row>
    <row r="155" spans="1:9" x14ac:dyDescent="0.45">
      <c r="A155" s="4">
        <v>45540</v>
      </c>
      <c r="B155" t="s">
        <v>1322</v>
      </c>
      <c r="C155" t="s">
        <v>2740</v>
      </c>
      <c r="D155" t="s">
        <v>1368</v>
      </c>
      <c r="E155" t="s">
        <v>1874</v>
      </c>
      <c r="F155" t="s">
        <v>3045</v>
      </c>
      <c r="G155" t="s">
        <v>3377</v>
      </c>
      <c r="H155">
        <v>24</v>
      </c>
      <c r="I155" t="b">
        <f>AND(COUNTIF(CO!A:A,A155)&gt;0,COUNTIF('NO2'!A:A,A155)&gt;0,COUNTIF('O3'!A:A,A155)&gt;0,COUNTIF('PM2.5'!A:A,A155)&gt;0,COUNTIF('SO2'!A:A,A155)&gt;0,COUNTIF(Kendaraan!A:A,A155)&gt;0)</f>
        <v>1</v>
      </c>
    </row>
    <row r="156" spans="1:9" x14ac:dyDescent="0.45">
      <c r="A156" s="4">
        <v>45541</v>
      </c>
      <c r="B156" t="s">
        <v>2733</v>
      </c>
      <c r="C156" t="s">
        <v>1080</v>
      </c>
      <c r="D156" t="s">
        <v>1984</v>
      </c>
      <c r="E156" t="s">
        <v>2963</v>
      </c>
      <c r="F156" t="s">
        <v>1076</v>
      </c>
      <c r="G156" t="s">
        <v>3380</v>
      </c>
      <c r="H156">
        <v>24</v>
      </c>
      <c r="I156" t="b">
        <f>AND(COUNTIF(CO!A:A,A156)&gt;0,COUNTIF('NO2'!A:A,A156)&gt;0,COUNTIF('O3'!A:A,A156)&gt;0,COUNTIF('PM2.5'!A:A,A156)&gt;0,COUNTIF('SO2'!A:A,A156)&gt;0,COUNTIF(Kendaraan!A:A,A156)&gt;0)</f>
        <v>1</v>
      </c>
    </row>
    <row r="157" spans="1:9" x14ac:dyDescent="0.45">
      <c r="A157" s="4">
        <v>45542</v>
      </c>
      <c r="B157" t="s">
        <v>3094</v>
      </c>
      <c r="C157" t="s">
        <v>1158</v>
      </c>
      <c r="D157" t="s">
        <v>2956</v>
      </c>
      <c r="E157" t="s">
        <v>1088</v>
      </c>
      <c r="F157">
        <v>17</v>
      </c>
      <c r="G157" t="s">
        <v>586</v>
      </c>
      <c r="H157">
        <v>22</v>
      </c>
      <c r="I157" t="b">
        <f>AND(COUNTIF(CO!A:A,A157)&gt;0,COUNTIF('NO2'!A:A,A157)&gt;0,COUNTIF('O3'!A:A,A157)&gt;0,COUNTIF('PM2.5'!A:A,A157)&gt;0,COUNTIF('SO2'!A:A,A157)&gt;0,COUNTIF(Kendaraan!A:A,A157)&gt;0)</f>
        <v>1</v>
      </c>
    </row>
    <row r="158" spans="1:9" x14ac:dyDescent="0.45">
      <c r="A158" s="4">
        <v>45543</v>
      </c>
      <c r="B158" t="s">
        <v>1496</v>
      </c>
      <c r="C158" t="s">
        <v>1578</v>
      </c>
      <c r="D158" t="s">
        <v>1428</v>
      </c>
      <c r="E158" t="s">
        <v>1639</v>
      </c>
      <c r="F158" t="s">
        <v>2743</v>
      </c>
      <c r="G158" t="s">
        <v>3369</v>
      </c>
      <c r="H158">
        <v>24</v>
      </c>
      <c r="I158" t="b">
        <f>AND(COUNTIF(CO!A:A,A158)&gt;0,COUNTIF('NO2'!A:A,A158)&gt;0,COUNTIF('O3'!A:A,A158)&gt;0,COUNTIF('PM2.5'!A:A,A158)&gt;0,COUNTIF('SO2'!A:A,A158)&gt;0,COUNTIF(Kendaraan!A:A,A158)&gt;0)</f>
        <v>1</v>
      </c>
    </row>
    <row r="159" spans="1:9" x14ac:dyDescent="0.45">
      <c r="A159" s="4">
        <v>45544</v>
      </c>
      <c r="B159" t="s">
        <v>940</v>
      </c>
      <c r="C159" t="s">
        <v>616</v>
      </c>
      <c r="D159" t="s">
        <v>1731</v>
      </c>
      <c r="E159" t="s">
        <v>1723</v>
      </c>
      <c r="F159" t="s">
        <v>3035</v>
      </c>
      <c r="G159" s="1">
        <v>2173</v>
      </c>
      <c r="H159">
        <v>24</v>
      </c>
      <c r="I159" t="b">
        <f>AND(COUNTIF(CO!A:A,A159)&gt;0,COUNTIF('NO2'!A:A,A159)&gt;0,COUNTIF('O3'!A:A,A159)&gt;0,COUNTIF('PM2.5'!A:A,A159)&gt;0,COUNTIF('SO2'!A:A,A159)&gt;0,COUNTIF(Kendaraan!A:A,A159)&gt;0)</f>
        <v>1</v>
      </c>
    </row>
    <row r="160" spans="1:9" x14ac:dyDescent="0.45">
      <c r="A160" s="4">
        <v>45545</v>
      </c>
      <c r="B160" t="s">
        <v>1211</v>
      </c>
      <c r="C160" t="s">
        <v>638</v>
      </c>
      <c r="D160" t="s">
        <v>432</v>
      </c>
      <c r="E160" t="s">
        <v>440</v>
      </c>
      <c r="F160" t="s">
        <v>653</v>
      </c>
      <c r="G160" s="1">
        <v>1831</v>
      </c>
      <c r="H160">
        <v>24</v>
      </c>
      <c r="I160" t="b">
        <f>AND(COUNTIF(CO!A:A,A160)&gt;0,COUNTIF('NO2'!A:A,A160)&gt;0,COUNTIF('O3'!A:A,A160)&gt;0,COUNTIF('PM2.5'!A:A,A160)&gt;0,COUNTIF('SO2'!A:A,A160)&gt;0,COUNTIF(Kendaraan!A:A,A160)&gt;0)</f>
        <v>1</v>
      </c>
    </row>
    <row r="161" spans="1:9" x14ac:dyDescent="0.45">
      <c r="A161" s="4">
        <v>45546</v>
      </c>
      <c r="B161" t="s">
        <v>1121</v>
      </c>
      <c r="C161" t="s">
        <v>653</v>
      </c>
      <c r="D161" t="s">
        <v>896</v>
      </c>
      <c r="E161" t="s">
        <v>3150</v>
      </c>
      <c r="F161" t="s">
        <v>1400</v>
      </c>
      <c r="G161" s="1">
        <v>2581</v>
      </c>
      <c r="H161">
        <v>24</v>
      </c>
      <c r="I161" t="b">
        <f>AND(COUNTIF(CO!A:A,A161)&gt;0,COUNTIF('NO2'!A:A,A161)&gt;0,COUNTIF('O3'!A:A,A161)&gt;0,COUNTIF('PM2.5'!A:A,A161)&gt;0,COUNTIF('SO2'!A:A,A161)&gt;0,COUNTIF(Kendaraan!A:A,A161)&gt;0)</f>
        <v>1</v>
      </c>
    </row>
    <row r="162" spans="1:9" x14ac:dyDescent="0.45">
      <c r="A162" s="4">
        <v>45547</v>
      </c>
      <c r="B162" t="s">
        <v>1193</v>
      </c>
      <c r="C162" t="s">
        <v>1116</v>
      </c>
      <c r="D162" t="s">
        <v>3167</v>
      </c>
      <c r="E162" t="s">
        <v>2737</v>
      </c>
      <c r="F162" t="s">
        <v>1176</v>
      </c>
      <c r="G162" t="s">
        <v>2102</v>
      </c>
      <c r="H162">
        <v>24</v>
      </c>
      <c r="I162" t="b">
        <f>AND(COUNTIF(CO!A:A,A162)&gt;0,COUNTIF('NO2'!A:A,A162)&gt;0,COUNTIF('O3'!A:A,A162)&gt;0,COUNTIF('PM2.5'!A:A,A162)&gt;0,COUNTIF('SO2'!A:A,A162)&gt;0,COUNTIF(Kendaraan!A:A,A162)&gt;0)</f>
        <v>1</v>
      </c>
    </row>
    <row r="163" spans="1:9" x14ac:dyDescent="0.45">
      <c r="A163" s="4">
        <v>45548</v>
      </c>
      <c r="B163" t="s">
        <v>1775</v>
      </c>
      <c r="C163" t="s">
        <v>2605</v>
      </c>
      <c r="D163" t="s">
        <v>1362</v>
      </c>
      <c r="E163" t="s">
        <v>1787</v>
      </c>
      <c r="F163" t="s">
        <v>3381</v>
      </c>
      <c r="G163" s="1">
        <v>1172</v>
      </c>
      <c r="H163">
        <v>24</v>
      </c>
      <c r="I163" t="b">
        <f>AND(COUNTIF(CO!A:A,A163)&gt;0,COUNTIF('NO2'!A:A,A163)&gt;0,COUNTIF('O3'!A:A,A163)&gt;0,COUNTIF('PM2.5'!A:A,A163)&gt;0,COUNTIF('SO2'!A:A,A163)&gt;0,COUNTIF(Kendaraan!A:A,A163)&gt;0)</f>
        <v>1</v>
      </c>
    </row>
    <row r="164" spans="1:9" x14ac:dyDescent="0.45">
      <c r="A164" s="4">
        <v>45549</v>
      </c>
      <c r="B164" t="s">
        <v>1293</v>
      </c>
      <c r="C164" t="s">
        <v>1344</v>
      </c>
      <c r="D164" t="s">
        <v>2688</v>
      </c>
      <c r="E164" t="s">
        <v>2713</v>
      </c>
      <c r="F164" t="s">
        <v>1342</v>
      </c>
      <c r="G164" t="s">
        <v>2371</v>
      </c>
      <c r="H164">
        <v>24</v>
      </c>
      <c r="I164" t="b">
        <f>AND(COUNTIF(CO!A:A,A164)&gt;0,COUNTIF('NO2'!A:A,A164)&gt;0,COUNTIF('O3'!A:A,A164)&gt;0,COUNTIF('PM2.5'!A:A,A164)&gt;0,COUNTIF('SO2'!A:A,A164)&gt;0,COUNTIF(Kendaraan!A:A,A164)&gt;0)</f>
        <v>1</v>
      </c>
    </row>
    <row r="165" spans="1:9" x14ac:dyDescent="0.45">
      <c r="A165" s="4">
        <v>45550</v>
      </c>
      <c r="B165" t="s">
        <v>1287</v>
      </c>
      <c r="C165" t="s">
        <v>1381</v>
      </c>
      <c r="D165" t="s">
        <v>3374</v>
      </c>
      <c r="E165" t="s">
        <v>3076</v>
      </c>
      <c r="F165" t="s">
        <v>1756</v>
      </c>
      <c r="G165" t="s">
        <v>3382</v>
      </c>
      <c r="H165">
        <v>24</v>
      </c>
      <c r="I165" t="b">
        <f>AND(COUNTIF(CO!A:A,A165)&gt;0,COUNTIF('NO2'!A:A,A165)&gt;0,COUNTIF('O3'!A:A,A165)&gt;0,COUNTIF('PM2.5'!A:A,A165)&gt;0,COUNTIF('SO2'!A:A,A165)&gt;0,COUNTIF(Kendaraan!A:A,A165)&gt;0)</f>
        <v>1</v>
      </c>
    </row>
    <row r="166" spans="1:9" x14ac:dyDescent="0.45">
      <c r="A166" s="4">
        <v>45551</v>
      </c>
      <c r="B166" t="s">
        <v>1286</v>
      </c>
      <c r="C166" t="s">
        <v>3217</v>
      </c>
      <c r="D166" t="s">
        <v>1891</v>
      </c>
      <c r="E166" t="s">
        <v>1274</v>
      </c>
      <c r="F166" t="s">
        <v>3163</v>
      </c>
      <c r="G166" t="s">
        <v>269</v>
      </c>
      <c r="H166">
        <v>24</v>
      </c>
      <c r="I166" t="b">
        <f>AND(COUNTIF(CO!A:A,A166)&gt;0,COUNTIF('NO2'!A:A,A166)&gt;0,COUNTIF('O3'!A:A,A166)&gt;0,COUNTIF('PM2.5'!A:A,A166)&gt;0,COUNTIF('SO2'!A:A,A166)&gt;0,COUNTIF(Kendaraan!A:A,A166)&gt;0)</f>
        <v>1</v>
      </c>
    </row>
    <row r="167" spans="1:9" x14ac:dyDescent="0.45">
      <c r="A167" s="4">
        <v>45552</v>
      </c>
      <c r="B167" t="s">
        <v>1274</v>
      </c>
      <c r="C167" t="s">
        <v>2704</v>
      </c>
      <c r="D167" t="s">
        <v>1829</v>
      </c>
      <c r="E167" t="s">
        <v>1294</v>
      </c>
      <c r="F167" t="s">
        <v>3383</v>
      </c>
      <c r="G167" t="s">
        <v>272</v>
      </c>
      <c r="H167">
        <v>24</v>
      </c>
      <c r="I167" t="b">
        <f>AND(COUNTIF(CO!A:A,A167)&gt;0,COUNTIF('NO2'!A:A,A167)&gt;0,COUNTIF('O3'!A:A,A167)&gt;0,COUNTIF('PM2.5'!A:A,A167)&gt;0,COUNTIF('SO2'!A:A,A167)&gt;0,COUNTIF(Kendaraan!A:A,A167)&gt;0)</f>
        <v>1</v>
      </c>
    </row>
    <row r="168" spans="1:9" x14ac:dyDescent="0.45">
      <c r="A168" s="4">
        <v>45553</v>
      </c>
      <c r="B168" t="s">
        <v>1050</v>
      </c>
      <c r="C168" t="s">
        <v>1751</v>
      </c>
      <c r="D168" t="s">
        <v>1909</v>
      </c>
      <c r="E168" t="s">
        <v>1827</v>
      </c>
      <c r="F168" t="s">
        <v>1829</v>
      </c>
      <c r="G168" t="s">
        <v>2394</v>
      </c>
      <c r="H168">
        <v>24</v>
      </c>
      <c r="I168" t="b">
        <f>AND(COUNTIF(CO!A:A,A168)&gt;0,COUNTIF('NO2'!A:A,A168)&gt;0,COUNTIF('O3'!A:A,A168)&gt;0,COUNTIF('PM2.5'!A:A,A168)&gt;0,COUNTIF('SO2'!A:A,A168)&gt;0,COUNTIF(Kendaraan!A:A,A168)&gt;0)</f>
        <v>1</v>
      </c>
    </row>
    <row r="169" spans="1:9" x14ac:dyDescent="0.45">
      <c r="A169" s="4">
        <v>45554</v>
      </c>
      <c r="B169" t="s">
        <v>1050</v>
      </c>
      <c r="C169" t="s">
        <v>2689</v>
      </c>
      <c r="D169" t="s">
        <v>1294</v>
      </c>
      <c r="E169" t="s">
        <v>1282</v>
      </c>
      <c r="F169" t="s">
        <v>3253</v>
      </c>
      <c r="G169" t="s">
        <v>3384</v>
      </c>
      <c r="H169">
        <v>24</v>
      </c>
      <c r="I169" t="b">
        <f>AND(COUNTIF(CO!A:A,A169)&gt;0,COUNTIF('NO2'!A:A,A169)&gt;0,COUNTIF('O3'!A:A,A169)&gt;0,COUNTIF('PM2.5'!A:A,A169)&gt;0,COUNTIF('SO2'!A:A,A169)&gt;0,COUNTIF(Kendaraan!A:A,A169)&gt;0)</f>
        <v>1</v>
      </c>
    </row>
    <row r="170" spans="1:9" x14ac:dyDescent="0.45">
      <c r="A170" s="4">
        <v>45555</v>
      </c>
      <c r="B170" t="s">
        <v>1825</v>
      </c>
      <c r="C170" t="s">
        <v>1254</v>
      </c>
      <c r="D170" t="s">
        <v>3225</v>
      </c>
      <c r="E170" t="s">
        <v>1326</v>
      </c>
      <c r="F170" t="s">
        <v>929</v>
      </c>
      <c r="G170" s="1">
        <v>2781</v>
      </c>
      <c r="H170">
        <v>24</v>
      </c>
      <c r="I170" t="b">
        <f>AND(COUNTIF(CO!A:A,A170)&gt;0,COUNTIF('NO2'!A:A,A170)&gt;0,COUNTIF('O3'!A:A,A170)&gt;0,COUNTIF('PM2.5'!A:A,A170)&gt;0,COUNTIF('SO2'!A:A,A170)&gt;0,COUNTIF(Kendaraan!A:A,A170)&gt;0)</f>
        <v>1</v>
      </c>
    </row>
    <row r="171" spans="1:9" x14ac:dyDescent="0.45">
      <c r="A171" s="4">
        <v>45556</v>
      </c>
      <c r="B171" t="s">
        <v>1252</v>
      </c>
      <c r="C171" t="s">
        <v>545</v>
      </c>
      <c r="D171" t="s">
        <v>2318</v>
      </c>
      <c r="E171" t="s">
        <v>3385</v>
      </c>
      <c r="F171" t="s">
        <v>558</v>
      </c>
      <c r="G171" s="1">
        <v>2267</v>
      </c>
      <c r="H171">
        <v>24</v>
      </c>
      <c r="I171" t="b">
        <f>AND(COUNTIF(CO!A:A,A171)&gt;0,COUNTIF('NO2'!A:A,A171)&gt;0,COUNTIF('O3'!A:A,A171)&gt;0,COUNTIF('PM2.5'!A:A,A171)&gt;0,COUNTIF('SO2'!A:A,A171)&gt;0,COUNTIF(Kendaraan!A:A,A171)&gt;0)</f>
        <v>1</v>
      </c>
    </row>
    <row r="172" spans="1:9" x14ac:dyDescent="0.45">
      <c r="A172" s="4">
        <v>45557</v>
      </c>
      <c r="B172" t="s">
        <v>2557</v>
      </c>
      <c r="C172" t="s">
        <v>2816</v>
      </c>
      <c r="D172" t="s">
        <v>2323</v>
      </c>
      <c r="E172">
        <v>28</v>
      </c>
      <c r="F172" t="s">
        <v>456</v>
      </c>
      <c r="G172" t="s">
        <v>3386</v>
      </c>
      <c r="H172">
        <v>24</v>
      </c>
      <c r="I172" t="b">
        <f>AND(COUNTIF(CO!A:A,A172)&gt;0,COUNTIF('NO2'!A:A,A172)&gt;0,COUNTIF('O3'!A:A,A172)&gt;0,COUNTIF('PM2.5'!A:A,A172)&gt;0,COUNTIF('SO2'!A:A,A172)&gt;0,COUNTIF(Kendaraan!A:A,A172)&gt;0)</f>
        <v>1</v>
      </c>
    </row>
    <row r="173" spans="1:9" x14ac:dyDescent="0.45">
      <c r="A173" s="4">
        <v>45558</v>
      </c>
      <c r="B173" t="s">
        <v>3387</v>
      </c>
      <c r="C173" t="s">
        <v>3388</v>
      </c>
      <c r="D173" t="s">
        <v>2822</v>
      </c>
      <c r="E173" t="s">
        <v>2826</v>
      </c>
      <c r="F173" t="s">
        <v>3319</v>
      </c>
      <c r="G173" s="1">
        <v>1012</v>
      </c>
      <c r="H173">
        <v>24</v>
      </c>
      <c r="I173" t="b">
        <f>AND(COUNTIF(CO!A:A,A173)&gt;0,COUNTIF('NO2'!A:A,A173)&gt;0,COUNTIF('O3'!A:A,A173)&gt;0,COUNTIF('PM2.5'!A:A,A173)&gt;0,COUNTIF('SO2'!A:A,A173)&gt;0,COUNTIF(Kendaraan!A:A,A173)&gt;0)</f>
        <v>1</v>
      </c>
    </row>
    <row r="174" spans="1:9" x14ac:dyDescent="0.45">
      <c r="A174" s="4">
        <v>45559</v>
      </c>
      <c r="B174" t="s">
        <v>536</v>
      </c>
      <c r="C174" t="s">
        <v>3389</v>
      </c>
      <c r="D174" t="s">
        <v>3390</v>
      </c>
      <c r="E174" t="s">
        <v>1533</v>
      </c>
      <c r="F174" t="s">
        <v>3391</v>
      </c>
      <c r="G174" s="1">
        <v>1085</v>
      </c>
      <c r="H174">
        <v>24</v>
      </c>
      <c r="I174" t="b">
        <f>AND(COUNTIF(CO!A:A,A174)&gt;0,COUNTIF('NO2'!A:A,A174)&gt;0,COUNTIF('O3'!A:A,A174)&gt;0,COUNTIF('PM2.5'!A:A,A174)&gt;0,COUNTIF('SO2'!A:A,A174)&gt;0,COUNTIF(Kendaraan!A:A,A174)&gt;0)</f>
        <v>1</v>
      </c>
    </row>
    <row r="175" spans="1:9" x14ac:dyDescent="0.45">
      <c r="A175" s="4">
        <v>45560</v>
      </c>
      <c r="B175" t="s">
        <v>1980</v>
      </c>
      <c r="C175" t="s">
        <v>2554</v>
      </c>
      <c r="D175" t="s">
        <v>879</v>
      </c>
      <c r="E175" t="s">
        <v>1462</v>
      </c>
      <c r="F175" t="s">
        <v>3234</v>
      </c>
      <c r="G175" t="s">
        <v>1819</v>
      </c>
      <c r="H175">
        <v>24</v>
      </c>
      <c r="I175" t="b">
        <f>AND(COUNTIF(CO!A:A,A175)&gt;0,COUNTIF('NO2'!A:A,A175)&gt;0,COUNTIF('O3'!A:A,A175)&gt;0,COUNTIF('PM2.5'!A:A,A175)&gt;0,COUNTIF('SO2'!A:A,A175)&gt;0,COUNTIF(Kendaraan!A:A,A175)&gt;0)</f>
        <v>1</v>
      </c>
    </row>
    <row r="176" spans="1:9" x14ac:dyDescent="0.45">
      <c r="A176" s="4">
        <v>45561</v>
      </c>
      <c r="B176" t="s">
        <v>1154</v>
      </c>
      <c r="C176" t="s">
        <v>1978</v>
      </c>
      <c r="D176" t="s">
        <v>653</v>
      </c>
      <c r="E176" t="s">
        <v>465</v>
      </c>
      <c r="F176" t="s">
        <v>3392</v>
      </c>
      <c r="G176" s="1">
        <v>2792</v>
      </c>
      <c r="H176">
        <v>24</v>
      </c>
      <c r="I176" t="b">
        <f>AND(COUNTIF(CO!A:A,A176)&gt;0,COUNTIF('NO2'!A:A,A176)&gt;0,COUNTIF('O3'!A:A,A176)&gt;0,COUNTIF('PM2.5'!A:A,A176)&gt;0,COUNTIF('SO2'!A:A,A176)&gt;0,COUNTIF(Kendaraan!A:A,A176)&gt;0)</f>
        <v>1</v>
      </c>
    </row>
    <row r="177" spans="1:9" x14ac:dyDescent="0.45">
      <c r="A177" s="4">
        <v>45562</v>
      </c>
      <c r="B177" t="s">
        <v>1211</v>
      </c>
      <c r="C177" t="s">
        <v>3122</v>
      </c>
      <c r="D177" t="s">
        <v>446</v>
      </c>
      <c r="E177" t="s">
        <v>3134</v>
      </c>
      <c r="F177" t="s">
        <v>3346</v>
      </c>
      <c r="G177" s="1">
        <v>1186</v>
      </c>
      <c r="H177">
        <v>24</v>
      </c>
      <c r="I177" t="b">
        <f>AND(COUNTIF(CO!A:A,A177)&gt;0,COUNTIF('NO2'!A:A,A177)&gt;0,COUNTIF('O3'!A:A,A177)&gt;0,COUNTIF('PM2.5'!A:A,A177)&gt;0,COUNTIF('SO2'!A:A,A177)&gt;0,COUNTIF(Kendaraan!A:A,A177)&gt;0)</f>
        <v>1</v>
      </c>
    </row>
    <row r="178" spans="1:9" x14ac:dyDescent="0.45">
      <c r="A178" s="4">
        <v>45563</v>
      </c>
      <c r="B178" t="s">
        <v>442</v>
      </c>
      <c r="C178" t="s">
        <v>637</v>
      </c>
      <c r="D178" t="s">
        <v>431</v>
      </c>
      <c r="E178" t="s">
        <v>626</v>
      </c>
      <c r="F178" t="s">
        <v>1869</v>
      </c>
      <c r="G178" t="s">
        <v>2482</v>
      </c>
      <c r="H178">
        <v>24</v>
      </c>
      <c r="I178" t="b">
        <f>AND(COUNTIF(CO!A:A,A178)&gt;0,COUNTIF('NO2'!A:A,A178)&gt;0,COUNTIF('O3'!A:A,A178)&gt;0,COUNTIF('PM2.5'!A:A,A178)&gt;0,COUNTIF('SO2'!A:A,A178)&gt;0,COUNTIF(Kendaraan!A:A,A178)&gt;0)</f>
        <v>1</v>
      </c>
    </row>
    <row r="179" spans="1:9" x14ac:dyDescent="0.45">
      <c r="A179" s="4">
        <v>45564</v>
      </c>
      <c r="B179" t="s">
        <v>1213</v>
      </c>
      <c r="C179" t="s">
        <v>1244</v>
      </c>
      <c r="D179" t="s">
        <v>1435</v>
      </c>
      <c r="E179" t="s">
        <v>1589</v>
      </c>
      <c r="F179" t="s">
        <v>1569</v>
      </c>
      <c r="G179" t="s">
        <v>3393</v>
      </c>
      <c r="H179">
        <v>24</v>
      </c>
      <c r="I179" t="b">
        <f>AND(COUNTIF(CO!A:A,A179)&gt;0,COUNTIF('NO2'!A:A,A179)&gt;0,COUNTIF('O3'!A:A,A179)&gt;0,COUNTIF('PM2.5'!A:A,A179)&gt;0,COUNTIF('SO2'!A:A,A179)&gt;0,COUNTIF(Kendaraan!A:A,A179)&gt;0)</f>
        <v>1</v>
      </c>
    </row>
    <row r="180" spans="1:9" x14ac:dyDescent="0.45">
      <c r="A180" s="4">
        <v>45565</v>
      </c>
      <c r="B180" t="s">
        <v>1239</v>
      </c>
      <c r="C180" t="s">
        <v>434</v>
      </c>
      <c r="D180" t="s">
        <v>3394</v>
      </c>
      <c r="E180" t="s">
        <v>2574</v>
      </c>
      <c r="F180" t="s">
        <v>411</v>
      </c>
      <c r="G180" t="s">
        <v>3097</v>
      </c>
      <c r="H180">
        <v>24</v>
      </c>
      <c r="I180" t="b">
        <f>AND(COUNTIF(CO!A:A,A180)&gt;0,COUNTIF('NO2'!A:A,A180)&gt;0,COUNTIF('O3'!A:A,A180)&gt;0,COUNTIF('PM2.5'!A:A,A180)&gt;0,COUNTIF('SO2'!A:A,A180)&gt;0,COUNTIF(Kendaraan!A:A,A180)&gt;0)</f>
        <v>1</v>
      </c>
    </row>
    <row r="181" spans="1:9" x14ac:dyDescent="0.45">
      <c r="A181" s="4">
        <v>45566</v>
      </c>
      <c r="B181" t="s">
        <v>1120</v>
      </c>
      <c r="C181" t="s">
        <v>649</v>
      </c>
      <c r="D181" t="s">
        <v>1565</v>
      </c>
      <c r="E181" t="s">
        <v>1942</v>
      </c>
      <c r="F181" t="s">
        <v>614</v>
      </c>
      <c r="G181" s="1">
        <v>2636</v>
      </c>
      <c r="H181">
        <v>24</v>
      </c>
      <c r="I181" t="b">
        <f>AND(COUNTIF(CO!A:A,A181)&gt;0,COUNTIF('NO2'!A:A,A181)&gt;0,COUNTIF('O3'!A:A,A181)&gt;0,COUNTIF('PM2.5'!A:A,A181)&gt;0,COUNTIF('SO2'!A:A,A181)&gt;0,COUNTIF(Kendaraan!A:A,A181)&gt;0)</f>
        <v>1</v>
      </c>
    </row>
    <row r="182" spans="1:9" x14ac:dyDescent="0.45">
      <c r="A182" s="4">
        <v>45567</v>
      </c>
      <c r="B182" t="s">
        <v>1496</v>
      </c>
      <c r="C182" t="s">
        <v>1963</v>
      </c>
      <c r="D182" t="s">
        <v>2777</v>
      </c>
      <c r="E182" t="s">
        <v>2381</v>
      </c>
      <c r="F182" t="s">
        <v>1190</v>
      </c>
      <c r="G182" t="s">
        <v>3395</v>
      </c>
      <c r="H182">
        <v>24</v>
      </c>
      <c r="I182" t="b">
        <f>AND(COUNTIF(CO!A:A,A182)&gt;0,COUNTIF('NO2'!A:A,A182)&gt;0,COUNTIF('O3'!A:A,A182)&gt;0,COUNTIF('PM2.5'!A:A,A182)&gt;0,COUNTIF('SO2'!A:A,A182)&gt;0,COUNTIF(Kendaraan!A:A,A182)&gt;0)</f>
        <v>1</v>
      </c>
    </row>
    <row r="183" spans="1:9" x14ac:dyDescent="0.45">
      <c r="A183" s="4">
        <v>45568</v>
      </c>
      <c r="B183" t="s">
        <v>1132</v>
      </c>
      <c r="C183" t="s">
        <v>3149</v>
      </c>
      <c r="D183" t="s">
        <v>1509</v>
      </c>
      <c r="E183" t="s">
        <v>2602</v>
      </c>
      <c r="F183" t="s">
        <v>3210</v>
      </c>
      <c r="G183" t="s">
        <v>2591</v>
      </c>
      <c r="H183">
        <v>24</v>
      </c>
      <c r="I183" t="b">
        <f>AND(COUNTIF(CO!A:A,A183)&gt;0,COUNTIF('NO2'!A:A,A183)&gt;0,COUNTIF('O3'!A:A,A183)&gt;0,COUNTIF('PM2.5'!A:A,A183)&gt;0,COUNTIF('SO2'!A:A,A183)&gt;0,COUNTIF(Kendaraan!A:A,A183)&gt;0)</f>
        <v>1</v>
      </c>
    </row>
    <row r="184" spans="1:9" x14ac:dyDescent="0.45">
      <c r="A184" s="4">
        <v>45569</v>
      </c>
      <c r="B184" t="s">
        <v>1103</v>
      </c>
      <c r="C184" t="s">
        <v>1586</v>
      </c>
      <c r="D184" t="s">
        <v>1862</v>
      </c>
      <c r="E184" t="s">
        <v>927</v>
      </c>
      <c r="F184" t="s">
        <v>1985</v>
      </c>
      <c r="G184" t="s">
        <v>2603</v>
      </c>
      <c r="H184">
        <v>24</v>
      </c>
      <c r="I184" t="b">
        <f>AND(COUNTIF(CO!A:A,A184)&gt;0,COUNTIF('NO2'!A:A,A184)&gt;0,COUNTIF('O3'!A:A,A184)&gt;0,COUNTIF('PM2.5'!A:A,A184)&gt;0,COUNTIF('SO2'!A:A,A184)&gt;0,COUNTIF(Kendaraan!A:A,A184)&gt;0)</f>
        <v>1</v>
      </c>
    </row>
    <row r="185" spans="1:9" x14ac:dyDescent="0.45">
      <c r="A185" s="4">
        <v>45570</v>
      </c>
      <c r="B185" t="s">
        <v>1139</v>
      </c>
      <c r="C185" t="s">
        <v>1405</v>
      </c>
      <c r="D185" t="s">
        <v>1444</v>
      </c>
      <c r="E185" t="s">
        <v>3117</v>
      </c>
      <c r="F185" t="s">
        <v>865</v>
      </c>
      <c r="G185" s="1">
        <v>1631</v>
      </c>
      <c r="H185">
        <v>24</v>
      </c>
      <c r="I185" t="b">
        <f>AND(COUNTIF(CO!A:A,A185)&gt;0,COUNTIF('NO2'!A:A,A185)&gt;0,COUNTIF('O3'!A:A,A185)&gt;0,COUNTIF('PM2.5'!A:A,A185)&gt;0,COUNTIF('SO2'!A:A,A185)&gt;0,COUNTIF(Kendaraan!A:A,A185)&gt;0)</f>
        <v>1</v>
      </c>
    </row>
    <row r="186" spans="1:9" x14ac:dyDescent="0.45">
      <c r="A186" s="4">
        <v>45571</v>
      </c>
      <c r="B186" t="s">
        <v>2964</v>
      </c>
      <c r="C186" t="s">
        <v>643</v>
      </c>
      <c r="D186" t="s">
        <v>411</v>
      </c>
      <c r="E186" t="s">
        <v>3098</v>
      </c>
      <c r="F186" t="s">
        <v>434</v>
      </c>
      <c r="G186" t="s">
        <v>3173</v>
      </c>
      <c r="H186">
        <v>14</v>
      </c>
      <c r="I186" t="b">
        <f>AND(COUNTIF(CO!A:A,A186)&gt;0,COUNTIF('NO2'!A:A,A186)&gt;0,COUNTIF('O3'!A:A,A186)&gt;0,COUNTIF('PM2.5'!A:A,A186)&gt;0,COUNTIF('SO2'!A:A,A186)&gt;0,COUNTIF(Kendaraan!A:A,A186)&gt;0)</f>
        <v>1</v>
      </c>
    </row>
    <row r="187" spans="1:9" x14ac:dyDescent="0.45">
      <c r="A187" s="4">
        <v>45572</v>
      </c>
      <c r="B187">
        <v>15</v>
      </c>
      <c r="C187" t="s">
        <v>3208</v>
      </c>
      <c r="D187" t="s">
        <v>1083</v>
      </c>
      <c r="E187" t="s">
        <v>3396</v>
      </c>
      <c r="F187" t="s">
        <v>1077</v>
      </c>
      <c r="G187" t="s">
        <v>1608</v>
      </c>
      <c r="H187">
        <v>5</v>
      </c>
      <c r="I187" t="b">
        <f>AND(COUNTIF(CO!A:A,A187)&gt;0,COUNTIF('NO2'!A:A,A187)&gt;0,COUNTIF('O3'!A:A,A187)&gt;0,COUNTIF('PM2.5'!A:A,A187)&gt;0,COUNTIF('SO2'!A:A,A187)&gt;0,COUNTIF(Kendaraan!A:A,A187)&gt;0)</f>
        <v>1</v>
      </c>
    </row>
    <row r="188" spans="1:9" x14ac:dyDescent="0.45">
      <c r="A188" s="4">
        <v>45573</v>
      </c>
      <c r="B188" t="s">
        <v>2730</v>
      </c>
      <c r="C188" t="s">
        <v>1078</v>
      </c>
      <c r="D188" t="s">
        <v>1858</v>
      </c>
      <c r="E188" t="s">
        <v>2733</v>
      </c>
      <c r="F188" t="s">
        <v>1495</v>
      </c>
      <c r="G188" t="s">
        <v>205</v>
      </c>
      <c r="H188">
        <v>24</v>
      </c>
      <c r="I188" t="b">
        <f>AND(COUNTIF(CO!A:A,A188)&gt;0,COUNTIF('NO2'!A:A,A188)&gt;0,COUNTIF('O3'!A:A,A188)&gt;0,COUNTIF('PM2.5'!A:A,A188)&gt;0,COUNTIF('SO2'!A:A,A188)&gt;0,COUNTIF(Kendaraan!A:A,A188)&gt;0)</f>
        <v>1</v>
      </c>
    </row>
    <row r="189" spans="1:9" x14ac:dyDescent="0.45">
      <c r="A189" s="4">
        <v>45574</v>
      </c>
      <c r="B189" t="s">
        <v>1429</v>
      </c>
      <c r="C189" t="s">
        <v>2719</v>
      </c>
      <c r="D189" t="s">
        <v>2740</v>
      </c>
      <c r="E189" t="s">
        <v>2607</v>
      </c>
      <c r="F189" t="s">
        <v>1186</v>
      </c>
      <c r="G189" t="s">
        <v>1003</v>
      </c>
      <c r="H189">
        <v>24</v>
      </c>
      <c r="I189" t="b">
        <f>AND(COUNTIF(CO!A:A,A189)&gt;0,COUNTIF('NO2'!A:A,A189)&gt;0,COUNTIF('O3'!A:A,A189)&gt;0,COUNTIF('PM2.5'!A:A,A189)&gt;0,COUNTIF('SO2'!A:A,A189)&gt;0,COUNTIF(Kendaraan!A:A,A189)&gt;0)</f>
        <v>1</v>
      </c>
    </row>
    <row r="190" spans="1:9" x14ac:dyDescent="0.45">
      <c r="A190" s="4">
        <v>45575</v>
      </c>
      <c r="B190" t="s">
        <v>2400</v>
      </c>
      <c r="C190" t="s">
        <v>2601</v>
      </c>
      <c r="D190">
        <v>15</v>
      </c>
      <c r="E190">
        <v>15</v>
      </c>
      <c r="F190">
        <v>15</v>
      </c>
      <c r="G190" t="s">
        <v>87</v>
      </c>
      <c r="H190">
        <v>24</v>
      </c>
      <c r="I190" t="b">
        <f>AND(COUNTIF(CO!A:A,A190)&gt;0,COUNTIF('NO2'!A:A,A190)&gt;0,COUNTIF('O3'!A:A,A190)&gt;0,COUNTIF('PM2.5'!A:A,A190)&gt;0,COUNTIF('SO2'!A:A,A190)&gt;0,COUNTIF(Kendaraan!A:A,A190)&gt;0)</f>
        <v>1</v>
      </c>
    </row>
    <row r="191" spans="1:9" x14ac:dyDescent="0.45">
      <c r="A191" s="4">
        <v>45576</v>
      </c>
      <c r="B191">
        <v>15</v>
      </c>
      <c r="C191">
        <v>15</v>
      </c>
      <c r="D191">
        <v>15</v>
      </c>
      <c r="E191">
        <v>15</v>
      </c>
      <c r="F191">
        <v>15</v>
      </c>
      <c r="G191">
        <v>0</v>
      </c>
      <c r="H191">
        <v>24</v>
      </c>
      <c r="I191" t="b">
        <f>AND(COUNTIF(CO!A:A,A191)&gt;0,COUNTIF('NO2'!A:A,A191)&gt;0,COUNTIF('O3'!A:A,A191)&gt;0,COUNTIF('PM2.5'!A:A,A191)&gt;0,COUNTIF('SO2'!A:A,A191)&gt;0,COUNTIF(Kendaraan!A:A,A191)&gt;0)</f>
        <v>1</v>
      </c>
    </row>
    <row r="192" spans="1:9" x14ac:dyDescent="0.45">
      <c r="A192" s="4">
        <v>45577</v>
      </c>
      <c r="B192">
        <v>15</v>
      </c>
      <c r="C192">
        <v>15</v>
      </c>
      <c r="D192">
        <v>15</v>
      </c>
      <c r="E192">
        <v>15</v>
      </c>
      <c r="F192">
        <v>15</v>
      </c>
      <c r="G192">
        <v>0</v>
      </c>
      <c r="H192">
        <v>24</v>
      </c>
      <c r="I192" t="b">
        <f>AND(COUNTIF(CO!A:A,A192)&gt;0,COUNTIF('NO2'!A:A,A192)&gt;0,COUNTIF('O3'!A:A,A192)&gt;0,COUNTIF('PM2.5'!A:A,A192)&gt;0,COUNTIF('SO2'!A:A,A192)&gt;0,COUNTIF(Kendaraan!A:A,A192)&gt;0)</f>
        <v>1</v>
      </c>
    </row>
    <row r="193" spans="1:9" x14ac:dyDescent="0.45">
      <c r="A193" s="4">
        <v>45578</v>
      </c>
      <c r="B193">
        <v>15</v>
      </c>
      <c r="C193">
        <v>15</v>
      </c>
      <c r="D193">
        <v>15</v>
      </c>
      <c r="E193">
        <v>15</v>
      </c>
      <c r="F193">
        <v>15</v>
      </c>
      <c r="G193">
        <v>0</v>
      </c>
      <c r="H193">
        <v>24</v>
      </c>
      <c r="I193" t="b">
        <f>AND(COUNTIF(CO!A:A,A193)&gt;0,COUNTIF('NO2'!A:A,A193)&gt;0,COUNTIF('O3'!A:A,A193)&gt;0,COUNTIF('PM2.5'!A:A,A193)&gt;0,COUNTIF('SO2'!A:A,A193)&gt;0,COUNTIF(Kendaraan!A:A,A193)&gt;0)</f>
        <v>1</v>
      </c>
    </row>
    <row r="194" spans="1:9" x14ac:dyDescent="0.45">
      <c r="A194" s="4">
        <v>45579</v>
      </c>
      <c r="B194">
        <v>15</v>
      </c>
      <c r="C194">
        <v>15</v>
      </c>
      <c r="D194">
        <v>15</v>
      </c>
      <c r="E194">
        <v>15</v>
      </c>
      <c r="F194">
        <v>15</v>
      </c>
      <c r="G194">
        <v>0</v>
      </c>
      <c r="H194">
        <v>24</v>
      </c>
      <c r="I194" t="b">
        <f>AND(COUNTIF(CO!A:A,A194)&gt;0,COUNTIF('NO2'!A:A,A194)&gt;0,COUNTIF('O3'!A:A,A194)&gt;0,COUNTIF('PM2.5'!A:A,A194)&gt;0,COUNTIF('SO2'!A:A,A194)&gt;0,COUNTIF(Kendaraan!A:A,A194)&gt;0)</f>
        <v>1</v>
      </c>
    </row>
    <row r="195" spans="1:9" x14ac:dyDescent="0.45">
      <c r="A195" s="4">
        <v>45580</v>
      </c>
      <c r="B195" t="s">
        <v>1316</v>
      </c>
      <c r="C195" t="s">
        <v>1135</v>
      </c>
      <c r="D195">
        <v>15</v>
      </c>
      <c r="E195" t="s">
        <v>1977</v>
      </c>
      <c r="F195" t="s">
        <v>1082</v>
      </c>
      <c r="G195" t="s">
        <v>655</v>
      </c>
      <c r="H195">
        <v>24</v>
      </c>
      <c r="I195" t="b">
        <f>AND(COUNTIF(CO!A:A,A195)&gt;0,COUNTIF('NO2'!A:A,A195)&gt;0,COUNTIF('O3'!A:A,A195)&gt;0,COUNTIF('PM2.5'!A:A,A195)&gt;0,COUNTIF('SO2'!A:A,A195)&gt;0,COUNTIF(Kendaraan!A:A,A195)&gt;0)</f>
        <v>1</v>
      </c>
    </row>
    <row r="196" spans="1:9" x14ac:dyDescent="0.45">
      <c r="A196" s="4">
        <v>45581</v>
      </c>
      <c r="B196" t="s">
        <v>725</v>
      </c>
      <c r="C196" t="s">
        <v>1078</v>
      </c>
      <c r="D196" t="s">
        <v>1379</v>
      </c>
      <c r="E196" t="s">
        <v>3397</v>
      </c>
      <c r="F196" t="s">
        <v>2769</v>
      </c>
      <c r="G196" t="s">
        <v>3398</v>
      </c>
      <c r="H196">
        <v>24</v>
      </c>
      <c r="I196" t="b">
        <f>AND(COUNTIF(CO!A:A,A196)&gt;0,COUNTIF('NO2'!A:A,A196)&gt;0,COUNTIF('O3'!A:A,A196)&gt;0,COUNTIF('PM2.5'!A:A,A196)&gt;0,COUNTIF('SO2'!A:A,A196)&gt;0,COUNTIF(Kendaraan!A:A,A196)&gt;0)</f>
        <v>1</v>
      </c>
    </row>
    <row r="197" spans="1:9" x14ac:dyDescent="0.45">
      <c r="A197" s="4">
        <v>45582</v>
      </c>
      <c r="B197" t="s">
        <v>739</v>
      </c>
      <c r="C197" t="s">
        <v>752</v>
      </c>
      <c r="D197" t="s">
        <v>451</v>
      </c>
      <c r="E197" t="s">
        <v>3399</v>
      </c>
      <c r="F197" t="s">
        <v>3078</v>
      </c>
      <c r="G197" t="s">
        <v>1901</v>
      </c>
      <c r="H197">
        <v>24</v>
      </c>
      <c r="I197" t="b">
        <f>AND(COUNTIF(CO!A:A,A197)&gt;0,COUNTIF('NO2'!A:A,A197)&gt;0,COUNTIF('O3'!A:A,A197)&gt;0,COUNTIF('PM2.5'!A:A,A197)&gt;0,COUNTIF('SO2'!A:A,A197)&gt;0,COUNTIF(Kendaraan!A:A,A197)&gt;0)</f>
        <v>1</v>
      </c>
    </row>
    <row r="198" spans="1:9" x14ac:dyDescent="0.45">
      <c r="A198" s="4">
        <v>45583</v>
      </c>
      <c r="B198" t="s">
        <v>2711</v>
      </c>
      <c r="C198" t="s">
        <v>2720</v>
      </c>
      <c r="D198" t="s">
        <v>2383</v>
      </c>
      <c r="E198" t="s">
        <v>361</v>
      </c>
      <c r="F198" t="s">
        <v>3205</v>
      </c>
      <c r="G198" s="1">
        <v>1052</v>
      </c>
      <c r="H198">
        <v>24</v>
      </c>
      <c r="I198" t="b">
        <f>AND(COUNTIF(CO!A:A,A198)&gt;0,COUNTIF('NO2'!A:A,A198)&gt;0,COUNTIF('O3'!A:A,A198)&gt;0,COUNTIF('PM2.5'!A:A,A198)&gt;0,COUNTIF('SO2'!A:A,A198)&gt;0,COUNTIF(Kendaraan!A:A,A198)&gt;0)</f>
        <v>1</v>
      </c>
    </row>
    <row r="199" spans="1:9" x14ac:dyDescent="0.45">
      <c r="A199" s="4">
        <v>45584</v>
      </c>
      <c r="B199" t="s">
        <v>1577</v>
      </c>
      <c r="C199" t="s">
        <v>1401</v>
      </c>
      <c r="D199" t="s">
        <v>1209</v>
      </c>
      <c r="E199" t="s">
        <v>3113</v>
      </c>
      <c r="F199" t="s">
        <v>1585</v>
      </c>
      <c r="G199" s="1">
        <v>3091</v>
      </c>
      <c r="H199">
        <v>21</v>
      </c>
      <c r="I199" t="b">
        <f>AND(COUNTIF(CO!A:A,A199)&gt;0,COUNTIF('NO2'!A:A,A199)&gt;0,COUNTIF('O3'!A:A,A199)&gt;0,COUNTIF('PM2.5'!A:A,A199)&gt;0,COUNTIF('SO2'!A:A,A199)&gt;0,COUNTIF(Kendaraan!A:A,A199)&gt;0)</f>
        <v>1</v>
      </c>
    </row>
    <row r="200" spans="1:9" x14ac:dyDescent="0.45">
      <c r="A200" s="4">
        <v>45585</v>
      </c>
      <c r="B200" t="s">
        <v>1103</v>
      </c>
      <c r="C200" t="s">
        <v>956</v>
      </c>
      <c r="D200" t="s">
        <v>1197</v>
      </c>
      <c r="E200" t="s">
        <v>1320</v>
      </c>
      <c r="F200" t="s">
        <v>871</v>
      </c>
      <c r="G200" s="1">
        <v>2354</v>
      </c>
      <c r="H200">
        <v>24</v>
      </c>
      <c r="I200" t="b">
        <f>AND(COUNTIF(CO!A:A,A200)&gt;0,COUNTIF('NO2'!A:A,A200)&gt;0,COUNTIF('O3'!A:A,A200)&gt;0,COUNTIF('PM2.5'!A:A,A200)&gt;0,COUNTIF('SO2'!A:A,A200)&gt;0,COUNTIF(Kendaraan!A:A,A200)&gt;0)</f>
        <v>1</v>
      </c>
    </row>
    <row r="201" spans="1:9" x14ac:dyDescent="0.45">
      <c r="A201" s="4">
        <v>45586</v>
      </c>
      <c r="B201" t="s">
        <v>1115</v>
      </c>
      <c r="C201" t="s">
        <v>677</v>
      </c>
      <c r="D201" t="s">
        <v>1975</v>
      </c>
      <c r="E201" t="s">
        <v>619</v>
      </c>
      <c r="F201" t="s">
        <v>2792</v>
      </c>
      <c r="G201" s="1">
        <v>1944</v>
      </c>
      <c r="H201">
        <v>24</v>
      </c>
      <c r="I201" t="b">
        <f>AND(COUNTIF(CO!A:A,A201)&gt;0,COUNTIF('NO2'!A:A,A201)&gt;0,COUNTIF('O3'!A:A,A201)&gt;0,COUNTIF('PM2.5'!A:A,A201)&gt;0,COUNTIF('SO2'!A:A,A201)&gt;0,COUNTIF(Kendaraan!A:A,A201)&gt;0)</f>
        <v>1</v>
      </c>
    </row>
    <row r="202" spans="1:9" x14ac:dyDescent="0.45">
      <c r="A202" s="4">
        <v>45587</v>
      </c>
      <c r="B202" t="s">
        <v>2784</v>
      </c>
      <c r="C202" t="s">
        <v>1143</v>
      </c>
      <c r="D202" t="s">
        <v>1088</v>
      </c>
      <c r="E202" t="s">
        <v>2779</v>
      </c>
      <c r="F202" t="s">
        <v>1086</v>
      </c>
      <c r="G202" t="s">
        <v>1846</v>
      </c>
      <c r="H202">
        <v>24</v>
      </c>
      <c r="I202" t="b">
        <f>AND(COUNTIF(CO!A:A,A202)&gt;0,COUNTIF('NO2'!A:A,A202)&gt;0,COUNTIF('O3'!A:A,A202)&gt;0,COUNTIF('PM2.5'!A:A,A202)&gt;0,COUNTIF('SO2'!A:A,A202)&gt;0,COUNTIF(Kendaraan!A:A,A202)&gt;0)</f>
        <v>1</v>
      </c>
    </row>
    <row r="203" spans="1:9" x14ac:dyDescent="0.45">
      <c r="A203" s="4">
        <v>45588</v>
      </c>
      <c r="B203" t="s">
        <v>3216</v>
      </c>
      <c r="C203" t="s">
        <v>1330</v>
      </c>
      <c r="D203" t="s">
        <v>365</v>
      </c>
      <c r="E203" t="s">
        <v>1954</v>
      </c>
      <c r="F203" t="s">
        <v>2390</v>
      </c>
      <c r="G203" t="s">
        <v>2815</v>
      </c>
      <c r="H203">
        <v>24</v>
      </c>
      <c r="I203" t="b">
        <f>AND(COUNTIF(CO!A:A,A203)&gt;0,COUNTIF('NO2'!A:A,A203)&gt;0,COUNTIF('O3'!A:A,A203)&gt;0,COUNTIF('PM2.5'!A:A,A203)&gt;0,COUNTIF('SO2'!A:A,A203)&gt;0,COUNTIF(Kendaraan!A:A,A203)&gt;0)</f>
        <v>1</v>
      </c>
    </row>
    <row r="204" spans="1:9" x14ac:dyDescent="0.45">
      <c r="A204" s="4">
        <v>45589</v>
      </c>
      <c r="B204" t="s">
        <v>1339</v>
      </c>
      <c r="C204" t="s">
        <v>1588</v>
      </c>
      <c r="D204" t="s">
        <v>3400</v>
      </c>
      <c r="E204" t="s">
        <v>3089</v>
      </c>
      <c r="F204" t="s">
        <v>2720</v>
      </c>
      <c r="G204" t="s">
        <v>3401</v>
      </c>
      <c r="H204">
        <v>24</v>
      </c>
      <c r="I204" t="b">
        <f>AND(COUNTIF(CO!A:A,A204)&gt;0,COUNTIF('NO2'!A:A,A204)&gt;0,COUNTIF('O3'!A:A,A204)&gt;0,COUNTIF('PM2.5'!A:A,A204)&gt;0,COUNTIF('SO2'!A:A,A204)&gt;0,COUNTIF(Kendaraan!A:A,A204)&gt;0)</f>
        <v>1</v>
      </c>
    </row>
    <row r="205" spans="1:9" x14ac:dyDescent="0.45">
      <c r="A205" s="4">
        <v>45590</v>
      </c>
      <c r="B205" t="s">
        <v>1954</v>
      </c>
      <c r="C205" t="s">
        <v>1496</v>
      </c>
      <c r="D205" t="s">
        <v>1361</v>
      </c>
      <c r="E205" t="s">
        <v>690</v>
      </c>
      <c r="F205" t="s">
        <v>1331</v>
      </c>
      <c r="G205" t="s">
        <v>1571</v>
      </c>
      <c r="H205">
        <v>24</v>
      </c>
      <c r="I205" t="b">
        <f>AND(COUNTIF(CO!A:A,A205)&gt;0,COUNTIF('NO2'!A:A,A205)&gt;0,COUNTIF('O3'!A:A,A205)&gt;0,COUNTIF('PM2.5'!A:A,A205)&gt;0,COUNTIF('SO2'!A:A,A205)&gt;0,COUNTIF(Kendaraan!A:A,A205)&gt;0)</f>
        <v>1</v>
      </c>
    </row>
    <row r="206" spans="1:9" x14ac:dyDescent="0.45">
      <c r="A206" s="4">
        <v>45591</v>
      </c>
      <c r="B206" t="s">
        <v>1304</v>
      </c>
      <c r="C206" t="s">
        <v>1163</v>
      </c>
      <c r="D206" t="s">
        <v>1941</v>
      </c>
      <c r="E206" t="s">
        <v>449</v>
      </c>
      <c r="F206" t="s">
        <v>3204</v>
      </c>
      <c r="G206" t="s">
        <v>3402</v>
      </c>
      <c r="H206">
        <v>24</v>
      </c>
      <c r="I206" t="b">
        <f>AND(COUNTIF(CO!A:A,A206)&gt;0,COUNTIF('NO2'!A:A,A206)&gt;0,COUNTIF('O3'!A:A,A206)&gt;0,COUNTIF('PM2.5'!A:A,A206)&gt;0,COUNTIF('SO2'!A:A,A206)&gt;0,COUNTIF(Kendaraan!A:A,A206)&gt;0)</f>
        <v>1</v>
      </c>
    </row>
    <row r="207" spans="1:9" x14ac:dyDescent="0.45">
      <c r="A207" s="4">
        <v>45592</v>
      </c>
      <c r="B207" t="s">
        <v>2960</v>
      </c>
      <c r="C207" t="s">
        <v>1085</v>
      </c>
      <c r="D207" t="s">
        <v>2776</v>
      </c>
      <c r="E207" t="s">
        <v>1732</v>
      </c>
      <c r="F207" t="s">
        <v>2779</v>
      </c>
      <c r="G207" t="s">
        <v>3227</v>
      </c>
      <c r="H207">
        <v>24</v>
      </c>
      <c r="I207" t="b">
        <f>AND(COUNTIF(CO!A:A,A207)&gt;0,COUNTIF('NO2'!A:A,A207)&gt;0,COUNTIF('O3'!A:A,A207)&gt;0,COUNTIF('PM2.5'!A:A,A207)&gt;0,COUNTIF('SO2'!A:A,A207)&gt;0,COUNTIF(Kendaraan!A:A,A207)&gt;0)</f>
        <v>1</v>
      </c>
    </row>
    <row r="208" spans="1:9" x14ac:dyDescent="0.45">
      <c r="A208" s="4">
        <v>45593</v>
      </c>
      <c r="B208" t="s">
        <v>1355</v>
      </c>
      <c r="C208" t="s">
        <v>1091</v>
      </c>
      <c r="D208" t="s">
        <v>1077</v>
      </c>
      <c r="E208" t="s">
        <v>2757</v>
      </c>
      <c r="F208" t="s">
        <v>2748</v>
      </c>
      <c r="G208" t="s">
        <v>3403</v>
      </c>
      <c r="H208">
        <v>24</v>
      </c>
      <c r="I208" t="b">
        <f>AND(COUNTIF(CO!A:A,A208)&gt;0,COUNTIF('NO2'!A:A,A208)&gt;0,COUNTIF('O3'!A:A,A208)&gt;0,COUNTIF('PM2.5'!A:A,A208)&gt;0,COUNTIF('SO2'!A:A,A208)&gt;0,COUNTIF(Kendaraan!A:A,A208)&gt;0)</f>
        <v>1</v>
      </c>
    </row>
    <row r="209" spans="1:9" x14ac:dyDescent="0.45">
      <c r="A209" s="4">
        <v>45594</v>
      </c>
      <c r="B209" t="s">
        <v>1964</v>
      </c>
      <c r="C209" t="s">
        <v>3093</v>
      </c>
      <c r="D209" t="s">
        <v>2729</v>
      </c>
      <c r="E209" t="s">
        <v>3396</v>
      </c>
      <c r="F209" t="s">
        <v>2740</v>
      </c>
      <c r="G209" t="s">
        <v>1486</v>
      </c>
      <c r="H209">
        <v>24</v>
      </c>
      <c r="I209" t="b">
        <f>AND(COUNTIF(CO!A:A,A209)&gt;0,COUNTIF('NO2'!A:A,A209)&gt;0,COUNTIF('O3'!A:A,A209)&gt;0,COUNTIF('PM2.5'!A:A,A209)&gt;0,COUNTIF('SO2'!A:A,A209)&gt;0,COUNTIF(Kendaraan!A:A,A209)&gt;0)</f>
        <v>1</v>
      </c>
    </row>
    <row r="210" spans="1:9" x14ac:dyDescent="0.45">
      <c r="A210" s="4">
        <v>45595</v>
      </c>
      <c r="B210" t="s">
        <v>1984</v>
      </c>
      <c r="C210" t="s">
        <v>1091</v>
      </c>
      <c r="D210" t="s">
        <v>2745</v>
      </c>
      <c r="E210" t="s">
        <v>3404</v>
      </c>
      <c r="F210" t="s">
        <v>1174</v>
      </c>
      <c r="G210" t="s">
        <v>284</v>
      </c>
      <c r="H210">
        <v>24</v>
      </c>
      <c r="I210" t="b">
        <f>AND(COUNTIF(CO!A:A,A210)&gt;0,COUNTIF('NO2'!A:A,A210)&gt;0,COUNTIF('O3'!A:A,A210)&gt;0,COUNTIF('PM2.5'!A:A,A210)&gt;0,COUNTIF('SO2'!A:A,A210)&gt;0,COUNTIF(Kendaraan!A:A,A210)&gt;0)</f>
        <v>1</v>
      </c>
    </row>
    <row r="211" spans="1:9" x14ac:dyDescent="0.45">
      <c r="A211" s="4">
        <v>45596</v>
      </c>
      <c r="B211" t="s">
        <v>1143</v>
      </c>
      <c r="C211" t="s">
        <v>1067</v>
      </c>
      <c r="D211" t="s">
        <v>934</v>
      </c>
      <c r="E211" t="s">
        <v>1135</v>
      </c>
      <c r="F211" t="s">
        <v>1167</v>
      </c>
      <c r="G211" t="s">
        <v>75</v>
      </c>
      <c r="H211">
        <v>24</v>
      </c>
      <c r="I211" t="b">
        <f>AND(COUNTIF(CO!A:A,A211)&gt;0,COUNTIF('NO2'!A:A,A211)&gt;0,COUNTIF('O3'!A:A,A211)&gt;0,COUNTIF('PM2.5'!A:A,A211)&gt;0,COUNTIF('SO2'!A:A,A211)&gt;0,COUNTIF(Kendaraan!A:A,A211)&gt;0)</f>
        <v>1</v>
      </c>
    </row>
    <row r="212" spans="1:9" x14ac:dyDescent="0.45">
      <c r="A212" s="4">
        <v>45597</v>
      </c>
      <c r="B212" t="s">
        <v>2790</v>
      </c>
      <c r="C212" t="s">
        <v>3229</v>
      </c>
      <c r="D212" t="s">
        <v>3405</v>
      </c>
      <c r="E212" t="s">
        <v>3406</v>
      </c>
      <c r="F212" t="s">
        <v>840</v>
      </c>
      <c r="G212" s="1">
        <v>7017</v>
      </c>
      <c r="H212">
        <v>24</v>
      </c>
      <c r="I212" t="b">
        <f>AND(COUNTIF(CO!A:A,A212)&gt;0,COUNTIF('NO2'!A:A,A212)&gt;0,COUNTIF('O3'!A:A,A212)&gt;0,COUNTIF('PM2.5'!A:A,A212)&gt;0,COUNTIF('SO2'!A:A,A212)&gt;0,COUNTIF(Kendaraan!A:A,A212)&gt;0)</f>
        <v>1</v>
      </c>
    </row>
    <row r="213" spans="1:9" x14ac:dyDescent="0.45">
      <c r="A213" s="4">
        <v>45598</v>
      </c>
      <c r="B213" t="s">
        <v>1234</v>
      </c>
      <c r="C213" t="s">
        <v>3407</v>
      </c>
      <c r="D213" t="s">
        <v>3408</v>
      </c>
      <c r="E213" t="s">
        <v>501</v>
      </c>
      <c r="F213" t="s">
        <v>3409</v>
      </c>
      <c r="G213" s="1">
        <v>6404</v>
      </c>
      <c r="H213">
        <v>24</v>
      </c>
      <c r="I213" t="b">
        <f>AND(COUNTIF(CO!A:A,A213)&gt;0,COUNTIF('NO2'!A:A,A213)&gt;0,COUNTIF('O3'!A:A,A213)&gt;0,COUNTIF('PM2.5'!A:A,A213)&gt;0,COUNTIF('SO2'!A:A,A213)&gt;0,COUNTIF(Kendaraan!A:A,A213)&gt;0)</f>
        <v>1</v>
      </c>
    </row>
    <row r="214" spans="1:9" x14ac:dyDescent="0.45">
      <c r="A214" s="4">
        <v>45599</v>
      </c>
      <c r="B214" t="s">
        <v>1156</v>
      </c>
      <c r="C214" t="s">
        <v>3278</v>
      </c>
      <c r="D214" t="s">
        <v>1590</v>
      </c>
      <c r="E214" t="s">
        <v>616</v>
      </c>
      <c r="F214" t="s">
        <v>3410</v>
      </c>
      <c r="G214" s="1">
        <v>1178</v>
      </c>
      <c r="H214">
        <v>24</v>
      </c>
      <c r="I214" t="b">
        <f>AND(COUNTIF(CO!A:A,A214)&gt;0,COUNTIF('NO2'!A:A,A214)&gt;0,COUNTIF('O3'!A:A,A214)&gt;0,COUNTIF('PM2.5'!A:A,A214)&gt;0,COUNTIF('SO2'!A:A,A214)&gt;0,COUNTIF(Kendaraan!A:A,A214)&gt;0)</f>
        <v>1</v>
      </c>
    </row>
    <row r="215" spans="1:9" x14ac:dyDescent="0.45">
      <c r="A215" s="4">
        <v>45600</v>
      </c>
      <c r="B215" t="s">
        <v>892</v>
      </c>
      <c r="C215" t="s">
        <v>409</v>
      </c>
      <c r="D215" t="s">
        <v>3411</v>
      </c>
      <c r="E215" t="s">
        <v>1482</v>
      </c>
      <c r="F215" t="s">
        <v>1650</v>
      </c>
      <c r="G215" t="s">
        <v>3412</v>
      </c>
      <c r="H215">
        <v>24</v>
      </c>
      <c r="I215" t="b">
        <f>AND(COUNTIF(CO!A:A,A215)&gt;0,COUNTIF('NO2'!A:A,A215)&gt;0,COUNTIF('O3'!A:A,A215)&gt;0,COUNTIF('PM2.5'!A:A,A215)&gt;0,COUNTIF('SO2'!A:A,A215)&gt;0,COUNTIF(Kendaraan!A:A,A215)&gt;0)</f>
        <v>1</v>
      </c>
    </row>
    <row r="216" spans="1:9" x14ac:dyDescent="0.45">
      <c r="A216" s="4">
        <v>45601</v>
      </c>
      <c r="B216" t="s">
        <v>1873</v>
      </c>
      <c r="C216" t="s">
        <v>615</v>
      </c>
      <c r="D216" t="s">
        <v>2596</v>
      </c>
      <c r="E216" t="s">
        <v>1230</v>
      </c>
      <c r="F216" t="s">
        <v>1563</v>
      </c>
      <c r="G216" t="s">
        <v>3413</v>
      </c>
      <c r="H216">
        <v>24</v>
      </c>
      <c r="I216" t="b">
        <f>AND(COUNTIF(CO!A:A,A216)&gt;0,COUNTIF('NO2'!A:A,A216)&gt;0,COUNTIF('O3'!A:A,A216)&gt;0,COUNTIF('PM2.5'!A:A,A216)&gt;0,COUNTIF('SO2'!A:A,A216)&gt;0,COUNTIF(Kendaraan!A:A,A216)&gt;0)</f>
        <v>1</v>
      </c>
    </row>
    <row r="217" spans="1:9" x14ac:dyDescent="0.45">
      <c r="A217" s="4">
        <v>45602</v>
      </c>
      <c r="B217" t="s">
        <v>615</v>
      </c>
      <c r="C217" t="s">
        <v>2849</v>
      </c>
      <c r="D217" t="s">
        <v>638</v>
      </c>
      <c r="E217" t="s">
        <v>427</v>
      </c>
      <c r="F217" t="s">
        <v>2823</v>
      </c>
      <c r="G217" s="1">
        <v>3739</v>
      </c>
      <c r="H217">
        <v>24</v>
      </c>
      <c r="I217" t="b">
        <f>AND(COUNTIF(CO!A:A,A217)&gt;0,COUNTIF('NO2'!A:A,A217)&gt;0,COUNTIF('O3'!A:A,A217)&gt;0,COUNTIF('PM2.5'!A:A,A217)&gt;0,COUNTIF('SO2'!A:A,A217)&gt;0,COUNTIF(Kendaraan!A:A,A217)&gt;0)</f>
        <v>1</v>
      </c>
    </row>
    <row r="218" spans="1:9" x14ac:dyDescent="0.45">
      <c r="A218" s="4">
        <v>45603</v>
      </c>
      <c r="B218" t="s">
        <v>2048</v>
      </c>
      <c r="C218" t="s">
        <v>1946</v>
      </c>
      <c r="D218" t="s">
        <v>3414</v>
      </c>
      <c r="E218" t="s">
        <v>2016</v>
      </c>
      <c r="F218" t="s">
        <v>2848</v>
      </c>
      <c r="G218" s="1">
        <v>2349</v>
      </c>
      <c r="H218">
        <v>24</v>
      </c>
      <c r="I218" t="b">
        <f>AND(COUNTIF(CO!A:A,A218)&gt;0,COUNTIF('NO2'!A:A,A218)&gt;0,COUNTIF('O3'!A:A,A218)&gt;0,COUNTIF('PM2.5'!A:A,A218)&gt;0,COUNTIF('SO2'!A:A,A218)&gt;0,COUNTIF(Kendaraan!A:A,A218)&gt;0)</f>
        <v>1</v>
      </c>
    </row>
    <row r="219" spans="1:9" x14ac:dyDescent="0.45">
      <c r="A219" s="4">
        <v>45604</v>
      </c>
      <c r="B219" t="s">
        <v>481</v>
      </c>
      <c r="C219" t="s">
        <v>2009</v>
      </c>
      <c r="D219" t="s">
        <v>3310</v>
      </c>
      <c r="E219" t="s">
        <v>2551</v>
      </c>
      <c r="F219" t="s">
        <v>2139</v>
      </c>
      <c r="G219" s="1">
        <v>1177</v>
      </c>
      <c r="H219">
        <v>24</v>
      </c>
      <c r="I219" t="b">
        <f>AND(COUNTIF(CO!A:A,A219)&gt;0,COUNTIF('NO2'!A:A,A219)&gt;0,COUNTIF('O3'!A:A,A219)&gt;0,COUNTIF('PM2.5'!A:A,A219)&gt;0,COUNTIF('SO2'!A:A,A219)&gt;0,COUNTIF(Kendaraan!A:A,A219)&gt;0)</f>
        <v>1</v>
      </c>
    </row>
    <row r="220" spans="1:9" x14ac:dyDescent="0.45">
      <c r="A220" s="4">
        <v>45605</v>
      </c>
      <c r="B220" t="s">
        <v>3158</v>
      </c>
      <c r="C220" t="s">
        <v>463</v>
      </c>
      <c r="D220" t="s">
        <v>3344</v>
      </c>
      <c r="E220" t="s">
        <v>1152</v>
      </c>
      <c r="F220" t="s">
        <v>1442</v>
      </c>
      <c r="G220" s="1">
        <v>1909</v>
      </c>
      <c r="H220">
        <v>24</v>
      </c>
      <c r="I220" t="b">
        <f>AND(COUNTIF(CO!A:A,A220)&gt;0,COUNTIF('NO2'!A:A,A220)&gt;0,COUNTIF('O3'!A:A,A220)&gt;0,COUNTIF('PM2.5'!A:A,A220)&gt;0,COUNTIF('SO2'!A:A,A220)&gt;0,COUNTIF(Kendaraan!A:A,A220)&gt;0)</f>
        <v>1</v>
      </c>
    </row>
    <row r="221" spans="1:9" x14ac:dyDescent="0.45">
      <c r="A221" s="4">
        <v>45606</v>
      </c>
      <c r="B221" t="s">
        <v>1080</v>
      </c>
      <c r="C221" t="s">
        <v>1215</v>
      </c>
      <c r="D221" t="s">
        <v>3348</v>
      </c>
      <c r="E221" t="s">
        <v>1178</v>
      </c>
      <c r="F221" t="s">
        <v>1980</v>
      </c>
      <c r="G221" t="s">
        <v>102</v>
      </c>
      <c r="H221">
        <v>24</v>
      </c>
      <c r="I221" t="b">
        <f>AND(COUNTIF(CO!A:A,A221)&gt;0,COUNTIF('NO2'!A:A,A221)&gt;0,COUNTIF('O3'!A:A,A221)&gt;0,COUNTIF('PM2.5'!A:A,A221)&gt;0,COUNTIF('SO2'!A:A,A221)&gt;0,COUNTIF(Kendaraan!A:A,A221)&gt;0)</f>
        <v>1</v>
      </c>
    </row>
    <row r="222" spans="1:9" x14ac:dyDescent="0.45">
      <c r="A222" s="4">
        <v>45607</v>
      </c>
      <c r="B222" t="s">
        <v>426</v>
      </c>
      <c r="C222" t="s">
        <v>3323</v>
      </c>
      <c r="D222" t="s">
        <v>1555</v>
      </c>
      <c r="E222" t="s">
        <v>3415</v>
      </c>
      <c r="F222" t="s">
        <v>3416</v>
      </c>
      <c r="G222" s="1">
        <v>1865</v>
      </c>
      <c r="H222">
        <v>24</v>
      </c>
      <c r="I222" t="b">
        <f>AND(COUNTIF(CO!A:A,A222)&gt;0,COUNTIF('NO2'!A:A,A222)&gt;0,COUNTIF('O3'!A:A,A222)&gt;0,COUNTIF('PM2.5'!A:A,A222)&gt;0,COUNTIF('SO2'!A:A,A222)&gt;0,COUNTIF(Kendaraan!A:A,A222)&gt;0)</f>
        <v>1</v>
      </c>
    </row>
    <row r="223" spans="1:9" x14ac:dyDescent="0.45">
      <c r="A223" s="4">
        <v>45608</v>
      </c>
      <c r="B223">
        <v>26</v>
      </c>
      <c r="C223" t="s">
        <v>2159</v>
      </c>
      <c r="D223" t="s">
        <v>2865</v>
      </c>
      <c r="E223" t="s">
        <v>2558</v>
      </c>
      <c r="F223" t="s">
        <v>2940</v>
      </c>
      <c r="G223" s="1">
        <v>7575</v>
      </c>
      <c r="H223">
        <v>24</v>
      </c>
      <c r="I223" t="b">
        <f>AND(COUNTIF(CO!A:A,A223)&gt;0,COUNTIF('NO2'!A:A,A223)&gt;0,COUNTIF('O3'!A:A,A223)&gt;0,COUNTIF('PM2.5'!A:A,A223)&gt;0,COUNTIF('SO2'!A:A,A223)&gt;0,COUNTIF(Kendaraan!A:A,A223)&gt;0)</f>
        <v>1</v>
      </c>
    </row>
    <row r="224" spans="1:9" x14ac:dyDescent="0.45">
      <c r="A224" s="4">
        <v>45609</v>
      </c>
      <c r="B224" t="s">
        <v>3417</v>
      </c>
      <c r="C224" t="s">
        <v>3418</v>
      </c>
      <c r="D224" t="s">
        <v>3419</v>
      </c>
      <c r="E224" t="s">
        <v>3420</v>
      </c>
      <c r="F224" t="s">
        <v>3421</v>
      </c>
      <c r="G224" s="1">
        <v>2355</v>
      </c>
      <c r="H224">
        <v>24</v>
      </c>
      <c r="I224" t="b">
        <f>AND(COUNTIF(CO!A:A,A224)&gt;0,COUNTIF('NO2'!A:A,A224)&gt;0,COUNTIF('O3'!A:A,A224)&gt;0,COUNTIF('PM2.5'!A:A,A224)&gt;0,COUNTIF('SO2'!A:A,A224)&gt;0,COUNTIF(Kendaraan!A:A,A224)&gt;0)</f>
        <v>1</v>
      </c>
    </row>
    <row r="225" spans="1:9" x14ac:dyDescent="0.45">
      <c r="A225" s="4">
        <v>45610</v>
      </c>
      <c r="B225" t="s">
        <v>3422</v>
      </c>
      <c r="C225" t="s">
        <v>3423</v>
      </c>
      <c r="D225" t="s">
        <v>3424</v>
      </c>
      <c r="E225" t="s">
        <v>3425</v>
      </c>
      <c r="F225" t="s">
        <v>3426</v>
      </c>
      <c r="G225" s="1">
        <v>2125</v>
      </c>
      <c r="H225">
        <v>24</v>
      </c>
      <c r="I225" t="b">
        <f>AND(COUNTIF(CO!A:A,A225)&gt;0,COUNTIF('NO2'!A:A,A225)&gt;0,COUNTIF('O3'!A:A,A225)&gt;0,COUNTIF('PM2.5'!A:A,A225)&gt;0,COUNTIF('SO2'!A:A,A225)&gt;0,COUNTIF(Kendaraan!A:A,A225)&gt;0)</f>
        <v>1</v>
      </c>
    </row>
    <row r="226" spans="1:9" x14ac:dyDescent="0.45">
      <c r="A226" s="4">
        <v>45611</v>
      </c>
      <c r="B226" t="s">
        <v>3427</v>
      </c>
      <c r="C226" t="s">
        <v>3428</v>
      </c>
      <c r="D226" t="s">
        <v>3429</v>
      </c>
      <c r="E226" t="s">
        <v>3430</v>
      </c>
      <c r="F226" t="s">
        <v>3431</v>
      </c>
      <c r="G226" s="1">
        <v>2354</v>
      </c>
      <c r="H226">
        <v>24</v>
      </c>
      <c r="I226" t="b">
        <f>AND(COUNTIF(CO!A:A,A226)&gt;0,COUNTIF('NO2'!A:A,A226)&gt;0,COUNTIF('O3'!A:A,A226)&gt;0,COUNTIF('PM2.5'!A:A,A226)&gt;0,COUNTIF('SO2'!A:A,A226)&gt;0,COUNTIF(Kendaraan!A:A,A226)&gt;0)</f>
        <v>1</v>
      </c>
    </row>
    <row r="227" spans="1:9" x14ac:dyDescent="0.45">
      <c r="A227" s="4">
        <v>45612</v>
      </c>
      <c r="B227" t="s">
        <v>3432</v>
      </c>
      <c r="C227" t="s">
        <v>3433</v>
      </c>
      <c r="D227" t="s">
        <v>3434</v>
      </c>
      <c r="E227" t="s">
        <v>3435</v>
      </c>
      <c r="F227" t="s">
        <v>3436</v>
      </c>
      <c r="G227" s="1">
        <v>4432</v>
      </c>
      <c r="H227">
        <v>24</v>
      </c>
      <c r="I227" t="b">
        <f>AND(COUNTIF(CO!A:A,A227)&gt;0,COUNTIF('NO2'!A:A,A227)&gt;0,COUNTIF('O3'!A:A,A227)&gt;0,COUNTIF('PM2.5'!A:A,A227)&gt;0,COUNTIF('SO2'!A:A,A227)&gt;0,COUNTIF(Kendaraan!A:A,A227)&gt;0)</f>
        <v>1</v>
      </c>
    </row>
    <row r="228" spans="1:9" x14ac:dyDescent="0.45">
      <c r="A228" s="4">
        <v>45613</v>
      </c>
      <c r="B228" t="s">
        <v>3186</v>
      </c>
      <c r="C228" t="s">
        <v>3423</v>
      </c>
      <c r="D228" t="s">
        <v>3437</v>
      </c>
      <c r="E228" t="s">
        <v>3438</v>
      </c>
      <c r="F228" t="s">
        <v>3439</v>
      </c>
      <c r="G228" s="1">
        <v>8347</v>
      </c>
      <c r="H228">
        <v>24</v>
      </c>
      <c r="I228" t="b">
        <f>AND(COUNTIF(CO!A:A,A228)&gt;0,COUNTIF('NO2'!A:A,A228)&gt;0,COUNTIF('O3'!A:A,A228)&gt;0,COUNTIF('PM2.5'!A:A,A228)&gt;0,COUNTIF('SO2'!A:A,A228)&gt;0,COUNTIF(Kendaraan!A:A,A228)&gt;0)</f>
        <v>1</v>
      </c>
    </row>
    <row r="229" spans="1:9" x14ac:dyDescent="0.45">
      <c r="A229" s="4">
        <v>45614</v>
      </c>
      <c r="B229" t="s">
        <v>1451</v>
      </c>
      <c r="C229" t="s">
        <v>3249</v>
      </c>
      <c r="D229" t="s">
        <v>471</v>
      </c>
      <c r="E229" t="s">
        <v>1688</v>
      </c>
      <c r="F229" t="s">
        <v>2315</v>
      </c>
      <c r="G229" t="s">
        <v>1953</v>
      </c>
      <c r="H229">
        <v>24</v>
      </c>
      <c r="I229" t="b">
        <f>AND(COUNTIF(CO!A:A,A229)&gt;0,COUNTIF('NO2'!A:A,A229)&gt;0,COUNTIF('O3'!A:A,A229)&gt;0,COUNTIF('PM2.5'!A:A,A229)&gt;0,COUNTIF('SO2'!A:A,A229)&gt;0,COUNTIF(Kendaraan!A:A,A229)&gt;0)</f>
        <v>1</v>
      </c>
    </row>
    <row r="230" spans="1:9" x14ac:dyDescent="0.45">
      <c r="A230" s="4">
        <v>45615</v>
      </c>
      <c r="B230" t="s">
        <v>2413</v>
      </c>
      <c r="C230" t="s">
        <v>3440</v>
      </c>
      <c r="D230" t="s">
        <v>1315</v>
      </c>
      <c r="E230" t="s">
        <v>1661</v>
      </c>
      <c r="F230" t="s">
        <v>1506</v>
      </c>
      <c r="G230" t="s">
        <v>3441</v>
      </c>
      <c r="H230">
        <v>24</v>
      </c>
      <c r="I230" t="b">
        <f>AND(COUNTIF(CO!A:A,A230)&gt;0,COUNTIF('NO2'!A:A,A230)&gt;0,COUNTIF('O3'!A:A,A230)&gt;0,COUNTIF('PM2.5'!A:A,A230)&gt;0,COUNTIF('SO2'!A:A,A230)&gt;0,COUNTIF(Kendaraan!A:A,A230)&gt;0)</f>
        <v>1</v>
      </c>
    </row>
    <row r="231" spans="1:9" x14ac:dyDescent="0.45">
      <c r="A231" s="4">
        <v>45616</v>
      </c>
      <c r="B231" t="s">
        <v>1375</v>
      </c>
      <c r="C231" t="s">
        <v>2406</v>
      </c>
      <c r="D231" t="s">
        <v>1186</v>
      </c>
      <c r="E231" t="s">
        <v>1961</v>
      </c>
      <c r="F231" t="s">
        <v>1170</v>
      </c>
      <c r="G231" t="s">
        <v>65</v>
      </c>
      <c r="H231">
        <v>24</v>
      </c>
      <c r="I231" t="b">
        <f>AND(COUNTIF(CO!A:A,A231)&gt;0,COUNTIF('NO2'!A:A,A231)&gt;0,COUNTIF('O3'!A:A,A231)&gt;0,COUNTIF('PM2.5'!A:A,A231)&gt;0,COUNTIF('SO2'!A:A,A231)&gt;0,COUNTIF(Kendaraan!A:A,A231)&gt;0)</f>
        <v>1</v>
      </c>
    </row>
    <row r="232" spans="1:9" x14ac:dyDescent="0.45">
      <c r="A232" s="4">
        <v>45617</v>
      </c>
      <c r="B232" t="s">
        <v>1354</v>
      </c>
      <c r="C232" t="s">
        <v>1206</v>
      </c>
      <c r="D232" t="s">
        <v>1174</v>
      </c>
      <c r="E232" t="s">
        <v>1368</v>
      </c>
      <c r="F232" t="s">
        <v>1574</v>
      </c>
      <c r="G232" s="1">
        <v>2068</v>
      </c>
      <c r="H232">
        <v>24</v>
      </c>
      <c r="I232" t="b">
        <f>AND(COUNTIF(CO!A:A,A232)&gt;0,COUNTIF('NO2'!A:A,A232)&gt;0,COUNTIF('O3'!A:A,A232)&gt;0,COUNTIF('PM2.5'!A:A,A232)&gt;0,COUNTIF('SO2'!A:A,A232)&gt;0,COUNTIF(Kendaraan!A:A,A232)&gt;0)</f>
        <v>1</v>
      </c>
    </row>
    <row r="233" spans="1:9" x14ac:dyDescent="0.45">
      <c r="A233" s="4">
        <v>45618</v>
      </c>
      <c r="B233" t="s">
        <v>613</v>
      </c>
      <c r="C233" t="s">
        <v>405</v>
      </c>
      <c r="D233" t="s">
        <v>915</v>
      </c>
      <c r="E233" t="s">
        <v>1670</v>
      </c>
      <c r="F233">
        <v>23</v>
      </c>
      <c r="G233" s="1">
        <v>1016</v>
      </c>
      <c r="H233">
        <v>24</v>
      </c>
      <c r="I233" t="b">
        <f>AND(COUNTIF(CO!A:A,A233)&gt;0,COUNTIF('NO2'!A:A,A233)&gt;0,COUNTIF('O3'!A:A,A233)&gt;0,COUNTIF('PM2.5'!A:A,A233)&gt;0,COUNTIF('SO2'!A:A,A233)&gt;0,COUNTIF(Kendaraan!A:A,A233)&gt;0)</f>
        <v>1</v>
      </c>
    </row>
    <row r="234" spans="1:9" x14ac:dyDescent="0.45">
      <c r="A234" s="4">
        <v>45619</v>
      </c>
      <c r="B234" t="s">
        <v>1975</v>
      </c>
      <c r="C234" t="s">
        <v>487</v>
      </c>
      <c r="D234" t="s">
        <v>3148</v>
      </c>
      <c r="E234" t="s">
        <v>424</v>
      </c>
      <c r="F234" t="s">
        <v>555</v>
      </c>
      <c r="G234" s="1">
        <v>1203</v>
      </c>
      <c r="H234">
        <v>24</v>
      </c>
      <c r="I234" t="b">
        <f>AND(COUNTIF(CO!A:A,A234)&gt;0,COUNTIF('NO2'!A:A,A234)&gt;0,COUNTIF('O3'!A:A,A234)&gt;0,COUNTIF('PM2.5'!A:A,A234)&gt;0,COUNTIF('SO2'!A:A,A234)&gt;0,COUNTIF(Kendaraan!A:A,A234)&gt;0)</f>
        <v>1</v>
      </c>
    </row>
    <row r="235" spans="1:9" x14ac:dyDescent="0.45">
      <c r="A235" s="4">
        <v>45620</v>
      </c>
      <c r="B235" t="s">
        <v>487</v>
      </c>
      <c r="C235" t="s">
        <v>1896</v>
      </c>
      <c r="D235" t="s">
        <v>3442</v>
      </c>
      <c r="E235" t="s">
        <v>2045</v>
      </c>
      <c r="F235" t="s">
        <v>3443</v>
      </c>
      <c r="G235" s="1">
        <v>1851</v>
      </c>
      <c r="H235">
        <v>24</v>
      </c>
      <c r="I235" t="b">
        <f>AND(COUNTIF(CO!A:A,A235)&gt;0,COUNTIF('NO2'!A:A,A235)&gt;0,COUNTIF('O3'!A:A,A235)&gt;0,COUNTIF('PM2.5'!A:A,A235)&gt;0,COUNTIF('SO2'!A:A,A235)&gt;0,COUNTIF(Kendaraan!A:A,A235)&gt;0)</f>
        <v>1</v>
      </c>
    </row>
    <row r="236" spans="1:9" x14ac:dyDescent="0.45">
      <c r="A236" s="4">
        <v>45621</v>
      </c>
      <c r="B236" t="s">
        <v>1489</v>
      </c>
      <c r="C236" t="s">
        <v>3387</v>
      </c>
      <c r="D236" t="s">
        <v>497</v>
      </c>
      <c r="E236" t="s">
        <v>1995</v>
      </c>
      <c r="F236" t="s">
        <v>492</v>
      </c>
      <c r="G236" s="1">
        <v>2123</v>
      </c>
      <c r="H236">
        <v>21</v>
      </c>
      <c r="I236" t="b">
        <f>AND(COUNTIF(CO!A:A,A236)&gt;0,COUNTIF('NO2'!A:A,A236)&gt;0,COUNTIF('O3'!A:A,A236)&gt;0,COUNTIF('PM2.5'!A:A,A236)&gt;0,COUNTIF('SO2'!A:A,A236)&gt;0,COUNTIF(Kendaraan!A:A,A236)&gt;0)</f>
        <v>1</v>
      </c>
    </row>
    <row r="237" spans="1:9" x14ac:dyDescent="0.45">
      <c r="A237" s="4">
        <v>45622</v>
      </c>
      <c r="B237" t="s">
        <v>1954</v>
      </c>
      <c r="C237" t="s">
        <v>3373</v>
      </c>
      <c r="D237" t="s">
        <v>922</v>
      </c>
      <c r="E237" t="s">
        <v>2607</v>
      </c>
      <c r="F237" t="s">
        <v>1482</v>
      </c>
      <c r="G237" s="1">
        <v>3724</v>
      </c>
      <c r="H237">
        <v>24</v>
      </c>
      <c r="I237" t="b">
        <f>AND(COUNTIF(CO!A:A,A237)&gt;0,COUNTIF('NO2'!A:A,A237)&gt;0,COUNTIF('O3'!A:A,A237)&gt;0,COUNTIF('PM2.5'!A:A,A237)&gt;0,COUNTIF('SO2'!A:A,A237)&gt;0,COUNTIF(Kendaraan!A:A,A237)&gt;0)</f>
        <v>1</v>
      </c>
    </row>
    <row r="238" spans="1:9" x14ac:dyDescent="0.45">
      <c r="A238" s="4">
        <v>45623</v>
      </c>
      <c r="B238" t="s">
        <v>943</v>
      </c>
      <c r="C238" t="s">
        <v>1890</v>
      </c>
      <c r="D238" t="s">
        <v>741</v>
      </c>
      <c r="E238" t="s">
        <v>3100</v>
      </c>
      <c r="F238" t="s">
        <v>3085</v>
      </c>
      <c r="G238" s="1">
        <v>1184</v>
      </c>
      <c r="H238">
        <v>24</v>
      </c>
      <c r="I238" t="b">
        <f>AND(COUNTIF(CO!A:A,A238)&gt;0,COUNTIF('NO2'!A:A,A238)&gt;0,COUNTIF('O3'!A:A,A238)&gt;0,COUNTIF('PM2.5'!A:A,A238)&gt;0,COUNTIF('SO2'!A:A,A238)&gt;0,COUNTIF(Kendaraan!A:A,A238)&gt;0)</f>
        <v>1</v>
      </c>
    </row>
    <row r="239" spans="1:9" x14ac:dyDescent="0.45">
      <c r="A239" s="4">
        <v>45624</v>
      </c>
      <c r="B239" t="s">
        <v>1722</v>
      </c>
      <c r="C239" t="s">
        <v>1832</v>
      </c>
      <c r="D239" t="s">
        <v>3444</v>
      </c>
      <c r="E239" t="s">
        <v>2081</v>
      </c>
      <c r="F239" t="s">
        <v>1758</v>
      </c>
      <c r="G239" s="1">
        <v>1376</v>
      </c>
      <c r="H239">
        <v>24</v>
      </c>
      <c r="I239" t="b">
        <f>AND(COUNTIF(CO!A:A,A239)&gt;0,COUNTIF('NO2'!A:A,A239)&gt;0,COUNTIF('O3'!A:A,A239)&gt;0,COUNTIF('PM2.5'!A:A,A239)&gt;0,COUNTIF('SO2'!A:A,A239)&gt;0,COUNTIF(Kendaraan!A:A,A239)&gt;0)</f>
        <v>1</v>
      </c>
    </row>
    <row r="240" spans="1:9" x14ac:dyDescent="0.45">
      <c r="A240" s="4">
        <v>45625</v>
      </c>
      <c r="B240" t="s">
        <v>2082</v>
      </c>
      <c r="C240" t="s">
        <v>357</v>
      </c>
      <c r="D240" t="s">
        <v>1809</v>
      </c>
      <c r="E240" t="s">
        <v>2083</v>
      </c>
      <c r="F240" t="s">
        <v>3083</v>
      </c>
      <c r="G240" t="s">
        <v>3445</v>
      </c>
      <c r="H240">
        <v>24</v>
      </c>
      <c r="I240" t="b">
        <f>AND(COUNTIF(CO!A:A,A240)&gt;0,COUNTIF('NO2'!A:A,A240)&gt;0,COUNTIF('O3'!A:A,A240)&gt;0,COUNTIF('PM2.5'!A:A,A240)&gt;0,COUNTIF('SO2'!A:A,A240)&gt;0,COUNTIF(Kendaraan!A:A,A240)&gt;0)</f>
        <v>1</v>
      </c>
    </row>
    <row r="241" spans="1:9" x14ac:dyDescent="0.45">
      <c r="A241" s="4">
        <v>45626</v>
      </c>
      <c r="B241" t="s">
        <v>3111</v>
      </c>
      <c r="C241" t="s">
        <v>1856</v>
      </c>
      <c r="D241" t="s">
        <v>3446</v>
      </c>
      <c r="E241" t="s">
        <v>3447</v>
      </c>
      <c r="F241" t="s">
        <v>3099</v>
      </c>
      <c r="G241" t="s">
        <v>40</v>
      </c>
      <c r="H241">
        <v>24</v>
      </c>
      <c r="I241" t="b">
        <f>AND(COUNTIF(CO!A:A,A241)&gt;0,COUNTIF('NO2'!A:A,A241)&gt;0,COUNTIF('O3'!A:A,A241)&gt;0,COUNTIF('PM2.5'!A:A,A241)&gt;0,COUNTIF('SO2'!A:A,A241)&gt;0,COUNTIF(Kendaraan!A:A,A241)&gt;0)</f>
        <v>1</v>
      </c>
    </row>
    <row r="242" spans="1:9" x14ac:dyDescent="0.45">
      <c r="A242" s="4">
        <v>45627</v>
      </c>
      <c r="B242" t="s">
        <v>1694</v>
      </c>
      <c r="C242" t="s">
        <v>1841</v>
      </c>
      <c r="D242" t="s">
        <v>3448</v>
      </c>
      <c r="E242" t="s">
        <v>3146</v>
      </c>
      <c r="F242" t="s">
        <v>1771</v>
      </c>
      <c r="G242" t="s">
        <v>81</v>
      </c>
      <c r="H242">
        <v>24</v>
      </c>
      <c r="I242" t="b">
        <f>AND(COUNTIF(CO!A:A,A242)&gt;0,COUNTIF('NO2'!A:A,A242)&gt;0,COUNTIF('O3'!A:A,A242)&gt;0,COUNTIF('PM2.5'!A:A,A242)&gt;0,COUNTIF('SO2'!A:A,A242)&gt;0,COUNTIF(Kendaraan!A:A,A242)&gt;0)</f>
        <v>1</v>
      </c>
    </row>
    <row r="243" spans="1:9" x14ac:dyDescent="0.45">
      <c r="A243" s="4">
        <v>45628</v>
      </c>
      <c r="B243" t="s">
        <v>1839</v>
      </c>
      <c r="C243" t="s">
        <v>1833</v>
      </c>
      <c r="D243" t="s">
        <v>2069</v>
      </c>
      <c r="E243" t="s">
        <v>1860</v>
      </c>
      <c r="F243" t="s">
        <v>3102</v>
      </c>
      <c r="G243" t="s">
        <v>3449</v>
      </c>
      <c r="H243">
        <v>24</v>
      </c>
      <c r="I243" t="b">
        <f>AND(COUNTIF(CO!A:A,A243)&gt;0,COUNTIF('NO2'!A:A,A243)&gt;0,COUNTIF('O3'!A:A,A243)&gt;0,COUNTIF('PM2.5'!A:A,A243)&gt;0,COUNTIF('SO2'!A:A,A243)&gt;0,COUNTIF(Kendaraan!A:A,A243)&gt;0)</f>
        <v>1</v>
      </c>
    </row>
    <row r="244" spans="1:9" x14ac:dyDescent="0.45">
      <c r="A244" s="4">
        <v>45629</v>
      </c>
      <c r="B244" t="s">
        <v>1837</v>
      </c>
      <c r="C244" t="s">
        <v>3450</v>
      </c>
      <c r="D244" t="s">
        <v>3451</v>
      </c>
      <c r="E244" t="s">
        <v>1721</v>
      </c>
      <c r="F244" t="s">
        <v>1654</v>
      </c>
      <c r="G244" t="s">
        <v>3413</v>
      </c>
      <c r="H244">
        <v>24</v>
      </c>
      <c r="I244" t="b">
        <f>AND(COUNTIF(CO!A:A,A244)&gt;0,COUNTIF('NO2'!A:A,A244)&gt;0,COUNTIF('O3'!A:A,A244)&gt;0,COUNTIF('PM2.5'!A:A,A244)&gt;0,COUNTIF('SO2'!A:A,A244)&gt;0,COUNTIF(Kendaraan!A:A,A244)&gt;0)</f>
        <v>1</v>
      </c>
    </row>
    <row r="245" spans="1:9" x14ac:dyDescent="0.45">
      <c r="A245" s="4">
        <v>45630</v>
      </c>
      <c r="B245" t="s">
        <v>1816</v>
      </c>
      <c r="C245" t="s">
        <v>1096</v>
      </c>
      <c r="D245" t="s">
        <v>1306</v>
      </c>
      <c r="E245" t="s">
        <v>3452</v>
      </c>
      <c r="F245" t="s">
        <v>1743</v>
      </c>
      <c r="G245" s="1">
        <v>2973</v>
      </c>
      <c r="H245">
        <v>24</v>
      </c>
      <c r="I245" t="b">
        <f>AND(COUNTIF(CO!A:A,A245)&gt;0,COUNTIF('NO2'!A:A,A245)&gt;0,COUNTIF('O3'!A:A,A245)&gt;0,COUNTIF('PM2.5'!A:A,A245)&gt;0,COUNTIF('SO2'!A:A,A245)&gt;0,COUNTIF(Kendaraan!A:A,A245)&gt;0)</f>
        <v>1</v>
      </c>
    </row>
    <row r="246" spans="1:9" x14ac:dyDescent="0.45">
      <c r="A246" s="4">
        <v>45631</v>
      </c>
      <c r="B246" t="s">
        <v>1311</v>
      </c>
      <c r="C246" t="s">
        <v>1271</v>
      </c>
      <c r="D246" t="s">
        <v>3453</v>
      </c>
      <c r="E246" t="s">
        <v>2733</v>
      </c>
      <c r="F246" t="s">
        <v>1127</v>
      </c>
      <c r="G246" t="s">
        <v>3239</v>
      </c>
      <c r="H246">
        <v>24</v>
      </c>
      <c r="I246" t="b">
        <f>AND(COUNTIF(CO!A:A,A246)&gt;0,COUNTIF('NO2'!A:A,A246)&gt;0,COUNTIF('O3'!A:A,A246)&gt;0,COUNTIF('PM2.5'!A:A,A246)&gt;0,COUNTIF('SO2'!A:A,A246)&gt;0,COUNTIF(Kendaraan!A:A,A246)&gt;0)</f>
        <v>1</v>
      </c>
    </row>
    <row r="247" spans="1:9" x14ac:dyDescent="0.45">
      <c r="A247" s="4">
        <v>45632</v>
      </c>
      <c r="B247" t="s">
        <v>907</v>
      </c>
      <c r="C247" t="s">
        <v>3037</v>
      </c>
      <c r="D247" t="s">
        <v>2254</v>
      </c>
      <c r="E247" t="s">
        <v>2835</v>
      </c>
      <c r="F247" t="s">
        <v>3290</v>
      </c>
      <c r="G247" s="1">
        <v>3267</v>
      </c>
      <c r="H247">
        <v>24</v>
      </c>
      <c r="I247" t="b">
        <f>AND(COUNTIF(CO!A:A,A247)&gt;0,COUNTIF('NO2'!A:A,A247)&gt;0,COUNTIF('O3'!A:A,A247)&gt;0,COUNTIF('PM2.5'!A:A,A247)&gt;0,COUNTIF('SO2'!A:A,A247)&gt;0,COUNTIF(Kendaraan!A:A,A247)&gt;0)</f>
        <v>1</v>
      </c>
    </row>
    <row r="248" spans="1:9" x14ac:dyDescent="0.45">
      <c r="A248" s="4">
        <v>45633</v>
      </c>
      <c r="B248" t="s">
        <v>1329</v>
      </c>
      <c r="C248" t="s">
        <v>432</v>
      </c>
      <c r="D248" t="s">
        <v>1112</v>
      </c>
      <c r="E248" t="s">
        <v>2790</v>
      </c>
      <c r="F248" t="s">
        <v>1103</v>
      </c>
      <c r="G248" s="1">
        <v>2517</v>
      </c>
      <c r="H248">
        <v>24</v>
      </c>
      <c r="I248" t="b">
        <f>AND(COUNTIF(CO!A:A,A248)&gt;0,COUNTIF('NO2'!A:A,A248)&gt;0,COUNTIF('O3'!A:A,A248)&gt;0,COUNTIF('PM2.5'!A:A,A248)&gt;0,COUNTIF('SO2'!A:A,A248)&gt;0,COUNTIF(Kendaraan!A:A,A248)&gt;0)</f>
        <v>1</v>
      </c>
    </row>
    <row r="249" spans="1:9" x14ac:dyDescent="0.45">
      <c r="A249" s="4">
        <v>45634</v>
      </c>
      <c r="B249" t="s">
        <v>3349</v>
      </c>
      <c r="C249" t="s">
        <v>434</v>
      </c>
      <c r="D249" t="s">
        <v>899</v>
      </c>
      <c r="E249" t="s">
        <v>3174</v>
      </c>
      <c r="F249" t="s">
        <v>3315</v>
      </c>
      <c r="G249" t="s">
        <v>136</v>
      </c>
      <c r="H249">
        <v>24</v>
      </c>
      <c r="I249" t="b">
        <f>AND(COUNTIF(CO!A:A,A249)&gt;0,COUNTIF('NO2'!A:A,A249)&gt;0,COUNTIF('O3'!A:A,A249)&gt;0,COUNTIF('PM2.5'!A:A,A249)&gt;0,COUNTIF('SO2'!A:A,A249)&gt;0,COUNTIF(Kendaraan!A:A,A249)&gt;0)</f>
        <v>1</v>
      </c>
    </row>
    <row r="250" spans="1:9" x14ac:dyDescent="0.45">
      <c r="A250" s="4">
        <v>45635</v>
      </c>
      <c r="B250" t="s">
        <v>1751</v>
      </c>
      <c r="C250" t="s">
        <v>1632</v>
      </c>
      <c r="D250" t="s">
        <v>1716</v>
      </c>
      <c r="E250" t="s">
        <v>2700</v>
      </c>
      <c r="F250" t="s">
        <v>1342</v>
      </c>
      <c r="G250" s="1">
        <v>1389</v>
      </c>
      <c r="H250">
        <v>24</v>
      </c>
      <c r="I250" t="b">
        <f>AND(COUNTIF(CO!A:A,A250)&gt;0,COUNTIF('NO2'!A:A,A250)&gt;0,COUNTIF('O3'!A:A,A250)&gt;0,COUNTIF('PM2.5'!A:A,A250)&gt;0,COUNTIF('SO2'!A:A,A250)&gt;0,COUNTIF(Kendaraan!A:A,A250)&gt;0)</f>
        <v>1</v>
      </c>
    </row>
    <row r="251" spans="1:9" x14ac:dyDescent="0.45">
      <c r="A251" s="4">
        <v>45636</v>
      </c>
      <c r="B251" t="s">
        <v>1712</v>
      </c>
      <c r="C251" t="s">
        <v>1347</v>
      </c>
      <c r="D251" t="s">
        <v>1061</v>
      </c>
      <c r="E251" t="s">
        <v>3101</v>
      </c>
      <c r="F251" t="s">
        <v>1749</v>
      </c>
      <c r="G251" s="1">
        <v>2365</v>
      </c>
      <c r="H251">
        <v>24</v>
      </c>
      <c r="I251" t="b">
        <f>AND(COUNTIF(CO!A:A,A251)&gt;0,COUNTIF('NO2'!A:A,A251)&gt;0,COUNTIF('O3'!A:A,A251)&gt;0,COUNTIF('PM2.5'!A:A,A251)&gt;0,COUNTIF('SO2'!A:A,A251)&gt;0,COUNTIF(Kendaraan!A:A,A251)&gt;0)</f>
        <v>1</v>
      </c>
    </row>
    <row r="252" spans="1:9" x14ac:dyDescent="0.45">
      <c r="A252" s="4">
        <v>45637</v>
      </c>
      <c r="B252" t="s">
        <v>1766</v>
      </c>
      <c r="C252" t="s">
        <v>1754</v>
      </c>
      <c r="D252" t="s">
        <v>3454</v>
      </c>
      <c r="E252" t="s">
        <v>1769</v>
      </c>
      <c r="F252" t="s">
        <v>704</v>
      </c>
      <c r="G252" s="1">
        <v>1836</v>
      </c>
      <c r="H252">
        <v>24</v>
      </c>
      <c r="I252" t="b">
        <f>AND(COUNTIF(CO!A:A,A252)&gt;0,COUNTIF('NO2'!A:A,A252)&gt;0,COUNTIF('O3'!A:A,A252)&gt;0,COUNTIF('PM2.5'!A:A,A252)&gt;0,COUNTIF('SO2'!A:A,A252)&gt;0,COUNTIF(Kendaraan!A:A,A252)&gt;0)</f>
        <v>1</v>
      </c>
    </row>
    <row r="253" spans="1:9" x14ac:dyDescent="0.45">
      <c r="A253" s="4">
        <v>45638</v>
      </c>
      <c r="B253">
        <v>13</v>
      </c>
      <c r="C253" t="s">
        <v>1254</v>
      </c>
      <c r="D253" t="s">
        <v>2738</v>
      </c>
      <c r="E253" t="s">
        <v>1857</v>
      </c>
      <c r="F253" t="s">
        <v>927</v>
      </c>
      <c r="G253" t="s">
        <v>3455</v>
      </c>
      <c r="H253">
        <v>24</v>
      </c>
      <c r="I253" t="b">
        <f>AND(COUNTIF(CO!A:A,A253)&gt;0,COUNTIF('NO2'!A:A,A253)&gt;0,COUNTIF('O3'!A:A,A253)&gt;0,COUNTIF('PM2.5'!A:A,A253)&gt;0,COUNTIF('SO2'!A:A,A253)&gt;0,COUNTIF(Kendaraan!A:A,A253)&gt;0)</f>
        <v>1</v>
      </c>
    </row>
    <row r="254" spans="1:9" x14ac:dyDescent="0.45">
      <c r="A254" s="4">
        <v>45639</v>
      </c>
      <c r="B254" t="s">
        <v>341</v>
      </c>
      <c r="C254" t="s">
        <v>587</v>
      </c>
      <c r="D254" t="s">
        <v>1442</v>
      </c>
      <c r="E254" t="s">
        <v>1203</v>
      </c>
      <c r="F254" t="s">
        <v>1924</v>
      </c>
      <c r="G254" s="1">
        <v>1337</v>
      </c>
      <c r="H254">
        <v>24</v>
      </c>
      <c r="I254" t="b">
        <f>AND(COUNTIF(CO!A:A,A254)&gt;0,COUNTIF('NO2'!A:A,A254)&gt;0,COUNTIF('O3'!A:A,A254)&gt;0,COUNTIF('PM2.5'!A:A,A254)&gt;0,COUNTIF('SO2'!A:A,A254)&gt;0,COUNTIF(Kendaraan!A:A,A254)&gt;0)</f>
        <v>1</v>
      </c>
    </row>
    <row r="255" spans="1:9" x14ac:dyDescent="0.45">
      <c r="A255" s="4">
        <v>45640</v>
      </c>
      <c r="B255" t="s">
        <v>1954</v>
      </c>
      <c r="C255" t="s">
        <v>1270</v>
      </c>
      <c r="D255" t="s">
        <v>1187</v>
      </c>
      <c r="E255" t="s">
        <v>1727</v>
      </c>
      <c r="F255" t="s">
        <v>3349</v>
      </c>
      <c r="G255" s="1">
        <v>3179</v>
      </c>
      <c r="H255">
        <v>24</v>
      </c>
      <c r="I255" t="b">
        <f>AND(COUNTIF(CO!A:A,A255)&gt;0,COUNTIF('NO2'!A:A,A255)&gt;0,COUNTIF('O3'!A:A,A255)&gt;0,COUNTIF('PM2.5'!A:A,A255)&gt;0,COUNTIF('SO2'!A:A,A255)&gt;0,COUNTIF(Kendaraan!A:A,A255)&gt;0)</f>
        <v>1</v>
      </c>
    </row>
    <row r="256" spans="1:9" x14ac:dyDescent="0.45">
      <c r="A256" s="4">
        <v>45641</v>
      </c>
      <c r="B256" t="s">
        <v>1360</v>
      </c>
      <c r="C256" t="s">
        <v>3456</v>
      </c>
      <c r="D256" t="s">
        <v>1197</v>
      </c>
      <c r="E256" t="s">
        <v>3208</v>
      </c>
      <c r="F256" t="s">
        <v>444</v>
      </c>
      <c r="G256" s="1">
        <v>3202</v>
      </c>
      <c r="H256">
        <v>24</v>
      </c>
      <c r="I256" t="b">
        <f>AND(COUNTIF(CO!A:A,A256)&gt;0,COUNTIF('NO2'!A:A,A256)&gt;0,COUNTIF('O3'!A:A,A256)&gt;0,COUNTIF('PM2.5'!A:A,A256)&gt;0,COUNTIF('SO2'!A:A,A256)&gt;0,COUNTIF(Kendaraan!A:A,A256)&gt;0)</f>
        <v>1</v>
      </c>
    </row>
    <row r="257" spans="1:9" x14ac:dyDescent="0.45">
      <c r="A257" s="4">
        <v>45642</v>
      </c>
      <c r="B257" t="s">
        <v>1818</v>
      </c>
      <c r="C257" t="s">
        <v>1146</v>
      </c>
      <c r="D257" t="s">
        <v>3212</v>
      </c>
      <c r="E257" t="s">
        <v>1744</v>
      </c>
      <c r="F257" t="s">
        <v>1069</v>
      </c>
      <c r="G257" s="1">
        <v>1719</v>
      </c>
      <c r="H257">
        <v>24</v>
      </c>
      <c r="I257" t="b">
        <f>AND(COUNTIF(CO!A:A,A257)&gt;0,COUNTIF('NO2'!A:A,A257)&gt;0,COUNTIF('O3'!A:A,A257)&gt;0,COUNTIF('PM2.5'!A:A,A257)&gt;0,COUNTIF('SO2'!A:A,A257)&gt;0,COUNTIF(Kendaraan!A:A,A257)&gt;0)</f>
        <v>1</v>
      </c>
    </row>
    <row r="258" spans="1:9" x14ac:dyDescent="0.45">
      <c r="A258" s="4">
        <v>45643</v>
      </c>
      <c r="B258" t="s">
        <v>1324</v>
      </c>
      <c r="C258" t="s">
        <v>1128</v>
      </c>
      <c r="D258" t="s">
        <v>2743</v>
      </c>
      <c r="E258" t="s">
        <v>3212</v>
      </c>
      <c r="F258" t="s">
        <v>1295</v>
      </c>
      <c r="G258" s="1">
        <v>1034</v>
      </c>
      <c r="H258">
        <v>20</v>
      </c>
      <c r="I258" t="b">
        <f>AND(COUNTIF(CO!A:A,A258)&gt;0,COUNTIF('NO2'!A:A,A258)&gt;0,COUNTIF('O3'!A:A,A258)&gt;0,COUNTIF('PM2.5'!A:A,A258)&gt;0,COUNTIF('SO2'!A:A,A258)&gt;0,COUNTIF(Kendaraan!A:A,A258)&gt;0)</f>
        <v>1</v>
      </c>
    </row>
    <row r="259" spans="1:9" x14ac:dyDescent="0.45">
      <c r="A259" s="4">
        <v>45644</v>
      </c>
      <c r="B259" t="s">
        <v>3457</v>
      </c>
      <c r="C259" t="s">
        <v>1787</v>
      </c>
      <c r="D259" t="s">
        <v>726</v>
      </c>
      <c r="E259" t="s">
        <v>3458</v>
      </c>
      <c r="F259" t="s">
        <v>1293</v>
      </c>
      <c r="G259" s="1">
        <v>1177</v>
      </c>
      <c r="H259">
        <v>22</v>
      </c>
      <c r="I259" t="b">
        <f>AND(COUNTIF(CO!A:A,A259)&gt;0,COUNTIF('NO2'!A:A,A259)&gt;0,COUNTIF('O3'!A:A,A259)&gt;0,COUNTIF('PM2.5'!A:A,A259)&gt;0,COUNTIF('SO2'!A:A,A259)&gt;0,COUNTIF(Kendaraan!A:A,A259)&gt;0)</f>
        <v>1</v>
      </c>
    </row>
    <row r="260" spans="1:9" x14ac:dyDescent="0.45">
      <c r="A260" s="4">
        <v>45645</v>
      </c>
      <c r="B260" t="s">
        <v>1288</v>
      </c>
      <c r="C260" t="s">
        <v>1305</v>
      </c>
      <c r="D260" t="s">
        <v>1954</v>
      </c>
      <c r="E260" t="s">
        <v>1911</v>
      </c>
      <c r="F260" t="s">
        <v>365</v>
      </c>
      <c r="G260" t="s">
        <v>3227</v>
      </c>
      <c r="H260">
        <v>24</v>
      </c>
      <c r="I260" t="b">
        <f>AND(COUNTIF(CO!A:A,A260)&gt;0,COUNTIF('NO2'!A:A,A260)&gt;0,COUNTIF('O3'!A:A,A260)&gt;0,COUNTIF('PM2.5'!A:A,A260)&gt;0,COUNTIF('SO2'!A:A,A260)&gt;0,COUNTIF(Kendaraan!A:A,A260)&gt;0)</f>
        <v>1</v>
      </c>
    </row>
    <row r="261" spans="1:9" x14ac:dyDescent="0.45">
      <c r="A261" s="4">
        <v>45646</v>
      </c>
      <c r="B261" t="s">
        <v>1889</v>
      </c>
      <c r="C261" t="s">
        <v>2740</v>
      </c>
      <c r="D261" t="s">
        <v>1316</v>
      </c>
      <c r="E261" t="s">
        <v>1927</v>
      </c>
      <c r="F261" t="s">
        <v>3045</v>
      </c>
      <c r="G261" t="s">
        <v>651</v>
      </c>
      <c r="H261">
        <v>24</v>
      </c>
      <c r="I261" t="b">
        <f>AND(COUNTIF(CO!A:A,A261)&gt;0,COUNTIF('NO2'!A:A,A261)&gt;0,COUNTIF('O3'!A:A,A261)&gt;0,COUNTIF('PM2.5'!A:A,A261)&gt;0,COUNTIF('SO2'!A:A,A261)&gt;0,COUNTIF(Kendaraan!A:A,A261)&gt;0)</f>
        <v>1</v>
      </c>
    </row>
    <row r="262" spans="1:9" x14ac:dyDescent="0.45">
      <c r="A262" s="4">
        <v>45647</v>
      </c>
      <c r="B262" t="s">
        <v>1848</v>
      </c>
      <c r="C262" t="s">
        <v>3459</v>
      </c>
      <c r="D262" t="s">
        <v>502</v>
      </c>
      <c r="E262" t="s">
        <v>880</v>
      </c>
      <c r="F262" t="s">
        <v>3460</v>
      </c>
      <c r="G262" s="1">
        <v>3875</v>
      </c>
      <c r="H262">
        <v>24</v>
      </c>
      <c r="I262" t="b">
        <f>AND(COUNTIF(CO!A:A,A262)&gt;0,COUNTIF('NO2'!A:A,A262)&gt;0,COUNTIF('O3'!A:A,A262)&gt;0,COUNTIF('PM2.5'!A:A,A262)&gt;0,COUNTIF('SO2'!A:A,A262)&gt;0,COUNTIF(Kendaraan!A:A,A262)&gt;0)</f>
        <v>1</v>
      </c>
    </row>
    <row r="263" spans="1:9" x14ac:dyDescent="0.45">
      <c r="A263" s="4">
        <v>45648</v>
      </c>
      <c r="B263" t="s">
        <v>1472</v>
      </c>
      <c r="C263" t="s">
        <v>2819</v>
      </c>
      <c r="D263" t="s">
        <v>3461</v>
      </c>
      <c r="E263" t="s">
        <v>1489</v>
      </c>
      <c r="F263" t="s">
        <v>635</v>
      </c>
      <c r="G263" s="1">
        <v>2449</v>
      </c>
      <c r="H263">
        <v>24</v>
      </c>
      <c r="I263" t="b">
        <f>AND(COUNTIF(CO!A:A,A263)&gt;0,COUNTIF('NO2'!A:A,A263)&gt;0,COUNTIF('O3'!A:A,A263)&gt;0,COUNTIF('PM2.5'!A:A,A263)&gt;0,COUNTIF('SO2'!A:A,A263)&gt;0,COUNTIF(Kendaraan!A:A,A263)&gt;0)</f>
        <v>1</v>
      </c>
    </row>
    <row r="264" spans="1:9" x14ac:dyDescent="0.45">
      <c r="A264" s="4">
        <v>45649</v>
      </c>
      <c r="B264">
        <v>20</v>
      </c>
      <c r="C264" t="s">
        <v>1265</v>
      </c>
      <c r="D264" t="s">
        <v>1483</v>
      </c>
      <c r="E264" t="s">
        <v>1267</v>
      </c>
      <c r="F264" t="s">
        <v>1570</v>
      </c>
      <c r="G264" t="s">
        <v>3462</v>
      </c>
      <c r="H264">
        <v>24</v>
      </c>
      <c r="I264" t="b">
        <f>AND(COUNTIF(CO!A:A,A264)&gt;0,COUNTIF('NO2'!A:A,A264)&gt;0,COUNTIF('O3'!A:A,A264)&gt;0,COUNTIF('PM2.5'!A:A,A264)&gt;0,COUNTIF('SO2'!A:A,A264)&gt;0,COUNTIF(Kendaraan!A:A,A264)&gt;0)</f>
        <v>1</v>
      </c>
    </row>
    <row r="265" spans="1:9" x14ac:dyDescent="0.45">
      <c r="A265" s="4">
        <v>45650</v>
      </c>
      <c r="B265" t="s">
        <v>1338</v>
      </c>
      <c r="C265" t="s">
        <v>3463</v>
      </c>
      <c r="D265" t="s">
        <v>3381</v>
      </c>
      <c r="E265" t="s">
        <v>1744</v>
      </c>
      <c r="F265" t="s">
        <v>1843</v>
      </c>
      <c r="G265" t="s">
        <v>218</v>
      </c>
      <c r="H265">
        <v>24</v>
      </c>
      <c r="I265" t="b">
        <f>AND(COUNTIF(CO!A:A,A265)&gt;0,COUNTIF('NO2'!A:A,A265)&gt;0,COUNTIF('O3'!A:A,A265)&gt;0,COUNTIF('PM2.5'!A:A,A265)&gt;0,COUNTIF('SO2'!A:A,A265)&gt;0,COUNTIF(Kendaraan!A:A,A265)&gt;0)</f>
        <v>1</v>
      </c>
    </row>
    <row r="266" spans="1:9" x14ac:dyDescent="0.45">
      <c r="A266" s="4">
        <v>45651</v>
      </c>
      <c r="B266" t="s">
        <v>1845</v>
      </c>
      <c r="C266" t="s">
        <v>1074</v>
      </c>
      <c r="D266" t="s">
        <v>2605</v>
      </c>
      <c r="E266" t="s">
        <v>2735</v>
      </c>
      <c r="F266" t="s">
        <v>1138</v>
      </c>
      <c r="G266" t="s">
        <v>2342</v>
      </c>
      <c r="H266">
        <v>19</v>
      </c>
      <c r="I266" t="b">
        <f>AND(COUNTIF(CO!A:A,A266)&gt;0,COUNTIF('NO2'!A:A,A266)&gt;0,COUNTIF('O3'!A:A,A266)&gt;0,COUNTIF('PM2.5'!A:A,A266)&gt;0,COUNTIF('SO2'!A:A,A266)&gt;0,COUNTIF(Kendaraan!A:A,A266)&gt;0)</f>
        <v>1</v>
      </c>
    </row>
    <row r="267" spans="1:9" x14ac:dyDescent="0.45">
      <c r="A267" s="4">
        <v>45657</v>
      </c>
      <c r="B267">
        <v>15</v>
      </c>
      <c r="C267" t="s">
        <v>1171</v>
      </c>
      <c r="D267" t="s">
        <v>3464</v>
      </c>
      <c r="E267" t="s">
        <v>2757</v>
      </c>
      <c r="F267" t="s">
        <v>2737</v>
      </c>
      <c r="G267" t="s">
        <v>2127</v>
      </c>
      <c r="H267">
        <v>4</v>
      </c>
      <c r="I267" t="b">
        <f>AND(COUNTIF(CO!A:A,A267)&gt;0,COUNTIF('NO2'!A:A,A267)&gt;0,COUNTIF('O3'!A:A,A267)&gt;0,COUNTIF('PM2.5'!A:A,A267)&gt;0,COUNTIF('SO2'!A:A,A267)&gt;0,COUNTIF(Kendaraan!A:A,A267)&gt;0)</f>
        <v>1</v>
      </c>
    </row>
    <row r="268" spans="1:9" x14ac:dyDescent="0.45">
      <c r="A268" s="4">
        <v>45658</v>
      </c>
      <c r="B268" t="s">
        <v>2397</v>
      </c>
      <c r="C268" t="s">
        <v>1074</v>
      </c>
      <c r="D268" t="s">
        <v>1845</v>
      </c>
      <c r="E268" t="s">
        <v>1927</v>
      </c>
      <c r="F268" t="s">
        <v>693</v>
      </c>
      <c r="G268" t="s">
        <v>3465</v>
      </c>
      <c r="H268">
        <v>24</v>
      </c>
      <c r="I268" t="b">
        <f>AND(COUNTIF(CO!A:A,A268)&gt;0,COUNTIF('NO2'!A:A,A268)&gt;0,COUNTIF('O3'!A:A,A268)&gt;0,COUNTIF('PM2.5'!A:A,A268)&gt;0,COUNTIF('SO2'!A:A,A268)&gt;0,COUNTIF(Kendaraan!A:A,A268)&gt;0)</f>
        <v>1</v>
      </c>
    </row>
    <row r="269" spans="1:9" x14ac:dyDescent="0.45">
      <c r="A269" s="4">
        <v>45659</v>
      </c>
      <c r="B269" t="s">
        <v>1494</v>
      </c>
      <c r="C269" t="s">
        <v>1219</v>
      </c>
      <c r="D269" t="s">
        <v>1805</v>
      </c>
      <c r="E269" t="s">
        <v>3237</v>
      </c>
      <c r="F269" t="s">
        <v>2945</v>
      </c>
      <c r="G269" s="1">
        <v>2141</v>
      </c>
      <c r="H269">
        <v>24</v>
      </c>
      <c r="I269" t="b">
        <f>AND(COUNTIF(CO!A:A,A269)&gt;0,COUNTIF('NO2'!A:A,A269)&gt;0,COUNTIF('O3'!A:A,A269)&gt;0,COUNTIF('PM2.5'!A:A,A269)&gt;0,COUNTIF('SO2'!A:A,A269)&gt;0,COUNTIF(Kendaraan!A:A,A269)&gt;0)</f>
        <v>1</v>
      </c>
    </row>
    <row r="270" spans="1:9" x14ac:dyDescent="0.45">
      <c r="A270" s="4">
        <v>45660</v>
      </c>
      <c r="B270" t="s">
        <v>3149</v>
      </c>
      <c r="C270" t="s">
        <v>1994</v>
      </c>
      <c r="D270" t="s">
        <v>869</v>
      </c>
      <c r="E270" t="s">
        <v>2793</v>
      </c>
      <c r="F270" t="s">
        <v>1572</v>
      </c>
      <c r="G270" s="1">
        <v>1071</v>
      </c>
      <c r="H270">
        <v>24</v>
      </c>
      <c r="I270" t="b">
        <f>AND(COUNTIF(CO!A:A,A270)&gt;0,COUNTIF('NO2'!A:A,A270)&gt;0,COUNTIF('O3'!A:A,A270)&gt;0,COUNTIF('PM2.5'!A:A,A270)&gt;0,COUNTIF('SO2'!A:A,A270)&gt;0,COUNTIF(Kendaraan!A:A,A270)&gt;0)</f>
        <v>1</v>
      </c>
    </row>
    <row r="271" spans="1:9" x14ac:dyDescent="0.45">
      <c r="A271" s="4">
        <v>45661</v>
      </c>
      <c r="B271" t="s">
        <v>1702</v>
      </c>
      <c r="C271" t="s">
        <v>2003</v>
      </c>
      <c r="D271" t="s">
        <v>2407</v>
      </c>
      <c r="E271" t="s">
        <v>1379</v>
      </c>
      <c r="F271" t="s">
        <v>1148</v>
      </c>
      <c r="G271" s="1">
        <v>2197</v>
      </c>
      <c r="H271">
        <v>24</v>
      </c>
      <c r="I271" t="b">
        <f>AND(COUNTIF(CO!A:A,A271)&gt;0,COUNTIF('NO2'!A:A,A271)&gt;0,COUNTIF('O3'!A:A,A271)&gt;0,COUNTIF('PM2.5'!A:A,A271)&gt;0,COUNTIF('SO2'!A:A,A271)&gt;0,COUNTIF(Kendaraan!A:A,A271)&gt;0)</f>
        <v>1</v>
      </c>
    </row>
    <row r="272" spans="1:9" x14ac:dyDescent="0.45">
      <c r="A272" s="4">
        <v>45662</v>
      </c>
      <c r="B272" t="s">
        <v>1922</v>
      </c>
      <c r="C272" t="s">
        <v>952</v>
      </c>
      <c r="D272" t="s">
        <v>1690</v>
      </c>
      <c r="E272" t="s">
        <v>1748</v>
      </c>
      <c r="F272" t="s">
        <v>1706</v>
      </c>
      <c r="G272" t="s">
        <v>126</v>
      </c>
      <c r="H272">
        <v>24</v>
      </c>
      <c r="I272" t="b">
        <f>AND(COUNTIF(CO!A:A,A272)&gt;0,COUNTIF('NO2'!A:A,A272)&gt;0,COUNTIF('O3'!A:A,A272)&gt;0,COUNTIF('PM2.5'!A:A,A272)&gt;0,COUNTIF('SO2'!A:A,A272)&gt;0,COUNTIF(Kendaraan!A:A,A272)&gt;0)</f>
        <v>1</v>
      </c>
    </row>
    <row r="273" spans="1:9" x14ac:dyDescent="0.45">
      <c r="A273" s="4">
        <v>45663</v>
      </c>
      <c r="B273" t="s">
        <v>702</v>
      </c>
      <c r="C273" t="s">
        <v>1290</v>
      </c>
      <c r="D273" t="s">
        <v>1049</v>
      </c>
      <c r="E273" t="s">
        <v>945</v>
      </c>
      <c r="F273" t="s">
        <v>1280</v>
      </c>
      <c r="G273" t="s">
        <v>1905</v>
      </c>
      <c r="H273">
        <v>24</v>
      </c>
      <c r="I273" t="b">
        <f>AND(COUNTIF(CO!A:A,A273)&gt;0,COUNTIF('NO2'!A:A,A273)&gt;0,COUNTIF('O3'!A:A,A273)&gt;0,COUNTIF('PM2.5'!A:A,A273)&gt;0,COUNTIF('SO2'!A:A,A273)&gt;0,COUNTIF(Kendaraan!A:A,A273)&gt;0)</f>
        <v>1</v>
      </c>
    </row>
    <row r="274" spans="1:9" x14ac:dyDescent="0.45">
      <c r="A274" s="4">
        <v>45664</v>
      </c>
      <c r="B274" t="s">
        <v>2713</v>
      </c>
      <c r="C274" t="s">
        <v>2949</v>
      </c>
      <c r="D274" t="s">
        <v>1380</v>
      </c>
      <c r="E274" t="s">
        <v>1815</v>
      </c>
      <c r="F274" t="s">
        <v>2756</v>
      </c>
      <c r="G274" s="1">
        <v>3206</v>
      </c>
      <c r="H274">
        <v>24</v>
      </c>
      <c r="I274" t="b">
        <f>AND(COUNTIF(CO!A:A,A274)&gt;0,COUNTIF('NO2'!A:A,A274)&gt;0,COUNTIF('O3'!A:A,A274)&gt;0,COUNTIF('PM2.5'!A:A,A274)&gt;0,COUNTIF('SO2'!A:A,A274)&gt;0,COUNTIF(Kendaraan!A:A,A274)&gt;0)</f>
        <v>1</v>
      </c>
    </row>
    <row r="275" spans="1:9" x14ac:dyDescent="0.45">
      <c r="A275" s="4">
        <v>45665</v>
      </c>
      <c r="B275" t="s">
        <v>1170</v>
      </c>
      <c r="C275" t="s">
        <v>1404</v>
      </c>
      <c r="D275" t="s">
        <v>3466</v>
      </c>
      <c r="E275" t="s">
        <v>3467</v>
      </c>
      <c r="F275" t="s">
        <v>3468</v>
      </c>
      <c r="G275" s="1">
        <v>2407</v>
      </c>
      <c r="H275">
        <v>24</v>
      </c>
      <c r="I275" t="b">
        <f>AND(COUNTIF(CO!A:A,A275)&gt;0,COUNTIF('NO2'!A:A,A275)&gt;0,COUNTIF('O3'!A:A,A275)&gt;0,COUNTIF('PM2.5'!A:A,A275)&gt;0,COUNTIF('SO2'!A:A,A275)&gt;0,COUNTIF(Kendaraan!A:A,A275)&gt;0)</f>
        <v>1</v>
      </c>
    </row>
    <row r="276" spans="1:9" x14ac:dyDescent="0.45">
      <c r="A276" s="4">
        <v>45666</v>
      </c>
      <c r="B276" t="s">
        <v>344</v>
      </c>
      <c r="C276" t="s">
        <v>879</v>
      </c>
      <c r="D276" t="s">
        <v>3169</v>
      </c>
      <c r="E276" t="s">
        <v>3469</v>
      </c>
      <c r="F276" t="s">
        <v>3470</v>
      </c>
      <c r="G276" s="1">
        <v>1456</v>
      </c>
      <c r="H276">
        <v>24</v>
      </c>
      <c r="I276" t="b">
        <f>AND(COUNTIF(CO!A:A,A276)&gt;0,COUNTIF('NO2'!A:A,A276)&gt;0,COUNTIF('O3'!A:A,A276)&gt;0,COUNTIF('PM2.5'!A:A,A276)&gt;0,COUNTIF('SO2'!A:A,A276)&gt;0,COUNTIF(Kendaraan!A:A,A276)&gt;0)</f>
        <v>1</v>
      </c>
    </row>
    <row r="277" spans="1:9" x14ac:dyDescent="0.45">
      <c r="A277" s="4">
        <v>45667</v>
      </c>
      <c r="B277" t="s">
        <v>1095</v>
      </c>
      <c r="C277" t="s">
        <v>3145</v>
      </c>
      <c r="D277" t="s">
        <v>2762</v>
      </c>
      <c r="E277" t="s">
        <v>932</v>
      </c>
      <c r="F277" t="s">
        <v>1197</v>
      </c>
      <c r="G277" s="1">
        <v>1144</v>
      </c>
      <c r="H277">
        <v>24</v>
      </c>
      <c r="I277" t="b">
        <f>AND(COUNTIF(CO!A:A,A277)&gt;0,COUNTIF('NO2'!A:A,A277)&gt;0,COUNTIF('O3'!A:A,A277)&gt;0,COUNTIF('PM2.5'!A:A,A277)&gt;0,COUNTIF('SO2'!A:A,A277)&gt;0,COUNTIF(Kendaraan!A:A,A277)&gt;0)</f>
        <v>1</v>
      </c>
    </row>
    <row r="278" spans="1:9" x14ac:dyDescent="0.45">
      <c r="A278" s="4">
        <v>45668</v>
      </c>
      <c r="B278" t="s">
        <v>3164</v>
      </c>
      <c r="C278" t="s">
        <v>2601</v>
      </c>
      <c r="D278" t="s">
        <v>1880</v>
      </c>
      <c r="E278" t="s">
        <v>1836</v>
      </c>
      <c r="F278" t="s">
        <v>1777</v>
      </c>
      <c r="G278" s="1">
        <v>1446</v>
      </c>
      <c r="H278">
        <v>24</v>
      </c>
      <c r="I278" t="b">
        <f>AND(COUNTIF(CO!A:A,A278)&gt;0,COUNTIF('NO2'!A:A,A278)&gt;0,COUNTIF('O3'!A:A,A278)&gt;0,COUNTIF('PM2.5'!A:A,A278)&gt;0,COUNTIF('SO2'!A:A,A278)&gt;0,COUNTIF(Kendaraan!A:A,A278)&gt;0)</f>
        <v>1</v>
      </c>
    </row>
    <row r="279" spans="1:9" x14ac:dyDescent="0.45">
      <c r="A279" s="4">
        <v>45669</v>
      </c>
      <c r="B279" t="s">
        <v>3471</v>
      </c>
      <c r="C279" t="s">
        <v>1977</v>
      </c>
      <c r="D279" t="s">
        <v>1649</v>
      </c>
      <c r="E279" t="s">
        <v>705</v>
      </c>
      <c r="F279" t="s">
        <v>1373</v>
      </c>
      <c r="G279" s="1">
        <v>3324</v>
      </c>
      <c r="H279">
        <v>24</v>
      </c>
      <c r="I279" t="b">
        <f>AND(COUNTIF(CO!A:A,A279)&gt;0,COUNTIF('NO2'!A:A,A279)&gt;0,COUNTIF('O3'!A:A,A279)&gt;0,COUNTIF('PM2.5'!A:A,A279)&gt;0,COUNTIF('SO2'!A:A,A279)&gt;0,COUNTIF(Kendaraan!A:A,A279)&gt;0)</f>
        <v>1</v>
      </c>
    </row>
    <row r="280" spans="1:9" x14ac:dyDescent="0.45">
      <c r="A280" s="4">
        <v>45670</v>
      </c>
      <c r="B280" t="s">
        <v>3472</v>
      </c>
      <c r="C280" t="s">
        <v>1842</v>
      </c>
      <c r="D280" t="s">
        <v>1803</v>
      </c>
      <c r="E280" t="s">
        <v>3473</v>
      </c>
      <c r="F280" t="s">
        <v>1782</v>
      </c>
      <c r="G280" t="s">
        <v>3474</v>
      </c>
      <c r="H280">
        <v>23</v>
      </c>
      <c r="I280" t="b">
        <f>AND(COUNTIF(CO!A:A,A280)&gt;0,COUNTIF('NO2'!A:A,A280)&gt;0,COUNTIF('O3'!A:A,A280)&gt;0,COUNTIF('PM2.5'!A:A,A280)&gt;0,COUNTIF('SO2'!A:A,A280)&gt;0,COUNTIF(Kendaraan!A:A,A280)&gt;0)</f>
        <v>1</v>
      </c>
    </row>
    <row r="281" spans="1:9" x14ac:dyDescent="0.45">
      <c r="A281" s="4">
        <v>45671</v>
      </c>
      <c r="B281" t="s">
        <v>1373</v>
      </c>
      <c r="C281" t="s">
        <v>1935</v>
      </c>
      <c r="D281" t="s">
        <v>352</v>
      </c>
      <c r="E281" t="s">
        <v>1495</v>
      </c>
      <c r="F281" t="s">
        <v>1510</v>
      </c>
      <c r="G281" t="s">
        <v>114</v>
      </c>
      <c r="H281">
        <v>18</v>
      </c>
      <c r="I281" t="b">
        <f>AND(COUNTIF(CO!A:A,A281)&gt;0,COUNTIF('NO2'!A:A,A281)&gt;0,COUNTIF('O3'!A:A,A281)&gt;0,COUNTIF('PM2.5'!A:A,A281)&gt;0,COUNTIF('SO2'!A:A,A281)&gt;0,COUNTIF(Kendaraan!A:A,A281)&gt;0)</f>
        <v>1</v>
      </c>
    </row>
    <row r="282" spans="1:9" x14ac:dyDescent="0.45">
      <c r="A282" s="4">
        <v>45672</v>
      </c>
      <c r="B282" t="s">
        <v>1321</v>
      </c>
      <c r="C282" t="s">
        <v>2058</v>
      </c>
      <c r="D282" t="s">
        <v>2786</v>
      </c>
      <c r="E282" t="s">
        <v>1734</v>
      </c>
      <c r="F282" t="s">
        <v>939</v>
      </c>
      <c r="G282" s="1">
        <v>1586</v>
      </c>
      <c r="H282">
        <v>24</v>
      </c>
      <c r="I282" t="b">
        <f>AND(COUNTIF(CO!A:A,A282)&gt;0,COUNTIF('NO2'!A:A,A282)&gt;0,COUNTIF('O3'!A:A,A282)&gt;0,COUNTIF('PM2.5'!A:A,A282)&gt;0,COUNTIF('SO2'!A:A,A282)&gt;0,COUNTIF(Kendaraan!A:A,A282)&gt;0)</f>
        <v>1</v>
      </c>
    </row>
    <row r="283" spans="1:9" x14ac:dyDescent="0.45">
      <c r="A283" s="4">
        <v>45673</v>
      </c>
      <c r="B283" t="s">
        <v>922</v>
      </c>
      <c r="C283" t="s">
        <v>1416</v>
      </c>
      <c r="D283" t="s">
        <v>3475</v>
      </c>
      <c r="E283" t="s">
        <v>1389</v>
      </c>
      <c r="F283" t="s">
        <v>3410</v>
      </c>
      <c r="G283" t="s">
        <v>268</v>
      </c>
      <c r="H283">
        <v>24</v>
      </c>
      <c r="I283" t="b">
        <f>AND(COUNTIF(CO!A:A,A283)&gt;0,COUNTIF('NO2'!A:A,A283)&gt;0,COUNTIF('O3'!A:A,A283)&gt;0,COUNTIF('PM2.5'!A:A,A283)&gt;0,COUNTIF('SO2'!A:A,A283)&gt;0,COUNTIF(Kendaraan!A:A,A283)&gt;0)</f>
        <v>1</v>
      </c>
    </row>
    <row r="284" spans="1:9" x14ac:dyDescent="0.45">
      <c r="A284" s="4">
        <v>45674</v>
      </c>
      <c r="B284" t="s">
        <v>1335</v>
      </c>
      <c r="C284" t="s">
        <v>1320</v>
      </c>
      <c r="D284" t="s">
        <v>1761</v>
      </c>
      <c r="E284" t="s">
        <v>1730</v>
      </c>
      <c r="F284" t="s">
        <v>1088</v>
      </c>
      <c r="G284" s="1">
        <v>1068</v>
      </c>
      <c r="H284">
        <v>24</v>
      </c>
      <c r="I284" t="b">
        <f>AND(COUNTIF(CO!A:A,A284)&gt;0,COUNTIF('NO2'!A:A,A284)&gt;0,COUNTIF('O3'!A:A,A284)&gt;0,COUNTIF('PM2.5'!A:A,A284)&gt;0,COUNTIF('SO2'!A:A,A284)&gt;0,COUNTIF(Kendaraan!A:A,A284)&gt;0)</f>
        <v>1</v>
      </c>
    </row>
    <row r="285" spans="1:9" x14ac:dyDescent="0.45">
      <c r="A285" s="4">
        <v>45675</v>
      </c>
      <c r="B285" t="s">
        <v>1086</v>
      </c>
      <c r="C285" t="s">
        <v>867</v>
      </c>
      <c r="D285" t="s">
        <v>2382</v>
      </c>
      <c r="E285" t="s">
        <v>1443</v>
      </c>
      <c r="F285" t="s">
        <v>3476</v>
      </c>
      <c r="G285" s="1">
        <v>1551</v>
      </c>
      <c r="H285">
        <v>24</v>
      </c>
      <c r="I285" t="b">
        <f>AND(COUNTIF(CO!A:A,A285)&gt;0,COUNTIF('NO2'!A:A,A285)&gt;0,COUNTIF('O3'!A:A,A285)&gt;0,COUNTIF('PM2.5'!A:A,A285)&gt;0,COUNTIF('SO2'!A:A,A285)&gt;0,COUNTIF(Kendaraan!A:A,A285)&gt;0)</f>
        <v>1</v>
      </c>
    </row>
    <row r="286" spans="1:9" x14ac:dyDescent="0.45">
      <c r="A286" s="4">
        <v>45676</v>
      </c>
      <c r="B286" t="s">
        <v>1051</v>
      </c>
      <c r="C286" t="s">
        <v>1435</v>
      </c>
      <c r="D286" t="s">
        <v>1170</v>
      </c>
      <c r="E286" t="s">
        <v>1356</v>
      </c>
      <c r="F286" t="s">
        <v>1176</v>
      </c>
      <c r="G286" s="1">
        <v>2735</v>
      </c>
      <c r="H286">
        <v>24</v>
      </c>
      <c r="I286" t="b">
        <f>AND(COUNTIF(CO!A:A,A286)&gt;0,COUNTIF('NO2'!A:A,A286)&gt;0,COUNTIF('O3'!A:A,A286)&gt;0,COUNTIF('PM2.5'!A:A,A286)&gt;0,COUNTIF('SO2'!A:A,A286)&gt;0,COUNTIF(Kendaraan!A:A,A286)&gt;0)</f>
        <v>1</v>
      </c>
    </row>
    <row r="287" spans="1:9" x14ac:dyDescent="0.45">
      <c r="A287" s="4">
        <v>45677</v>
      </c>
      <c r="B287" t="s">
        <v>1802</v>
      </c>
      <c r="C287" t="s">
        <v>1059</v>
      </c>
      <c r="D287" t="s">
        <v>1982</v>
      </c>
      <c r="E287" t="s">
        <v>1704</v>
      </c>
      <c r="F287" t="s">
        <v>3477</v>
      </c>
      <c r="G287" t="s">
        <v>3478</v>
      </c>
      <c r="H287">
        <v>24</v>
      </c>
      <c r="I287" t="b">
        <f>AND(COUNTIF(CO!A:A,A287)&gt;0,COUNTIF('NO2'!A:A,A287)&gt;0,COUNTIF('O3'!A:A,A287)&gt;0,COUNTIF('PM2.5'!A:A,A287)&gt;0,COUNTIF('SO2'!A:A,A287)&gt;0,COUNTIF(Kendaraan!A:A,A287)&gt;0)</f>
        <v>1</v>
      </c>
    </row>
    <row r="288" spans="1:9" x14ac:dyDescent="0.45">
      <c r="A288" s="4">
        <v>45678</v>
      </c>
      <c r="B288" t="s">
        <v>725</v>
      </c>
      <c r="C288" t="s">
        <v>3076</v>
      </c>
      <c r="D288" t="s">
        <v>3479</v>
      </c>
      <c r="E288" t="s">
        <v>1059</v>
      </c>
      <c r="F288" t="s">
        <v>3080</v>
      </c>
      <c r="G288" t="s">
        <v>3480</v>
      </c>
      <c r="H288">
        <v>24</v>
      </c>
      <c r="I288" t="b">
        <f>AND(COUNTIF(CO!A:A,A288)&gt;0,COUNTIF('NO2'!A:A,A288)&gt;0,COUNTIF('O3'!A:A,A288)&gt;0,COUNTIF('PM2.5'!A:A,A288)&gt;0,COUNTIF('SO2'!A:A,A288)&gt;0,COUNTIF(Kendaraan!A:A,A288)&gt;0)</f>
        <v>1</v>
      </c>
    </row>
    <row r="289" spans="1:9" x14ac:dyDescent="0.45">
      <c r="A289" s="4">
        <v>45679</v>
      </c>
      <c r="B289" t="s">
        <v>727</v>
      </c>
      <c r="C289" t="s">
        <v>936</v>
      </c>
      <c r="D289" t="s">
        <v>1668</v>
      </c>
      <c r="E289" t="s">
        <v>1052</v>
      </c>
      <c r="F289" t="s">
        <v>1086</v>
      </c>
      <c r="G289" s="1">
        <v>2714</v>
      </c>
      <c r="H289">
        <v>24</v>
      </c>
      <c r="I289" t="b">
        <f>AND(COUNTIF(CO!A:A,A289)&gt;0,COUNTIF('NO2'!A:A,A289)&gt;0,COUNTIF('O3'!A:A,A289)&gt;0,COUNTIF('PM2.5'!A:A,A289)&gt;0,COUNTIF('SO2'!A:A,A289)&gt;0,COUNTIF(Kendaraan!A:A,A289)&gt;0)</f>
        <v>1</v>
      </c>
    </row>
    <row r="290" spans="1:9" x14ac:dyDescent="0.45">
      <c r="A290" s="4">
        <v>45680</v>
      </c>
      <c r="B290" t="s">
        <v>696</v>
      </c>
      <c r="C290">
        <v>17</v>
      </c>
      <c r="D290" t="s">
        <v>1371</v>
      </c>
      <c r="E290" t="s">
        <v>1379</v>
      </c>
      <c r="F290" t="s">
        <v>2764</v>
      </c>
      <c r="G290" s="1">
        <v>1344</v>
      </c>
      <c r="H290">
        <v>24</v>
      </c>
      <c r="I290" t="b">
        <f>AND(COUNTIF(CO!A:A,A290)&gt;0,COUNTIF('NO2'!A:A,A290)&gt;0,COUNTIF('O3'!A:A,A290)&gt;0,COUNTIF('PM2.5'!A:A,A290)&gt;0,COUNTIF('SO2'!A:A,A290)&gt;0,COUNTIF(Kendaraan!A:A,A290)&gt;0)</f>
        <v>1</v>
      </c>
    </row>
    <row r="291" spans="1:9" x14ac:dyDescent="0.45">
      <c r="A291" s="4">
        <v>45681</v>
      </c>
      <c r="B291" t="s">
        <v>1085</v>
      </c>
      <c r="C291" t="s">
        <v>1230</v>
      </c>
      <c r="D291" t="s">
        <v>3481</v>
      </c>
      <c r="E291" t="s">
        <v>1071</v>
      </c>
      <c r="F291" t="s">
        <v>3405</v>
      </c>
      <c r="G291" s="1">
        <v>1343</v>
      </c>
      <c r="H291">
        <v>24</v>
      </c>
      <c r="I291" t="b">
        <f>AND(COUNTIF(CO!A:A,A291)&gt;0,COUNTIF('NO2'!A:A,A291)&gt;0,COUNTIF('O3'!A:A,A291)&gt;0,COUNTIF('PM2.5'!A:A,A291)&gt;0,COUNTIF('SO2'!A:A,A291)&gt;0,COUNTIF(Kendaraan!A:A,A291)&gt;0)</f>
        <v>1</v>
      </c>
    </row>
    <row r="292" spans="1:9" x14ac:dyDescent="0.45">
      <c r="A292" s="4">
        <v>45682</v>
      </c>
      <c r="B292" t="s">
        <v>1790</v>
      </c>
      <c r="C292" t="s">
        <v>1187</v>
      </c>
      <c r="D292" t="s">
        <v>1326</v>
      </c>
      <c r="E292" t="s">
        <v>1347</v>
      </c>
      <c r="F292" t="s">
        <v>2397</v>
      </c>
      <c r="G292" t="s">
        <v>3482</v>
      </c>
      <c r="H292">
        <v>19</v>
      </c>
      <c r="I292" t="b">
        <f>AND(COUNTIF(CO!A:A,A292)&gt;0,COUNTIF('NO2'!A:A,A292)&gt;0,COUNTIF('O3'!A:A,A292)&gt;0,COUNTIF('PM2.5'!A:A,A292)&gt;0,COUNTIF('SO2'!A:A,A292)&gt;0,COUNTIF(Kendaraan!A:A,A292)&gt;0)</f>
        <v>1</v>
      </c>
    </row>
    <row r="293" spans="1:9" x14ac:dyDescent="0.45">
      <c r="A293" s="4">
        <v>45683</v>
      </c>
      <c r="B293" t="s">
        <v>2715</v>
      </c>
      <c r="C293" t="s">
        <v>1889</v>
      </c>
      <c r="D293" t="s">
        <v>3090</v>
      </c>
      <c r="E293" t="s">
        <v>2706</v>
      </c>
      <c r="F293" t="s">
        <v>1306</v>
      </c>
      <c r="G293" t="s">
        <v>3092</v>
      </c>
      <c r="H293">
        <v>24</v>
      </c>
      <c r="I293" t="b">
        <f>AND(COUNTIF(CO!A:A,A293)&gt;0,COUNTIF('NO2'!A:A,A293)&gt;0,COUNTIF('O3'!A:A,A293)&gt;0,COUNTIF('PM2.5'!A:A,A293)&gt;0,COUNTIF('SO2'!A:A,A293)&gt;0,COUNTIF(Kendaraan!A:A,A293)&gt;0)</f>
        <v>1</v>
      </c>
    </row>
    <row r="294" spans="1:9" x14ac:dyDescent="0.45">
      <c r="A294" s="4">
        <v>45684</v>
      </c>
      <c r="B294" t="s">
        <v>2397</v>
      </c>
      <c r="C294" t="s">
        <v>3483</v>
      </c>
      <c r="D294" t="s">
        <v>1077</v>
      </c>
      <c r="E294" t="s">
        <v>2764</v>
      </c>
      <c r="F294" t="s">
        <v>1503</v>
      </c>
      <c r="G294" s="1">
        <v>1386</v>
      </c>
      <c r="H294">
        <v>24</v>
      </c>
      <c r="I294" t="b">
        <f>AND(COUNTIF(CO!A:A,A294)&gt;0,COUNTIF('NO2'!A:A,A294)&gt;0,COUNTIF('O3'!A:A,A294)&gt;0,COUNTIF('PM2.5'!A:A,A294)&gt;0,COUNTIF('SO2'!A:A,A294)&gt;0,COUNTIF(Kendaraan!A:A,A294)&gt;0)</f>
        <v>1</v>
      </c>
    </row>
    <row r="295" spans="1:9" x14ac:dyDescent="0.45">
      <c r="A295" s="4">
        <v>45685</v>
      </c>
      <c r="B295" t="s">
        <v>1377</v>
      </c>
      <c r="C295" t="s">
        <v>900</v>
      </c>
      <c r="D295" t="s">
        <v>2738</v>
      </c>
      <c r="E295" t="s">
        <v>2960</v>
      </c>
      <c r="F295" t="s">
        <v>1231</v>
      </c>
      <c r="G295" s="1">
        <v>3944</v>
      </c>
      <c r="H295">
        <v>24</v>
      </c>
      <c r="I295" t="b">
        <f>AND(COUNTIF(CO!A:A,A295)&gt;0,COUNTIF('NO2'!A:A,A295)&gt;0,COUNTIF('O3'!A:A,A295)&gt;0,COUNTIF('PM2.5'!A:A,A295)&gt;0,COUNTIF('SO2'!A:A,A295)&gt;0,COUNTIF(Kendaraan!A:A,A295)&gt;0)</f>
        <v>1</v>
      </c>
    </row>
    <row r="296" spans="1:9" x14ac:dyDescent="0.45">
      <c r="A296" s="4">
        <v>45686</v>
      </c>
      <c r="B296">
        <v>14</v>
      </c>
      <c r="C296" t="s">
        <v>487</v>
      </c>
      <c r="D296" t="s">
        <v>3275</v>
      </c>
      <c r="E296" t="s">
        <v>1968</v>
      </c>
      <c r="F296" t="s">
        <v>3484</v>
      </c>
      <c r="G296" s="1">
        <v>4027</v>
      </c>
      <c r="H296">
        <v>24</v>
      </c>
      <c r="I296" t="b">
        <f>AND(COUNTIF(CO!A:A,A296)&gt;0,COUNTIF('NO2'!A:A,A296)&gt;0,COUNTIF('O3'!A:A,A296)&gt;0,COUNTIF('PM2.5'!A:A,A296)&gt;0,COUNTIF('SO2'!A:A,A296)&gt;0,COUNTIF(Kendaraan!A:A,A296)&gt;0)</f>
        <v>1</v>
      </c>
    </row>
    <row r="297" spans="1:9" x14ac:dyDescent="0.45">
      <c r="A297" s="4">
        <v>45687</v>
      </c>
      <c r="B297" t="s">
        <v>3485</v>
      </c>
      <c r="C297" t="s">
        <v>1322</v>
      </c>
      <c r="D297" t="s">
        <v>724</v>
      </c>
      <c r="E297" t="s">
        <v>703</v>
      </c>
      <c r="F297" t="s">
        <v>1642</v>
      </c>
      <c r="G297" s="1">
        <v>1099</v>
      </c>
      <c r="H297">
        <v>20</v>
      </c>
      <c r="I297" t="b">
        <f>AND(COUNTIF(CO!A:A,A297)&gt;0,COUNTIF('NO2'!A:A,A297)&gt;0,COUNTIF('O3'!A:A,A297)&gt;0,COUNTIF('PM2.5'!A:A,A297)&gt;0,COUNTIF('SO2'!A:A,A297)&gt;0,COUNTIF(Kendaraan!A:A,A297)&gt;0)</f>
        <v>1</v>
      </c>
    </row>
    <row r="298" spans="1:9" x14ac:dyDescent="0.45">
      <c r="A298" s="4">
        <v>45688</v>
      </c>
      <c r="B298" t="s">
        <v>1780</v>
      </c>
      <c r="C298" t="s">
        <v>3150</v>
      </c>
      <c r="D298" t="s">
        <v>1184</v>
      </c>
      <c r="E298" t="s">
        <v>2408</v>
      </c>
      <c r="F298" t="s">
        <v>1999</v>
      </c>
      <c r="G298" s="1">
        <v>2041</v>
      </c>
      <c r="H298">
        <v>24</v>
      </c>
      <c r="I298" t="b">
        <f>AND(COUNTIF(CO!A:A,A298)&gt;0,COUNTIF('NO2'!A:A,A298)&gt;0,COUNTIF('O3'!A:A,A298)&gt;0,COUNTIF('PM2.5'!A:A,A298)&gt;0,COUNTIF('SO2'!A:A,A298)&gt;0,COUNTIF(Kendaraan!A:A,A298)&gt;0)</f>
        <v>1</v>
      </c>
    </row>
    <row r="299" spans="1:9" x14ac:dyDescent="0.45">
      <c r="A299" s="4">
        <v>45689</v>
      </c>
      <c r="B299" t="s">
        <v>1095</v>
      </c>
      <c r="C299" t="s">
        <v>1107</v>
      </c>
      <c r="D299" t="s">
        <v>1084</v>
      </c>
      <c r="E299" t="s">
        <v>1092</v>
      </c>
      <c r="F299" t="s">
        <v>1128</v>
      </c>
      <c r="G299" t="s">
        <v>3486</v>
      </c>
      <c r="H299">
        <v>24</v>
      </c>
      <c r="I299" t="b">
        <f>AND(COUNTIF(CO!A:A,A299)&gt;0,COUNTIF('NO2'!A:A,A299)&gt;0,COUNTIF('O3'!A:A,A299)&gt;0,COUNTIF('PM2.5'!A:A,A299)&gt;0,COUNTIF('SO2'!A:A,A299)&gt;0,COUNTIF(Kendaraan!A:A,A299)&gt;0)</f>
        <v>1</v>
      </c>
    </row>
    <row r="300" spans="1:9" x14ac:dyDescent="0.45">
      <c r="A300" s="4">
        <v>45691</v>
      </c>
      <c r="B300" t="s">
        <v>913</v>
      </c>
      <c r="C300" t="s">
        <v>2565</v>
      </c>
      <c r="D300" t="s">
        <v>522</v>
      </c>
      <c r="E300" t="s">
        <v>515</v>
      </c>
      <c r="F300" t="s">
        <v>3487</v>
      </c>
      <c r="G300" s="1">
        <v>2025</v>
      </c>
      <c r="H300">
        <v>24</v>
      </c>
      <c r="I300" t="b">
        <f>AND(COUNTIF(CO!A:A,A300)&gt;0,COUNTIF('NO2'!A:A,A300)&gt;0,COUNTIF('O3'!A:A,A300)&gt;0,COUNTIF('PM2.5'!A:A,A300)&gt;0,COUNTIF('SO2'!A:A,A300)&gt;0,COUNTIF(Kendaraan!A:A,A300)&gt;0)</f>
        <v>1</v>
      </c>
    </row>
    <row r="301" spans="1:9" x14ac:dyDescent="0.45">
      <c r="A301" s="4">
        <v>45692</v>
      </c>
      <c r="B301" t="s">
        <v>3196</v>
      </c>
      <c r="C301" t="s">
        <v>3488</v>
      </c>
      <c r="D301" t="s">
        <v>3489</v>
      </c>
      <c r="E301" t="s">
        <v>493</v>
      </c>
      <c r="F301" t="s">
        <v>576</v>
      </c>
      <c r="G301" s="1">
        <v>1175</v>
      </c>
      <c r="H301">
        <v>24</v>
      </c>
      <c r="I301" t="b">
        <f>AND(COUNTIF(CO!A:A,A301)&gt;0,COUNTIF('NO2'!A:A,A301)&gt;0,COUNTIF('O3'!A:A,A301)&gt;0,COUNTIF('PM2.5'!A:A,A301)&gt;0,COUNTIF('SO2'!A:A,A301)&gt;0,COUNTIF(Kendaraan!A:A,A301)&gt;0)</f>
        <v>1</v>
      </c>
    </row>
    <row r="302" spans="1:9" x14ac:dyDescent="0.45">
      <c r="A302" s="4">
        <v>45693</v>
      </c>
      <c r="B302" t="s">
        <v>1792</v>
      </c>
      <c r="C302" t="s">
        <v>414</v>
      </c>
      <c r="D302" t="s">
        <v>1184</v>
      </c>
      <c r="E302" t="s">
        <v>1337</v>
      </c>
      <c r="F302" t="s">
        <v>1223</v>
      </c>
      <c r="G302" s="1">
        <v>4056</v>
      </c>
      <c r="H302">
        <v>24</v>
      </c>
      <c r="I302" t="b">
        <f>AND(COUNTIF(CO!A:A,A302)&gt;0,COUNTIF('NO2'!A:A,A302)&gt;0,COUNTIF('O3'!A:A,A302)&gt;0,COUNTIF('PM2.5'!A:A,A302)&gt;0,COUNTIF('SO2'!A:A,A302)&gt;0,COUNTIF(Kendaraan!A:A,A302)&gt;0)</f>
        <v>1</v>
      </c>
    </row>
    <row r="303" spans="1:9" x14ac:dyDescent="0.45">
      <c r="A303" s="4">
        <v>45694</v>
      </c>
      <c r="B303" t="s">
        <v>739</v>
      </c>
      <c r="C303" t="s">
        <v>1321</v>
      </c>
      <c r="D303" t="s">
        <v>3490</v>
      </c>
      <c r="E303" t="s">
        <v>1641</v>
      </c>
      <c r="F303" t="s">
        <v>2715</v>
      </c>
      <c r="G303" t="s">
        <v>3491</v>
      </c>
      <c r="H303">
        <v>24</v>
      </c>
      <c r="I303" t="b">
        <f>AND(COUNTIF(CO!A:A,A303)&gt;0,COUNTIF('NO2'!A:A,A303)&gt;0,COUNTIF('O3'!A:A,A303)&gt;0,COUNTIF('PM2.5'!A:A,A303)&gt;0,COUNTIF('SO2'!A:A,A303)&gt;0,COUNTIF(Kendaraan!A:A,A303)&gt;0)</f>
        <v>1</v>
      </c>
    </row>
    <row r="304" spans="1:9" x14ac:dyDescent="0.45">
      <c r="A304" s="4">
        <v>45695</v>
      </c>
      <c r="B304" t="s">
        <v>367</v>
      </c>
      <c r="C304" t="s">
        <v>2552</v>
      </c>
      <c r="D304" t="s">
        <v>1218</v>
      </c>
      <c r="E304" t="s">
        <v>931</v>
      </c>
      <c r="F304" t="s">
        <v>507</v>
      </c>
      <c r="G304" s="1">
        <v>4528</v>
      </c>
      <c r="H304">
        <v>24</v>
      </c>
      <c r="I304" t="b">
        <f>AND(COUNTIF(CO!A:A,A304)&gt;0,COUNTIF('NO2'!A:A,A304)&gt;0,COUNTIF('O3'!A:A,A304)&gt;0,COUNTIF('PM2.5'!A:A,A304)&gt;0,COUNTIF('SO2'!A:A,A304)&gt;0,COUNTIF(Kendaraan!A:A,A304)&gt;0)</f>
        <v>1</v>
      </c>
    </row>
    <row r="305" spans="1:9" x14ac:dyDescent="0.45">
      <c r="A305" s="4">
        <v>45696</v>
      </c>
      <c r="B305" t="s">
        <v>3250</v>
      </c>
      <c r="C305" t="s">
        <v>2796</v>
      </c>
      <c r="D305" t="s">
        <v>3492</v>
      </c>
      <c r="E305" t="s">
        <v>2044</v>
      </c>
      <c r="F305" t="s">
        <v>2863</v>
      </c>
      <c r="G305" s="1">
        <v>1065</v>
      </c>
      <c r="H305">
        <v>24</v>
      </c>
      <c r="I305" t="b">
        <f>AND(COUNTIF(CO!A:A,A305)&gt;0,COUNTIF('NO2'!A:A,A305)&gt;0,COUNTIF('O3'!A:A,A305)&gt;0,COUNTIF('PM2.5'!A:A,A305)&gt;0,COUNTIF('SO2'!A:A,A305)&gt;0,COUNTIF(Kendaraan!A:A,A305)&gt;0)</f>
        <v>1</v>
      </c>
    </row>
    <row r="306" spans="1:9" x14ac:dyDescent="0.45">
      <c r="A306" s="4">
        <v>45697</v>
      </c>
      <c r="B306" t="s">
        <v>572</v>
      </c>
      <c r="C306" t="s">
        <v>3136</v>
      </c>
      <c r="D306" t="s">
        <v>2561</v>
      </c>
      <c r="E306" t="s">
        <v>2321</v>
      </c>
      <c r="F306" t="s">
        <v>3493</v>
      </c>
      <c r="G306" t="s">
        <v>3494</v>
      </c>
      <c r="H306">
        <v>24</v>
      </c>
      <c r="I306" t="b">
        <f>AND(COUNTIF(CO!A:A,A306)&gt;0,COUNTIF('NO2'!A:A,A306)&gt;0,COUNTIF('O3'!A:A,A306)&gt;0,COUNTIF('PM2.5'!A:A,A306)&gt;0,COUNTIF('SO2'!A:A,A306)&gt;0,COUNTIF(Kendaraan!A:A,A306)&gt;0)</f>
        <v>1</v>
      </c>
    </row>
    <row r="307" spans="1:9" x14ac:dyDescent="0.45">
      <c r="A307" s="4">
        <v>45698</v>
      </c>
      <c r="B307" t="s">
        <v>591</v>
      </c>
      <c r="C307">
        <v>32</v>
      </c>
      <c r="D307" t="s">
        <v>1520</v>
      </c>
      <c r="E307" t="s">
        <v>3495</v>
      </c>
      <c r="F307" t="s">
        <v>3271</v>
      </c>
      <c r="G307" s="1">
        <v>1931</v>
      </c>
      <c r="H307">
        <v>24</v>
      </c>
      <c r="I307" t="b">
        <f>AND(COUNTIF(CO!A:A,A307)&gt;0,COUNTIF('NO2'!A:A,A307)&gt;0,COUNTIF('O3'!A:A,A307)&gt;0,COUNTIF('PM2.5'!A:A,A307)&gt;0,COUNTIF('SO2'!A:A,A307)&gt;0,COUNTIF(Kendaraan!A:A,A307)&gt;0)</f>
        <v>1</v>
      </c>
    </row>
    <row r="308" spans="1:9" x14ac:dyDescent="0.45">
      <c r="A308" s="4">
        <v>45699</v>
      </c>
      <c r="B308" t="s">
        <v>1461</v>
      </c>
      <c r="C308" t="s">
        <v>680</v>
      </c>
      <c r="D308" t="s">
        <v>1240</v>
      </c>
      <c r="E308" t="s">
        <v>2596</v>
      </c>
      <c r="F308" t="s">
        <v>863</v>
      </c>
      <c r="G308" s="1">
        <v>1289</v>
      </c>
      <c r="H308">
        <v>24</v>
      </c>
      <c r="I308" t="b">
        <f>AND(COUNTIF(CO!A:A,A308)&gt;0,COUNTIF('NO2'!A:A,A308)&gt;0,COUNTIF('O3'!A:A,A308)&gt;0,COUNTIF('PM2.5'!A:A,A308)&gt;0,COUNTIF('SO2'!A:A,A308)&gt;0,COUNTIF(Kendaraan!A:A,A308)&gt;0)</f>
        <v>1</v>
      </c>
    </row>
    <row r="309" spans="1:9" x14ac:dyDescent="0.45">
      <c r="A309" s="4">
        <v>45700</v>
      </c>
      <c r="B309" t="s">
        <v>613</v>
      </c>
      <c r="C309" t="s">
        <v>1259</v>
      </c>
      <c r="D309" t="s">
        <v>885</v>
      </c>
      <c r="E309" t="s">
        <v>1219</v>
      </c>
      <c r="F309" t="s">
        <v>1241</v>
      </c>
      <c r="G309" t="s">
        <v>628</v>
      </c>
      <c r="H309">
        <v>24</v>
      </c>
      <c r="I309" t="b">
        <f>AND(COUNTIF(CO!A:A,A309)&gt;0,COUNTIF('NO2'!A:A,A309)&gt;0,COUNTIF('O3'!A:A,A309)&gt;0,COUNTIF('PM2.5'!A:A,A309)&gt;0,COUNTIF('SO2'!A:A,A309)&gt;0,COUNTIF(Kendaraan!A:A,A309)&gt;0)</f>
        <v>1</v>
      </c>
    </row>
    <row r="310" spans="1:9" x14ac:dyDescent="0.45">
      <c r="A310" s="4">
        <v>45701</v>
      </c>
      <c r="B310" t="s">
        <v>1111</v>
      </c>
      <c r="C310" t="s">
        <v>513</v>
      </c>
      <c r="D310" t="s">
        <v>3346</v>
      </c>
      <c r="E310" t="s">
        <v>1160</v>
      </c>
      <c r="F310" t="s">
        <v>3127</v>
      </c>
      <c r="G310" s="1">
        <v>3117</v>
      </c>
      <c r="H310">
        <v>24</v>
      </c>
      <c r="I310" t="b">
        <f>AND(COUNTIF(CO!A:A,A310)&gt;0,COUNTIF('NO2'!A:A,A310)&gt;0,COUNTIF('O3'!A:A,A310)&gt;0,COUNTIF('PM2.5'!A:A,A310)&gt;0,COUNTIF('SO2'!A:A,A310)&gt;0,COUNTIF(Kendaraan!A:A,A310)&gt;0)</f>
        <v>1</v>
      </c>
    </row>
    <row r="311" spans="1:9" x14ac:dyDescent="0.45">
      <c r="A311" s="4">
        <v>45702</v>
      </c>
      <c r="B311" t="s">
        <v>934</v>
      </c>
      <c r="C311" t="s">
        <v>1557</v>
      </c>
      <c r="D311" t="s">
        <v>1975</v>
      </c>
      <c r="E311" t="s">
        <v>1234</v>
      </c>
      <c r="F311" t="s">
        <v>3496</v>
      </c>
      <c r="G311" s="1">
        <v>2804</v>
      </c>
      <c r="H311">
        <v>24</v>
      </c>
      <c r="I311" t="b">
        <f>AND(COUNTIF(CO!A:A,A311)&gt;0,COUNTIF('NO2'!A:A,A311)&gt;0,COUNTIF('O3'!A:A,A311)&gt;0,COUNTIF('PM2.5'!A:A,A311)&gt;0,COUNTIF('SO2'!A:A,A311)&gt;0,COUNTIF(Kendaraan!A:A,A311)&gt;0)</f>
        <v>1</v>
      </c>
    </row>
    <row r="312" spans="1:9" x14ac:dyDescent="0.45">
      <c r="A312" s="4">
        <v>45703</v>
      </c>
      <c r="B312" t="s">
        <v>2059</v>
      </c>
      <c r="C312" t="s">
        <v>481</v>
      </c>
      <c r="D312" t="s">
        <v>1156</v>
      </c>
      <c r="E312" t="s">
        <v>3497</v>
      </c>
      <c r="F312" t="s">
        <v>1432</v>
      </c>
      <c r="G312" t="s">
        <v>3498</v>
      </c>
      <c r="H312">
        <v>24</v>
      </c>
      <c r="I312" t="b">
        <f>AND(COUNTIF(CO!A:A,A312)&gt;0,COUNTIF('NO2'!A:A,A312)&gt;0,COUNTIF('O3'!A:A,A312)&gt;0,COUNTIF('PM2.5'!A:A,A312)&gt;0,COUNTIF('SO2'!A:A,A312)&gt;0,COUNTIF(Kendaraan!A:A,A312)&gt;0)</f>
        <v>1</v>
      </c>
    </row>
    <row r="313" spans="1:9" x14ac:dyDescent="0.45">
      <c r="A313" s="4">
        <v>45704</v>
      </c>
      <c r="B313" t="s">
        <v>412</v>
      </c>
      <c r="C313" t="s">
        <v>3499</v>
      </c>
      <c r="D313" t="s">
        <v>2146</v>
      </c>
      <c r="E313" t="s">
        <v>563</v>
      </c>
      <c r="F313" t="s">
        <v>2861</v>
      </c>
      <c r="G313" s="1">
        <v>1718</v>
      </c>
      <c r="H313">
        <v>24</v>
      </c>
      <c r="I313" t="b">
        <f>AND(COUNTIF(CO!A:A,A313)&gt;0,COUNTIF('NO2'!A:A,A313)&gt;0,COUNTIF('O3'!A:A,A313)&gt;0,COUNTIF('PM2.5'!A:A,A313)&gt;0,COUNTIF('SO2'!A:A,A313)&gt;0,COUNTIF(Kendaraan!A:A,A313)&gt;0)</f>
        <v>1</v>
      </c>
    </row>
    <row r="314" spans="1:9" x14ac:dyDescent="0.45">
      <c r="A314" s="4">
        <v>45705</v>
      </c>
      <c r="B314" t="s">
        <v>2782</v>
      </c>
      <c r="C314" t="s">
        <v>1393</v>
      </c>
      <c r="D314" t="s">
        <v>1574</v>
      </c>
      <c r="E314" t="s">
        <v>3167</v>
      </c>
      <c r="F314" t="s">
        <v>1202</v>
      </c>
      <c r="G314" s="1">
        <v>2334</v>
      </c>
      <c r="H314">
        <v>24</v>
      </c>
      <c r="I314" t="b">
        <f>AND(COUNTIF(CO!A:A,A314)&gt;0,COUNTIF('NO2'!A:A,A314)&gt;0,COUNTIF('O3'!A:A,A314)&gt;0,COUNTIF('PM2.5'!A:A,A314)&gt;0,COUNTIF('SO2'!A:A,A314)&gt;0,COUNTIF(Kendaraan!A:A,A314)&gt;0)</f>
        <v>1</v>
      </c>
    </row>
    <row r="315" spans="1:9" x14ac:dyDescent="0.45">
      <c r="A315" s="4">
        <v>45706</v>
      </c>
      <c r="B315" t="s">
        <v>1963</v>
      </c>
      <c r="C315" t="s">
        <v>468</v>
      </c>
      <c r="D315" t="s">
        <v>3350</v>
      </c>
      <c r="E315" t="s">
        <v>431</v>
      </c>
      <c r="F315" t="s">
        <v>3123</v>
      </c>
      <c r="G315" s="1">
        <v>2432</v>
      </c>
      <c r="H315">
        <v>24</v>
      </c>
      <c r="I315" t="b">
        <f>AND(COUNTIF(CO!A:A,A315)&gt;0,COUNTIF('NO2'!A:A,A315)&gt;0,COUNTIF('O3'!A:A,A315)&gt;0,COUNTIF('PM2.5'!A:A,A315)&gt;0,COUNTIF('SO2'!A:A,A315)&gt;0,COUNTIF(Kendaraan!A:A,A315)&gt;0)</f>
        <v>1</v>
      </c>
    </row>
    <row r="316" spans="1:9" x14ac:dyDescent="0.45">
      <c r="A316" s="4">
        <v>45707</v>
      </c>
      <c r="B316" t="s">
        <v>1304</v>
      </c>
      <c r="C316" t="s">
        <v>615</v>
      </c>
      <c r="D316" t="s">
        <v>1927</v>
      </c>
      <c r="E316" t="s">
        <v>1849</v>
      </c>
      <c r="F316" t="s">
        <v>1111</v>
      </c>
      <c r="G316" s="1">
        <v>2286</v>
      </c>
      <c r="H316">
        <v>24</v>
      </c>
      <c r="I316" t="b">
        <f>AND(COUNTIF(CO!A:A,A316)&gt;0,COUNTIF('NO2'!A:A,A316)&gt;0,COUNTIF('O3'!A:A,A316)&gt;0,COUNTIF('PM2.5'!A:A,A316)&gt;0,COUNTIF('SO2'!A:A,A316)&gt;0,COUNTIF(Kendaraan!A:A,A316)&gt;0)</f>
        <v>1</v>
      </c>
    </row>
    <row r="317" spans="1:9" x14ac:dyDescent="0.45">
      <c r="A317" s="4">
        <v>45708</v>
      </c>
      <c r="B317" t="s">
        <v>1209</v>
      </c>
      <c r="C317" t="s">
        <v>1572</v>
      </c>
      <c r="D317" t="s">
        <v>1568</v>
      </c>
      <c r="E317" t="s">
        <v>1570</v>
      </c>
      <c r="F317" t="s">
        <v>1972</v>
      </c>
      <c r="G317" t="s">
        <v>3500</v>
      </c>
      <c r="H317">
        <v>24</v>
      </c>
      <c r="I317" t="b">
        <f>AND(COUNTIF(CO!A:A,A317)&gt;0,COUNTIF('NO2'!A:A,A317)&gt;0,COUNTIF('O3'!A:A,A317)&gt;0,COUNTIF('PM2.5'!A:A,A317)&gt;0,COUNTIF('SO2'!A:A,A317)&gt;0,COUNTIF(Kendaraan!A:A,A317)&gt;0)</f>
        <v>1</v>
      </c>
    </row>
    <row r="318" spans="1:9" x14ac:dyDescent="0.45">
      <c r="A318" s="4">
        <v>45709</v>
      </c>
      <c r="B318" t="s">
        <v>623</v>
      </c>
      <c r="C318" t="s">
        <v>1400</v>
      </c>
      <c r="D318" t="s">
        <v>915</v>
      </c>
      <c r="E318" t="s">
        <v>1918</v>
      </c>
      <c r="F318" t="s">
        <v>431</v>
      </c>
      <c r="G318" t="s">
        <v>3501</v>
      </c>
      <c r="H318">
        <v>23</v>
      </c>
      <c r="I318" t="b">
        <f>AND(COUNTIF(CO!A:A,A318)&gt;0,COUNTIF('NO2'!A:A,A318)&gt;0,COUNTIF('O3'!A:A,A318)&gt;0,COUNTIF('PM2.5'!A:A,A318)&gt;0,COUNTIF('SO2'!A:A,A318)&gt;0,COUNTIF(Kendaraan!A:A,A318)&gt;0)</f>
        <v>1</v>
      </c>
    </row>
    <row r="319" spans="1:9" x14ac:dyDescent="0.45">
      <c r="A319" s="4">
        <v>45710</v>
      </c>
      <c r="B319" t="s">
        <v>3461</v>
      </c>
      <c r="C319" t="s">
        <v>2564</v>
      </c>
      <c r="D319" t="s">
        <v>3502</v>
      </c>
      <c r="E319" t="s">
        <v>1259</v>
      </c>
      <c r="F319" t="s">
        <v>565</v>
      </c>
      <c r="G319" s="1">
        <v>1584</v>
      </c>
      <c r="H319">
        <v>19</v>
      </c>
      <c r="I319" t="b">
        <f>AND(COUNTIF(CO!A:A,A319)&gt;0,COUNTIF('NO2'!A:A,A319)&gt;0,COUNTIF('O3'!A:A,A319)&gt;0,COUNTIF('PM2.5'!A:A,A319)&gt;0,COUNTIF('SO2'!A:A,A319)&gt;0,COUNTIF(Kendaraan!A:A,A319)&gt;0)</f>
        <v>1</v>
      </c>
    </row>
    <row r="320" spans="1:9" x14ac:dyDescent="0.45">
      <c r="A320" s="4">
        <v>45722</v>
      </c>
      <c r="B320" t="s">
        <v>3506</v>
      </c>
      <c r="C320" t="s">
        <v>3507</v>
      </c>
      <c r="D320" t="s">
        <v>3508</v>
      </c>
      <c r="E320" t="s">
        <v>3509</v>
      </c>
      <c r="F320" t="s">
        <v>2176</v>
      </c>
      <c r="G320" s="1">
        <v>2856</v>
      </c>
      <c r="H320">
        <v>6</v>
      </c>
      <c r="I320" t="b">
        <f>AND(COUNTIF(CO!A:A,A320)&gt;0,COUNTIF('NO2'!A:A,A320)&gt;0,COUNTIF('O3'!A:A,A320)&gt;0,COUNTIF('PM2.5'!A:A,A320)&gt;0,COUNTIF('SO2'!A:A,A320)&gt;0,COUNTIF(Kendaraan!A:A,A320)&gt;0)</f>
        <v>1</v>
      </c>
    </row>
    <row r="321" spans="1:9" x14ac:dyDescent="0.45">
      <c r="A321" s="4">
        <v>45723</v>
      </c>
      <c r="B321" t="s">
        <v>3510</v>
      </c>
      <c r="C321" t="s">
        <v>1158</v>
      </c>
      <c r="D321" t="s">
        <v>1578</v>
      </c>
      <c r="E321" t="s">
        <v>2383</v>
      </c>
      <c r="F321" t="s">
        <v>1183</v>
      </c>
      <c r="G321" s="1">
        <v>1885</v>
      </c>
      <c r="H321">
        <v>5</v>
      </c>
      <c r="I321" t="b">
        <f>AND(COUNTIF(CO!A:A,A321)&gt;0,COUNTIF('NO2'!A:A,A321)&gt;0,COUNTIF('O3'!A:A,A321)&gt;0,COUNTIF('PM2.5'!A:A,A321)&gt;0,COUNTIF('SO2'!A:A,A321)&gt;0,COUNTIF(Kendaraan!A:A,A321)&gt;0)</f>
        <v>1</v>
      </c>
    </row>
    <row r="322" spans="1:9" x14ac:dyDescent="0.45">
      <c r="A322" s="4">
        <v>45724</v>
      </c>
      <c r="B322" t="s">
        <v>1342</v>
      </c>
      <c r="C322" t="s">
        <v>3201</v>
      </c>
      <c r="D322" t="s">
        <v>1976</v>
      </c>
      <c r="E322" t="s">
        <v>1133</v>
      </c>
      <c r="F322" t="s">
        <v>2002</v>
      </c>
      <c r="G322" s="1">
        <v>2224</v>
      </c>
      <c r="H322">
        <v>24</v>
      </c>
      <c r="I322" t="b">
        <f>AND(COUNTIF(CO!A:A,A322)&gt;0,COUNTIF('NO2'!A:A,A322)&gt;0,COUNTIF('O3'!A:A,A322)&gt;0,COUNTIF('PM2.5'!A:A,A322)&gt;0,COUNTIF('SO2'!A:A,A322)&gt;0,COUNTIF(Kendaraan!A:A,A322)&gt;0)</f>
        <v>1</v>
      </c>
    </row>
    <row r="323" spans="1:9" x14ac:dyDescent="0.45">
      <c r="A323" s="4">
        <v>45725</v>
      </c>
      <c r="B323" t="s">
        <v>2388</v>
      </c>
      <c r="C323" t="s">
        <v>1387</v>
      </c>
      <c r="D323" t="s">
        <v>1844</v>
      </c>
      <c r="E323" t="s">
        <v>2390</v>
      </c>
      <c r="F323" t="s">
        <v>3348</v>
      </c>
      <c r="G323" s="1">
        <v>1928</v>
      </c>
      <c r="H323">
        <v>24</v>
      </c>
      <c r="I323" t="b">
        <f>AND(COUNTIF(CO!A:A,A323)&gt;0,COUNTIF('NO2'!A:A,A323)&gt;0,COUNTIF('O3'!A:A,A323)&gt;0,COUNTIF('PM2.5'!A:A,A323)&gt;0,COUNTIF('SO2'!A:A,A323)&gt;0,COUNTIF(Kendaraan!A:A,A323)&gt;0)</f>
        <v>1</v>
      </c>
    </row>
    <row r="324" spans="1:9" x14ac:dyDescent="0.45">
      <c r="A324" s="4">
        <v>45726</v>
      </c>
      <c r="B324" t="s">
        <v>3096</v>
      </c>
      <c r="C324" t="s">
        <v>3115</v>
      </c>
      <c r="D324" t="s">
        <v>1698</v>
      </c>
      <c r="E324" t="s">
        <v>1139</v>
      </c>
      <c r="F324" t="s">
        <v>3169</v>
      </c>
      <c r="G324" t="s">
        <v>1755</v>
      </c>
      <c r="H324">
        <v>24</v>
      </c>
      <c r="I324" t="b">
        <f>AND(COUNTIF(CO!A:A,A324)&gt;0,COUNTIF('NO2'!A:A,A324)&gt;0,COUNTIF('O3'!A:A,A324)&gt;0,COUNTIF('PM2.5'!A:A,A324)&gt;0,COUNTIF('SO2'!A:A,A324)&gt;0,COUNTIF(Kendaraan!A:A,A324)&gt;0)</f>
        <v>1</v>
      </c>
    </row>
    <row r="325" spans="1:9" x14ac:dyDescent="0.45">
      <c r="A325" s="4">
        <v>45727</v>
      </c>
      <c r="B325">
        <v>17</v>
      </c>
      <c r="C325" t="s">
        <v>501</v>
      </c>
      <c r="D325" t="s">
        <v>3463</v>
      </c>
      <c r="E325" t="s">
        <v>1630</v>
      </c>
      <c r="F325" t="s">
        <v>1479</v>
      </c>
      <c r="G325" s="1">
        <v>2429</v>
      </c>
      <c r="H325">
        <v>24</v>
      </c>
      <c r="I325" t="b">
        <f>AND(COUNTIF(CO!A:A,A325)&gt;0,COUNTIF('NO2'!A:A,A325)&gt;0,COUNTIF('O3'!A:A,A325)&gt;0,COUNTIF('PM2.5'!A:A,A325)&gt;0,COUNTIF('SO2'!A:A,A325)&gt;0,COUNTIF(Kendaraan!A:A,A325)&gt;0)</f>
        <v>1</v>
      </c>
    </row>
    <row r="326" spans="1:9" x14ac:dyDescent="0.45">
      <c r="A326" s="4">
        <v>45728</v>
      </c>
      <c r="B326" t="s">
        <v>908</v>
      </c>
      <c r="C326" t="s">
        <v>2139</v>
      </c>
      <c r="D326" t="s">
        <v>664</v>
      </c>
      <c r="E326" t="s">
        <v>3511</v>
      </c>
      <c r="F326" t="s">
        <v>3512</v>
      </c>
      <c r="G326" t="s">
        <v>140</v>
      </c>
      <c r="H326">
        <v>24</v>
      </c>
      <c r="I326" t="b">
        <f>AND(COUNTIF(CO!A:A,A326)&gt;0,COUNTIF('NO2'!A:A,A326)&gt;0,COUNTIF('O3'!A:A,A326)&gt;0,COUNTIF('PM2.5'!A:A,A326)&gt;0,COUNTIF('SO2'!A:A,A326)&gt;0,COUNTIF(Kendaraan!A:A,A326)&gt;0)</f>
        <v>1</v>
      </c>
    </row>
    <row r="327" spans="1:9" x14ac:dyDescent="0.45">
      <c r="A327" s="4">
        <v>45729</v>
      </c>
      <c r="B327" t="s">
        <v>3309</v>
      </c>
      <c r="C327" t="s">
        <v>3513</v>
      </c>
      <c r="D327" t="s">
        <v>3514</v>
      </c>
      <c r="E327" t="s">
        <v>2014</v>
      </c>
      <c r="F327" t="s">
        <v>3161</v>
      </c>
      <c r="G327" s="1">
        <v>3433</v>
      </c>
      <c r="H327">
        <v>24</v>
      </c>
      <c r="I327" t="b">
        <f>AND(COUNTIF(CO!A:A,A327)&gt;0,COUNTIF('NO2'!A:A,A327)&gt;0,COUNTIF('O3'!A:A,A327)&gt;0,COUNTIF('PM2.5'!A:A,A327)&gt;0,COUNTIF('SO2'!A:A,A327)&gt;0,COUNTIF(Kendaraan!A:A,A327)&gt;0)</f>
        <v>1</v>
      </c>
    </row>
    <row r="328" spans="1:9" x14ac:dyDescent="0.45">
      <c r="A328" s="4">
        <v>45730</v>
      </c>
      <c r="B328" t="s">
        <v>1938</v>
      </c>
      <c r="C328" t="s">
        <v>3223</v>
      </c>
      <c r="D328" t="s">
        <v>1254</v>
      </c>
      <c r="E328" t="s">
        <v>3515</v>
      </c>
      <c r="F328" t="s">
        <v>1261</v>
      </c>
      <c r="G328" s="1">
        <v>2299</v>
      </c>
      <c r="H328">
        <v>24</v>
      </c>
      <c r="I328" t="b">
        <f>AND(COUNTIF(CO!A:A,A328)&gt;0,COUNTIF('NO2'!A:A,A328)&gt;0,COUNTIF('O3'!A:A,A328)&gt;0,COUNTIF('PM2.5'!A:A,A328)&gt;0,COUNTIF('SO2'!A:A,A328)&gt;0,COUNTIF(Kendaraan!A:A,A328)&gt;0)</f>
        <v>1</v>
      </c>
    </row>
    <row r="329" spans="1:9" x14ac:dyDescent="0.45">
      <c r="A329" s="4">
        <v>45731</v>
      </c>
      <c r="B329" t="s">
        <v>1282</v>
      </c>
      <c r="C329" t="s">
        <v>1244</v>
      </c>
      <c r="D329" t="s">
        <v>2062</v>
      </c>
      <c r="E329" t="s">
        <v>1831</v>
      </c>
      <c r="F329" t="s">
        <v>2056</v>
      </c>
      <c r="G329" s="1">
        <v>3447</v>
      </c>
      <c r="H329">
        <v>24</v>
      </c>
      <c r="I329" t="b">
        <f>AND(COUNTIF(CO!A:A,A329)&gt;0,COUNTIF('NO2'!A:A,A329)&gt;0,COUNTIF('O3'!A:A,A329)&gt;0,COUNTIF('PM2.5'!A:A,A329)&gt;0,COUNTIF('SO2'!A:A,A329)&gt;0,COUNTIF(Kendaraan!A:A,A329)&gt;0)</f>
        <v>1</v>
      </c>
    </row>
    <row r="330" spans="1:9" x14ac:dyDescent="0.45">
      <c r="A330" s="4">
        <v>45732</v>
      </c>
      <c r="B330" t="s">
        <v>353</v>
      </c>
      <c r="C330" t="s">
        <v>1964</v>
      </c>
      <c r="D330" t="s">
        <v>1052</v>
      </c>
      <c r="E330" t="s">
        <v>349</v>
      </c>
      <c r="F330" t="s">
        <v>2395</v>
      </c>
      <c r="G330" s="1">
        <v>1785</v>
      </c>
      <c r="H330">
        <v>24</v>
      </c>
      <c r="I330" t="b">
        <f>AND(COUNTIF(CO!A:A,A330)&gt;0,COUNTIF('NO2'!A:A,A330)&gt;0,COUNTIF('O3'!A:A,A330)&gt;0,COUNTIF('PM2.5'!A:A,A330)&gt;0,COUNTIF('SO2'!A:A,A330)&gt;0,COUNTIF(Kendaraan!A:A,A330)&gt;0)</f>
        <v>1</v>
      </c>
    </row>
    <row r="331" spans="1:9" x14ac:dyDescent="0.45">
      <c r="A331" s="4">
        <v>45733</v>
      </c>
      <c r="B331" t="s">
        <v>1708</v>
      </c>
      <c r="C331" t="s">
        <v>3141</v>
      </c>
      <c r="D331" t="s">
        <v>1077</v>
      </c>
      <c r="E331" t="s">
        <v>1984</v>
      </c>
      <c r="F331" t="s">
        <v>1089</v>
      </c>
      <c r="G331" s="1">
        <v>1177</v>
      </c>
      <c r="H331">
        <v>24</v>
      </c>
      <c r="I331" t="b">
        <f>AND(COUNTIF(CO!A:A,A331)&gt;0,COUNTIF('NO2'!A:A,A331)&gt;0,COUNTIF('O3'!A:A,A331)&gt;0,COUNTIF('PM2.5'!A:A,A331)&gt;0,COUNTIF('SO2'!A:A,A331)&gt;0,COUNTIF(Kendaraan!A:A,A331)&gt;0)</f>
        <v>1</v>
      </c>
    </row>
    <row r="332" spans="1:9" x14ac:dyDescent="0.45">
      <c r="A332" s="4">
        <v>45734</v>
      </c>
      <c r="B332" t="s">
        <v>3245</v>
      </c>
      <c r="C332" t="s">
        <v>2057</v>
      </c>
      <c r="D332" t="s">
        <v>2961</v>
      </c>
      <c r="E332" t="s">
        <v>1362</v>
      </c>
      <c r="F332" t="s">
        <v>1640</v>
      </c>
      <c r="G332" s="1">
        <v>1626</v>
      </c>
      <c r="H332">
        <v>24</v>
      </c>
      <c r="I332" t="b">
        <f>AND(COUNTIF(CO!A:A,A332)&gt;0,COUNTIF('NO2'!A:A,A332)&gt;0,COUNTIF('O3'!A:A,A332)&gt;0,COUNTIF('PM2.5'!A:A,A332)&gt;0,COUNTIF('SO2'!A:A,A332)&gt;0,COUNTIF(Kendaraan!A:A,A332)&gt;0)</f>
        <v>1</v>
      </c>
    </row>
    <row r="333" spans="1:9" x14ac:dyDescent="0.45">
      <c r="A333" s="4">
        <v>45735</v>
      </c>
      <c r="B333" t="s">
        <v>1136</v>
      </c>
      <c r="C333" t="s">
        <v>1432</v>
      </c>
      <c r="D333" t="s">
        <v>1456</v>
      </c>
      <c r="E333" t="s">
        <v>3159</v>
      </c>
      <c r="F333" t="s">
        <v>1156</v>
      </c>
      <c r="G333" s="1">
        <v>1368</v>
      </c>
      <c r="H333">
        <v>24</v>
      </c>
      <c r="I333" t="b">
        <f>AND(COUNTIF(CO!A:A,A333)&gt;0,COUNTIF('NO2'!A:A,A333)&gt;0,COUNTIF('O3'!A:A,A333)&gt;0,COUNTIF('PM2.5'!A:A,A333)&gt;0,COUNTIF('SO2'!A:A,A333)&gt;0,COUNTIF(Kendaraan!A:A,A333)&gt;0)</f>
        <v>1</v>
      </c>
    </row>
    <row r="334" spans="1:9" x14ac:dyDescent="0.45">
      <c r="A334" s="4">
        <v>45736</v>
      </c>
      <c r="B334" t="s">
        <v>926</v>
      </c>
      <c r="C334" t="s">
        <v>1393</v>
      </c>
      <c r="D334" t="s">
        <v>1688</v>
      </c>
      <c r="E334" t="s">
        <v>3149</v>
      </c>
      <c r="F334" t="s">
        <v>899</v>
      </c>
      <c r="G334" s="1">
        <v>1257</v>
      </c>
      <c r="H334">
        <v>24</v>
      </c>
      <c r="I334" t="b">
        <f>AND(COUNTIF(CO!A:A,A334)&gt;0,COUNTIF('NO2'!A:A,A334)&gt;0,COUNTIF('O3'!A:A,A334)&gt;0,COUNTIF('PM2.5'!A:A,A334)&gt;0,COUNTIF('SO2'!A:A,A334)&gt;0,COUNTIF(Kendaraan!A:A,A334)&gt;0)</f>
        <v>1</v>
      </c>
    </row>
    <row r="335" spans="1:9" x14ac:dyDescent="0.45">
      <c r="A335" s="4">
        <v>45737</v>
      </c>
      <c r="B335" t="s">
        <v>1738</v>
      </c>
      <c r="C335" t="s">
        <v>3250</v>
      </c>
      <c r="D335" t="s">
        <v>424</v>
      </c>
      <c r="E335" t="s">
        <v>1257</v>
      </c>
      <c r="F335" t="s">
        <v>3116</v>
      </c>
      <c r="G335" s="1">
        <v>3631</v>
      </c>
      <c r="H335">
        <v>23</v>
      </c>
      <c r="I335" t="b">
        <f>AND(COUNTIF(CO!A:A,A335)&gt;0,COUNTIF('NO2'!A:A,A335)&gt;0,COUNTIF('O3'!A:A,A335)&gt;0,COUNTIF('PM2.5'!A:A,A335)&gt;0,COUNTIF('SO2'!A:A,A335)&gt;0,COUNTIF(Kendaraan!A:A,A335)&gt;0)</f>
        <v>1</v>
      </c>
    </row>
    <row r="336" spans="1:9" x14ac:dyDescent="0.45">
      <c r="A336" s="4">
        <v>45738</v>
      </c>
      <c r="B336" t="s">
        <v>444</v>
      </c>
      <c r="C336" t="s">
        <v>2377</v>
      </c>
      <c r="D336" t="s">
        <v>585</v>
      </c>
      <c r="E336" t="s">
        <v>3516</v>
      </c>
      <c r="F336" t="s">
        <v>2826</v>
      </c>
      <c r="G336" s="1">
        <v>3226</v>
      </c>
      <c r="H336">
        <v>24</v>
      </c>
      <c r="I336" t="b">
        <f>AND(COUNTIF(CO!A:A,A336)&gt;0,COUNTIF('NO2'!A:A,A336)&gt;0,COUNTIF('O3'!A:A,A336)&gt;0,COUNTIF('PM2.5'!A:A,A336)&gt;0,COUNTIF('SO2'!A:A,A336)&gt;0,COUNTIF(Kendaraan!A:A,A336)&gt;0)</f>
        <v>1</v>
      </c>
    </row>
    <row r="337" spans="1:9" x14ac:dyDescent="0.45">
      <c r="A337" s="4">
        <v>45739</v>
      </c>
      <c r="B337" t="s">
        <v>868</v>
      </c>
      <c r="C337" t="s">
        <v>3517</v>
      </c>
      <c r="D337" t="s">
        <v>3415</v>
      </c>
      <c r="E337" t="s">
        <v>3385</v>
      </c>
      <c r="F337" t="s">
        <v>3518</v>
      </c>
      <c r="G337" s="1">
        <v>8446</v>
      </c>
      <c r="H337">
        <v>24</v>
      </c>
      <c r="I337" t="b">
        <f>AND(COUNTIF(CO!A:A,A337)&gt;0,COUNTIF('NO2'!A:A,A337)&gt;0,COUNTIF('O3'!A:A,A337)&gt;0,COUNTIF('PM2.5'!A:A,A337)&gt;0,COUNTIF('SO2'!A:A,A337)&gt;0,COUNTIF(Kendaraan!A:A,A337)&gt;0)</f>
        <v>1</v>
      </c>
    </row>
    <row r="338" spans="1:9" x14ac:dyDescent="0.45">
      <c r="A338" s="4">
        <v>45740</v>
      </c>
      <c r="B338" t="s">
        <v>3519</v>
      </c>
      <c r="C338" t="s">
        <v>3520</v>
      </c>
      <c r="D338" t="s">
        <v>2283</v>
      </c>
      <c r="E338" t="s">
        <v>2809</v>
      </c>
      <c r="F338" t="s">
        <v>2926</v>
      </c>
      <c r="G338" s="1">
        <v>8092</v>
      </c>
      <c r="H338">
        <v>23</v>
      </c>
      <c r="I338" t="b">
        <f>AND(COUNTIF(CO!A:A,A338)&gt;0,COUNTIF('NO2'!A:A,A338)&gt;0,COUNTIF('O3'!A:A,A338)&gt;0,COUNTIF('PM2.5'!A:A,A338)&gt;0,COUNTIF('SO2'!A:A,A338)&gt;0,COUNTIF(Kendaraan!A:A,A338)&gt;0)</f>
        <v>1</v>
      </c>
    </row>
    <row r="339" spans="1:9" x14ac:dyDescent="0.45">
      <c r="A339" s="4">
        <v>45741</v>
      </c>
      <c r="B339" t="s">
        <v>1122</v>
      </c>
      <c r="C339" t="s">
        <v>634</v>
      </c>
      <c r="D339" t="s">
        <v>3243</v>
      </c>
      <c r="E339" t="s">
        <v>1150</v>
      </c>
      <c r="F339" t="s">
        <v>1154</v>
      </c>
      <c r="G339" s="1">
        <v>2166</v>
      </c>
      <c r="H339">
        <v>24</v>
      </c>
      <c r="I339" t="b">
        <f>AND(COUNTIF(CO!A:A,A339)&gt;0,COUNTIF('NO2'!A:A,A339)&gt;0,COUNTIF('O3'!A:A,A339)&gt;0,COUNTIF('PM2.5'!A:A,A339)&gt;0,COUNTIF('SO2'!A:A,A339)&gt;0,COUNTIF(Kendaraan!A:A,A339)&gt;0)</f>
        <v>1</v>
      </c>
    </row>
    <row r="340" spans="1:9" x14ac:dyDescent="0.45">
      <c r="A340" s="4">
        <v>45742</v>
      </c>
      <c r="B340" t="s">
        <v>869</v>
      </c>
      <c r="C340" t="s">
        <v>600</v>
      </c>
      <c r="D340" t="s">
        <v>829</v>
      </c>
      <c r="E340" t="s">
        <v>624</v>
      </c>
      <c r="F340" t="s">
        <v>634</v>
      </c>
      <c r="G340" s="1">
        <v>1121</v>
      </c>
      <c r="H340">
        <v>24</v>
      </c>
      <c r="I340" t="b">
        <f>AND(COUNTIF(CO!A:A,A340)&gt;0,COUNTIF('NO2'!A:A,A340)&gt;0,COUNTIF('O3'!A:A,A340)&gt;0,COUNTIF('PM2.5'!A:A,A340)&gt;0,COUNTIF('SO2'!A:A,A340)&gt;0,COUNTIF(Kendaraan!A:A,A340)&gt;0)</f>
        <v>1</v>
      </c>
    </row>
    <row r="341" spans="1:9" x14ac:dyDescent="0.45">
      <c r="A341" s="4">
        <v>45743</v>
      </c>
      <c r="B341" t="s">
        <v>2148</v>
      </c>
      <c r="C341" t="s">
        <v>3521</v>
      </c>
      <c r="D341" t="s">
        <v>3047</v>
      </c>
      <c r="E341" t="s">
        <v>464</v>
      </c>
      <c r="F341" t="s">
        <v>435</v>
      </c>
      <c r="G341" t="s">
        <v>2891</v>
      </c>
      <c r="H341">
        <v>10</v>
      </c>
      <c r="I341" t="b">
        <f>AND(COUNTIF(CO!A:A,A341)&gt;0,COUNTIF('NO2'!A:A,A341)&gt;0,COUNTIF('O3'!A:A,A341)&gt;0,COUNTIF('PM2.5'!A:A,A341)&gt;0,COUNTIF('SO2'!A:A,A341)&gt;0,COUNTIF(Kendaraan!A:A,A341)&gt;0)</f>
        <v>1</v>
      </c>
    </row>
    <row r="342" spans="1:9" x14ac:dyDescent="0.45">
      <c r="A342" s="4">
        <v>45744</v>
      </c>
      <c r="B342" t="s">
        <v>2606</v>
      </c>
      <c r="C342" t="s">
        <v>2145</v>
      </c>
      <c r="D342" t="s">
        <v>591</v>
      </c>
      <c r="E342" t="s">
        <v>3522</v>
      </c>
      <c r="F342" t="s">
        <v>2038</v>
      </c>
      <c r="G342" s="1">
        <v>4185</v>
      </c>
      <c r="H342">
        <v>19</v>
      </c>
      <c r="I342" t="b">
        <f>AND(COUNTIF(CO!A:A,A342)&gt;0,COUNTIF('NO2'!A:A,A342)&gt;0,COUNTIF('O3'!A:A,A342)&gt;0,COUNTIF('PM2.5'!A:A,A342)&gt;0,COUNTIF('SO2'!A:A,A342)&gt;0,COUNTIF(Kendaraan!A:A,A342)&gt;0)</f>
        <v>1</v>
      </c>
    </row>
    <row r="343" spans="1:9" x14ac:dyDescent="0.45">
      <c r="A343" s="4">
        <v>45745</v>
      </c>
      <c r="B343" t="s">
        <v>1855</v>
      </c>
      <c r="C343" t="s">
        <v>2397</v>
      </c>
      <c r="D343" t="s">
        <v>2070</v>
      </c>
      <c r="E343" t="s">
        <v>1764</v>
      </c>
      <c r="F343" t="s">
        <v>3523</v>
      </c>
      <c r="G343" s="1">
        <v>2349</v>
      </c>
      <c r="H343">
        <v>24</v>
      </c>
      <c r="I343" t="b">
        <f>AND(COUNTIF(CO!A:A,A343)&gt;0,COUNTIF('NO2'!A:A,A343)&gt;0,COUNTIF('O3'!A:A,A343)&gt;0,COUNTIF('PM2.5'!A:A,A343)&gt;0,COUNTIF('SO2'!A:A,A343)&gt;0,COUNTIF(Kendaraan!A:A,A343)&gt;0)</f>
        <v>1</v>
      </c>
    </row>
    <row r="344" spans="1:9" x14ac:dyDescent="0.45">
      <c r="A344" s="4">
        <v>45746</v>
      </c>
      <c r="B344" t="s">
        <v>1681</v>
      </c>
      <c r="C344" t="s">
        <v>1141</v>
      </c>
      <c r="D344" t="s">
        <v>1322</v>
      </c>
      <c r="E344" t="s">
        <v>941</v>
      </c>
      <c r="F344" t="s">
        <v>3093</v>
      </c>
      <c r="G344" s="1">
        <v>2319</v>
      </c>
      <c r="H344">
        <v>24</v>
      </c>
      <c r="I344" t="b">
        <f>AND(COUNTIF(CO!A:A,A344)&gt;0,COUNTIF('NO2'!A:A,A344)&gt;0,COUNTIF('O3'!A:A,A344)&gt;0,COUNTIF('PM2.5'!A:A,A344)&gt;0,COUNTIF('SO2'!A:A,A344)&gt;0,COUNTIF(Kendaraan!A:A,A344)&gt;0)</f>
        <v>1</v>
      </c>
    </row>
    <row r="345" spans="1:9" x14ac:dyDescent="0.45">
      <c r="A345" s="4">
        <v>45747</v>
      </c>
      <c r="B345" t="s">
        <v>709</v>
      </c>
      <c r="C345" t="s">
        <v>2731</v>
      </c>
      <c r="D345" t="s">
        <v>349</v>
      </c>
      <c r="E345" t="s">
        <v>710</v>
      </c>
      <c r="F345" t="s">
        <v>1775</v>
      </c>
      <c r="G345" s="1">
        <v>1768</v>
      </c>
      <c r="H345">
        <v>22</v>
      </c>
      <c r="I345" t="b">
        <f>AND(COUNTIF(CO!A:A,A345)&gt;0,COUNTIF('NO2'!A:A,A345)&gt;0,COUNTIF('O3'!A:A,A345)&gt;0,COUNTIF('PM2.5'!A:A,A345)&gt;0,COUNTIF('SO2'!A:A,A345)&gt;0,COUNTIF(Kendaraan!A:A,A345)&gt;0)</f>
        <v>1</v>
      </c>
    </row>
    <row r="346" spans="1:9" x14ac:dyDescent="0.45">
      <c r="A346" s="4">
        <v>45748</v>
      </c>
      <c r="B346" t="s">
        <v>725</v>
      </c>
      <c r="C346" t="s">
        <v>730</v>
      </c>
      <c r="D346" t="s">
        <v>729</v>
      </c>
      <c r="E346" t="s">
        <v>713</v>
      </c>
      <c r="F346" t="s">
        <v>1879</v>
      </c>
      <c r="G346" t="s">
        <v>278</v>
      </c>
      <c r="H346">
        <v>4</v>
      </c>
      <c r="I346" t="b">
        <f>AND(COUNTIF(CO!A:A,A346)&gt;0,COUNTIF('NO2'!A:A,A346)&gt;0,COUNTIF('O3'!A:A,A346)&gt;0,COUNTIF('PM2.5'!A:A,A346)&gt;0,COUNTIF('SO2'!A:A,A346)&gt;0,COUNTIF(Kendaraan!A:A,A346)&gt;0)</f>
        <v>1</v>
      </c>
    </row>
    <row r="347" spans="1:9" x14ac:dyDescent="0.45">
      <c r="A347" s="4">
        <v>45755</v>
      </c>
      <c r="B347" t="s">
        <v>2734</v>
      </c>
      <c r="C347" t="s">
        <v>2787</v>
      </c>
      <c r="D347" t="s">
        <v>2788</v>
      </c>
      <c r="E347" t="s">
        <v>2734</v>
      </c>
      <c r="F347" t="s">
        <v>2787</v>
      </c>
      <c r="G347" t="s">
        <v>48</v>
      </c>
      <c r="H347">
        <v>2</v>
      </c>
      <c r="I347" t="b">
        <f>AND(COUNTIF(CO!A:A,A347)&gt;0,COUNTIF('NO2'!A:A,A347)&gt;0,COUNTIF('O3'!A:A,A347)&gt;0,COUNTIF('PM2.5'!A:A,A347)&gt;0,COUNTIF('SO2'!A:A,A347)&gt;0,COUNTIF(Kendaraan!A:A,A347)&gt;0)</f>
        <v>1</v>
      </c>
    </row>
    <row r="348" spans="1:9" x14ac:dyDescent="0.45">
      <c r="A348" s="4">
        <v>45756</v>
      </c>
      <c r="B348">
        <v>15</v>
      </c>
      <c r="C348" t="s">
        <v>3524</v>
      </c>
      <c r="D348" t="s">
        <v>1156</v>
      </c>
      <c r="E348" t="s">
        <v>1930</v>
      </c>
      <c r="F348" t="s">
        <v>3525</v>
      </c>
      <c r="G348" s="1">
        <v>6967</v>
      </c>
      <c r="H348">
        <v>24</v>
      </c>
      <c r="I348" t="b">
        <f>AND(COUNTIF(CO!A:A,A348)&gt;0,COUNTIF('NO2'!A:A,A348)&gt;0,COUNTIF('O3'!A:A,A348)&gt;0,COUNTIF('PM2.5'!A:A,A348)&gt;0,COUNTIF('SO2'!A:A,A348)&gt;0,COUNTIF(Kendaraan!A:A,A348)&gt;0)</f>
        <v>1</v>
      </c>
    </row>
    <row r="349" spans="1:9" x14ac:dyDescent="0.45">
      <c r="A349" s="4">
        <v>45757</v>
      </c>
      <c r="B349" t="s">
        <v>2202</v>
      </c>
      <c r="C349" t="s">
        <v>3526</v>
      </c>
      <c r="D349" t="s">
        <v>2121</v>
      </c>
      <c r="E349" t="s">
        <v>3527</v>
      </c>
      <c r="F349" t="s">
        <v>3528</v>
      </c>
      <c r="G349" s="1">
        <v>2985</v>
      </c>
      <c r="H349">
        <v>17</v>
      </c>
      <c r="I349" t="b">
        <f>AND(COUNTIF(CO!A:A,A349)&gt;0,COUNTIF('NO2'!A:A,A349)&gt;0,COUNTIF('O3'!A:A,A349)&gt;0,COUNTIF('PM2.5'!A:A,A349)&gt;0,COUNTIF('SO2'!A:A,A349)&gt;0,COUNTIF(Kendaraan!A:A,A349)&gt;0)</f>
        <v>1</v>
      </c>
    </row>
    <row r="350" spans="1:9" x14ac:dyDescent="0.45">
      <c r="A350" s="4">
        <v>45759</v>
      </c>
      <c r="B350" t="s">
        <v>875</v>
      </c>
      <c r="C350">
        <v>26</v>
      </c>
      <c r="D350">
        <v>24</v>
      </c>
      <c r="E350" t="s">
        <v>3385</v>
      </c>
      <c r="F350" t="s">
        <v>548</v>
      </c>
      <c r="G350" s="1">
        <v>1238</v>
      </c>
      <c r="H350">
        <v>23</v>
      </c>
      <c r="I350" t="b">
        <f>AND(COUNTIF(CO!A:A,A350)&gt;0,COUNTIF('NO2'!A:A,A350)&gt;0,COUNTIF('O3'!A:A,A350)&gt;0,COUNTIF('PM2.5'!A:A,A350)&gt;0,COUNTIF('SO2'!A:A,A350)&gt;0,COUNTIF(Kendaraan!A:A,A350)&gt;0)</f>
        <v>1</v>
      </c>
    </row>
    <row r="351" spans="1:9" x14ac:dyDescent="0.45">
      <c r="A351" s="4">
        <v>45760</v>
      </c>
      <c r="B351" t="s">
        <v>2735</v>
      </c>
      <c r="C351" t="s">
        <v>2964</v>
      </c>
      <c r="D351" t="s">
        <v>1148</v>
      </c>
      <c r="E351" t="s">
        <v>3225</v>
      </c>
      <c r="F351" t="s">
        <v>932</v>
      </c>
      <c r="G351" s="1">
        <v>1819</v>
      </c>
      <c r="H351">
        <v>24</v>
      </c>
      <c r="I351" t="b">
        <f>AND(COUNTIF(CO!A:A,A351)&gt;0,COUNTIF('NO2'!A:A,A351)&gt;0,COUNTIF('O3'!A:A,A351)&gt;0,COUNTIF('PM2.5'!A:A,A351)&gt;0,COUNTIF('SO2'!A:A,A351)&gt;0,COUNTIF(Kendaraan!A:A,A351)&gt;0)</f>
        <v>1</v>
      </c>
    </row>
    <row r="352" spans="1:9" x14ac:dyDescent="0.45">
      <c r="A352" s="4">
        <v>45761</v>
      </c>
      <c r="B352" t="s">
        <v>1118</v>
      </c>
      <c r="C352" t="s">
        <v>1202</v>
      </c>
      <c r="D352" t="s">
        <v>1935</v>
      </c>
      <c r="E352" t="s">
        <v>1630</v>
      </c>
      <c r="F352" t="s">
        <v>1464</v>
      </c>
      <c r="G352" t="s">
        <v>3529</v>
      </c>
      <c r="H352">
        <v>24</v>
      </c>
      <c r="I352" t="b">
        <f>AND(COUNTIF(CO!A:A,A352)&gt;0,COUNTIF('NO2'!A:A,A352)&gt;0,COUNTIF('O3'!A:A,A352)&gt;0,COUNTIF('PM2.5'!A:A,A352)&gt;0,COUNTIF('SO2'!A:A,A352)&gt;0,COUNTIF(Kendaraan!A:A,A352)&gt;0)</f>
        <v>1</v>
      </c>
    </row>
    <row r="353" spans="1:9" x14ac:dyDescent="0.45">
      <c r="A353" s="4">
        <v>45762</v>
      </c>
      <c r="B353" t="s">
        <v>1121</v>
      </c>
      <c r="C353" t="s">
        <v>1485</v>
      </c>
      <c r="D353" t="s">
        <v>1156</v>
      </c>
      <c r="E353" t="s">
        <v>1862</v>
      </c>
      <c r="F353" t="s">
        <v>616</v>
      </c>
      <c r="G353" s="1">
        <v>1259</v>
      </c>
      <c r="H353">
        <v>24</v>
      </c>
      <c r="I353" t="b">
        <f>AND(COUNTIF(CO!A:A,A353)&gt;0,COUNTIF('NO2'!A:A,A353)&gt;0,COUNTIF('O3'!A:A,A353)&gt;0,COUNTIF('PM2.5'!A:A,A353)&gt;0,COUNTIF('SO2'!A:A,A353)&gt;0,COUNTIF(Kendaraan!A:A,A353)&gt;0)</f>
        <v>1</v>
      </c>
    </row>
    <row r="354" spans="1:9" x14ac:dyDescent="0.45">
      <c r="A354" s="4">
        <v>45763</v>
      </c>
      <c r="B354" t="s">
        <v>3150</v>
      </c>
      <c r="C354" t="s">
        <v>1224</v>
      </c>
      <c r="D354" t="s">
        <v>1205</v>
      </c>
      <c r="E354" t="s">
        <v>1208</v>
      </c>
      <c r="F354" t="s">
        <v>1209</v>
      </c>
      <c r="G354" t="s">
        <v>1549</v>
      </c>
      <c r="H354">
        <v>13</v>
      </c>
      <c r="I354" t="b">
        <f>AND(COUNTIF(CO!A:A,A354)&gt;0,COUNTIF('NO2'!A:A,A354)&gt;0,COUNTIF('O3'!A:A,A354)&gt;0,COUNTIF('PM2.5'!A:A,A354)&gt;0,COUNTIF('SO2'!A:A,A354)&gt;0,COUNTIF(Kendaraan!A:A,A354)&gt;0)</f>
        <v>1</v>
      </c>
    </row>
    <row r="355" spans="1:9" x14ac:dyDescent="0.45">
      <c r="A355" s="4">
        <v>45764</v>
      </c>
      <c r="B355" t="s">
        <v>2126</v>
      </c>
      <c r="C355" t="s">
        <v>957</v>
      </c>
      <c r="D355" t="s">
        <v>2919</v>
      </c>
      <c r="E355" t="s">
        <v>2280</v>
      </c>
      <c r="F355" t="s">
        <v>3530</v>
      </c>
      <c r="G355" s="1">
        <v>1543</v>
      </c>
      <c r="H355">
        <v>4</v>
      </c>
      <c r="I355" t="b">
        <f>AND(COUNTIF(CO!A:A,A355)&gt;0,COUNTIF('NO2'!A:A,A355)&gt;0,COUNTIF('O3'!A:A,A355)&gt;0,COUNTIF('PM2.5'!A:A,A355)&gt;0,COUNTIF('SO2'!A:A,A355)&gt;0,COUNTIF(Kendaraan!A:A,A355)&gt;0)</f>
        <v>1</v>
      </c>
    </row>
    <row r="356" spans="1:9" x14ac:dyDescent="0.45">
      <c r="A356" s="4">
        <v>45765</v>
      </c>
      <c r="B356" t="s">
        <v>3531</v>
      </c>
      <c r="C356" t="s">
        <v>3532</v>
      </c>
      <c r="D356" t="s">
        <v>333</v>
      </c>
      <c r="E356" t="s">
        <v>3533</v>
      </c>
      <c r="F356" t="s">
        <v>3534</v>
      </c>
      <c r="G356" s="1">
        <v>6297</v>
      </c>
      <c r="H356">
        <v>24</v>
      </c>
      <c r="I356" t="b">
        <f>AND(COUNTIF(CO!A:A,A356)&gt;0,COUNTIF('NO2'!A:A,A356)&gt;0,COUNTIF('O3'!A:A,A356)&gt;0,COUNTIF('PM2.5'!A:A,A356)&gt;0,COUNTIF('SO2'!A:A,A356)&gt;0,COUNTIF(Kendaraan!A:A,A356)&gt;0)</f>
        <v>1</v>
      </c>
    </row>
    <row r="357" spans="1:9" x14ac:dyDescent="0.45">
      <c r="A357" s="4">
        <v>45766</v>
      </c>
      <c r="B357" t="s">
        <v>3118</v>
      </c>
      <c r="C357" t="s">
        <v>1945</v>
      </c>
      <c r="D357" t="s">
        <v>1252</v>
      </c>
      <c r="E357" t="s">
        <v>1154</v>
      </c>
      <c r="F357" t="s">
        <v>1569</v>
      </c>
      <c r="G357" s="1">
        <v>3237</v>
      </c>
      <c r="H357">
        <v>22</v>
      </c>
      <c r="I357" t="b">
        <f>AND(COUNTIF(CO!A:A,A357)&gt;0,COUNTIF('NO2'!A:A,A357)&gt;0,COUNTIF('O3'!A:A,A357)&gt;0,COUNTIF('PM2.5'!A:A,A357)&gt;0,COUNTIF('SO2'!A:A,A357)&gt;0,COUNTIF(Kendaraan!A:A,A357)&gt;0)</f>
        <v>1</v>
      </c>
    </row>
    <row r="358" spans="1:9" x14ac:dyDescent="0.45">
      <c r="A358" s="4">
        <v>45767</v>
      </c>
      <c r="B358" t="s">
        <v>1146</v>
      </c>
      <c r="C358" t="s">
        <v>445</v>
      </c>
      <c r="D358" t="s">
        <v>1742</v>
      </c>
      <c r="E358" t="s">
        <v>1986</v>
      </c>
      <c r="F358" t="s">
        <v>3226</v>
      </c>
      <c r="G358" s="1">
        <v>1253</v>
      </c>
      <c r="H358">
        <v>24</v>
      </c>
      <c r="I358" t="b">
        <f>AND(COUNTIF(CO!A:A,A358)&gt;0,COUNTIF('NO2'!A:A,A358)&gt;0,COUNTIF('O3'!A:A,A358)&gt;0,COUNTIF('PM2.5'!A:A,A358)&gt;0,COUNTIF('SO2'!A:A,A358)&gt;0,COUNTIF(Kendaraan!A:A,A358)&gt;0)</f>
        <v>1</v>
      </c>
    </row>
    <row r="359" spans="1:9" x14ac:dyDescent="0.45">
      <c r="A359" s="4">
        <v>45768</v>
      </c>
      <c r="B359" t="s">
        <v>741</v>
      </c>
      <c r="C359" t="s">
        <v>1632</v>
      </c>
      <c r="D359" t="s">
        <v>3348</v>
      </c>
      <c r="E359" t="s">
        <v>1781</v>
      </c>
      <c r="F359" t="s">
        <v>1164</v>
      </c>
      <c r="G359" s="1">
        <v>2495</v>
      </c>
      <c r="H359">
        <v>24</v>
      </c>
      <c r="I359" t="b">
        <f>AND(COUNTIF(CO!A:A,A359)&gt;0,COUNTIF('NO2'!A:A,A359)&gt;0,COUNTIF('O3'!A:A,A359)&gt;0,COUNTIF('PM2.5'!A:A,A359)&gt;0,COUNTIF('SO2'!A:A,A359)&gt;0,COUNTIF(Kendaraan!A:A,A359)&gt;0)</f>
        <v>1</v>
      </c>
    </row>
    <row r="360" spans="1:9" x14ac:dyDescent="0.45">
      <c r="A360" s="4">
        <v>45769</v>
      </c>
      <c r="B360" t="s">
        <v>1808</v>
      </c>
      <c r="C360" t="s">
        <v>719</v>
      </c>
      <c r="D360" t="s">
        <v>1868</v>
      </c>
      <c r="E360" t="s">
        <v>358</v>
      </c>
      <c r="F360" t="s">
        <v>3535</v>
      </c>
      <c r="G360" s="1">
        <v>1074</v>
      </c>
      <c r="H360">
        <v>24</v>
      </c>
      <c r="I360" t="b">
        <f>AND(COUNTIF(CO!A:A,A360)&gt;0,COUNTIF('NO2'!A:A,A360)&gt;0,COUNTIF('O3'!A:A,A360)&gt;0,COUNTIF('PM2.5'!A:A,A360)&gt;0,COUNTIF('SO2'!A:A,A360)&gt;0,COUNTIF(Kendaraan!A:A,A360)&gt;0)</f>
        <v>1</v>
      </c>
    </row>
    <row r="361" spans="1:9" x14ac:dyDescent="0.45">
      <c r="A361" s="4">
        <v>45770</v>
      </c>
      <c r="B361" t="s">
        <v>950</v>
      </c>
      <c r="C361" t="s">
        <v>3376</v>
      </c>
      <c r="D361" t="s">
        <v>3163</v>
      </c>
      <c r="E361" t="s">
        <v>3164</v>
      </c>
      <c r="F361" t="s">
        <v>1648</v>
      </c>
      <c r="G361" t="s">
        <v>182</v>
      </c>
      <c r="H361">
        <v>24</v>
      </c>
      <c r="I361" t="b">
        <f>AND(COUNTIF(CO!A:A,A361)&gt;0,COUNTIF('NO2'!A:A,A361)&gt;0,COUNTIF('O3'!A:A,A361)&gt;0,COUNTIF('PM2.5'!A:A,A361)&gt;0,COUNTIF('SO2'!A:A,A361)&gt;0,COUNTIF(Kendaraan!A:A,A361)&gt;0)</f>
        <v>1</v>
      </c>
    </row>
    <row r="362" spans="1:9" x14ac:dyDescent="0.45">
      <c r="A362" s="4">
        <v>45771</v>
      </c>
      <c r="B362" t="s">
        <v>3217</v>
      </c>
      <c r="C362" t="s">
        <v>3158</v>
      </c>
      <c r="D362" t="s">
        <v>1366</v>
      </c>
      <c r="E362" t="s">
        <v>1383</v>
      </c>
      <c r="F362" t="s">
        <v>1334</v>
      </c>
      <c r="G362" t="s">
        <v>1765</v>
      </c>
      <c r="H362">
        <v>24</v>
      </c>
      <c r="I362" t="b">
        <f>AND(COUNTIF(CO!A:A,A362)&gt;0,COUNTIF('NO2'!A:A,A362)&gt;0,COUNTIF('O3'!A:A,A362)&gt;0,COUNTIF('PM2.5'!A:A,A362)&gt;0,COUNTIF('SO2'!A:A,A362)&gt;0,COUNTIF(Kendaraan!A:A,A362)&gt;0)</f>
        <v>1</v>
      </c>
    </row>
    <row r="363" spans="1:9" x14ac:dyDescent="0.45">
      <c r="A363" s="4">
        <v>45772</v>
      </c>
      <c r="B363" t="s">
        <v>1195</v>
      </c>
      <c r="C363" t="s">
        <v>1989</v>
      </c>
      <c r="D363" t="s">
        <v>3536</v>
      </c>
      <c r="E363" t="s">
        <v>1565</v>
      </c>
      <c r="F363" t="s">
        <v>3537</v>
      </c>
      <c r="G363" s="1">
        <v>4175</v>
      </c>
      <c r="H363">
        <v>24</v>
      </c>
      <c r="I363" t="b">
        <f>AND(COUNTIF(CO!A:A,A363)&gt;0,COUNTIF('NO2'!A:A,A363)&gt;0,COUNTIF('O3'!A:A,A363)&gt;0,COUNTIF('PM2.5'!A:A,A363)&gt;0,COUNTIF('SO2'!A:A,A363)&gt;0,COUNTIF(Kendaraan!A:A,A363)&gt;0)</f>
        <v>1</v>
      </c>
    </row>
    <row r="364" spans="1:9" x14ac:dyDescent="0.45">
      <c r="A364" s="4">
        <v>45773</v>
      </c>
      <c r="B364" t="s">
        <v>3347</v>
      </c>
      <c r="C364" t="s">
        <v>3538</v>
      </c>
      <c r="D364" t="s">
        <v>2803</v>
      </c>
      <c r="E364" t="s">
        <v>535</v>
      </c>
      <c r="F364" t="s">
        <v>3539</v>
      </c>
      <c r="G364" s="1">
        <v>3215</v>
      </c>
      <c r="H364">
        <v>24</v>
      </c>
      <c r="I364" t="b">
        <f>AND(COUNTIF(CO!A:A,A364)&gt;0,COUNTIF('NO2'!A:A,A364)&gt;0,COUNTIF('O3'!A:A,A364)&gt;0,COUNTIF('PM2.5'!A:A,A364)&gt;0,COUNTIF('SO2'!A:A,A364)&gt;0,COUNTIF(Kendaraan!A:A,A364)&gt;0)</f>
        <v>1</v>
      </c>
    </row>
    <row r="365" spans="1:9" x14ac:dyDescent="0.45">
      <c r="A365" s="4">
        <v>45774</v>
      </c>
      <c r="B365" t="s">
        <v>2960</v>
      </c>
      <c r="C365" t="s">
        <v>3182</v>
      </c>
      <c r="D365" t="s">
        <v>1065</v>
      </c>
      <c r="E365" t="s">
        <v>2737</v>
      </c>
      <c r="F365" t="s">
        <v>1932</v>
      </c>
      <c r="G365" s="1">
        <v>2892</v>
      </c>
      <c r="H365">
        <v>24</v>
      </c>
      <c r="I365" t="b">
        <f>AND(COUNTIF(CO!A:A,A365)&gt;0,COUNTIF('NO2'!A:A,A365)&gt;0,COUNTIF('O3'!A:A,A365)&gt;0,COUNTIF('PM2.5'!A:A,A365)&gt;0,COUNTIF('SO2'!A:A,A365)&gt;0,COUNTIF(Kendaraan!A:A,A365)&gt;0)</f>
        <v>1</v>
      </c>
    </row>
    <row r="366" spans="1:9" x14ac:dyDescent="0.45">
      <c r="A366" s="4">
        <v>45775</v>
      </c>
      <c r="B366" t="s">
        <v>1877</v>
      </c>
      <c r="C366" t="s">
        <v>1343</v>
      </c>
      <c r="D366" t="s">
        <v>1887</v>
      </c>
      <c r="E366" t="s">
        <v>2691</v>
      </c>
      <c r="F366" t="s">
        <v>1852</v>
      </c>
      <c r="G366" t="s">
        <v>369</v>
      </c>
      <c r="H366">
        <v>24</v>
      </c>
      <c r="I366" t="b">
        <f>AND(COUNTIF(CO!A:A,A366)&gt;0,COUNTIF('NO2'!A:A,A366)&gt;0,COUNTIF('O3'!A:A,A366)&gt;0,COUNTIF('PM2.5'!A:A,A366)&gt;0,COUNTIF('SO2'!A:A,A366)&gt;0,COUNTIF(Kendaraan!A:A,A366)&gt;0)</f>
        <v>1</v>
      </c>
    </row>
    <row r="367" spans="1:9" x14ac:dyDescent="0.45">
      <c r="A367" s="4">
        <v>45776</v>
      </c>
      <c r="B367" t="s">
        <v>1343</v>
      </c>
      <c r="C367" t="s">
        <v>618</v>
      </c>
      <c r="D367" t="s">
        <v>1730</v>
      </c>
      <c r="E367" t="s">
        <v>2960</v>
      </c>
      <c r="F367" t="s">
        <v>937</v>
      </c>
      <c r="G367" s="1">
        <v>2725</v>
      </c>
      <c r="H367">
        <v>24</v>
      </c>
      <c r="I367" t="b">
        <f>AND(COUNTIF(CO!A:A,A367)&gt;0,COUNTIF('NO2'!A:A,A367)&gt;0,COUNTIF('O3'!A:A,A367)&gt;0,COUNTIF('PM2.5'!A:A,A367)&gt;0,COUNTIF('SO2'!A:A,A367)&gt;0,COUNTIF(Kendaraan!A:A,A367)&gt;0)</f>
        <v>1</v>
      </c>
    </row>
    <row r="368" spans="1:9" x14ac:dyDescent="0.45">
      <c r="A368" s="4">
        <v>45777</v>
      </c>
      <c r="B368" t="s">
        <v>626</v>
      </c>
      <c r="C368" t="s">
        <v>1533</v>
      </c>
      <c r="D368" t="s">
        <v>652</v>
      </c>
      <c r="E368" t="s">
        <v>3540</v>
      </c>
      <c r="F368" t="s">
        <v>3541</v>
      </c>
      <c r="G368" s="1">
        <v>1558</v>
      </c>
      <c r="H368">
        <v>24</v>
      </c>
      <c r="I368" t="b">
        <f>AND(COUNTIF(CO!A:A,A368)&gt;0,COUNTIF('NO2'!A:A,A368)&gt;0,COUNTIF('O3'!A:A,A368)&gt;0,COUNTIF('PM2.5'!A:A,A368)&gt;0,COUNTIF('SO2'!A:A,A368)&gt;0,COUNTIF(Kendaraan!A:A,A368)&gt;0)</f>
        <v>1</v>
      </c>
    </row>
    <row r="369" spans="1:9" x14ac:dyDescent="0.45">
      <c r="A369" s="4">
        <v>45778</v>
      </c>
      <c r="B369" t="s">
        <v>3542</v>
      </c>
      <c r="C369">
        <v>29</v>
      </c>
      <c r="D369" t="s">
        <v>2560</v>
      </c>
      <c r="E369" t="s">
        <v>585</v>
      </c>
      <c r="F369">
        <v>29</v>
      </c>
      <c r="G369" s="1">
        <v>1085</v>
      </c>
      <c r="H369">
        <v>7</v>
      </c>
      <c r="I369" t="b">
        <f>AND(COUNTIF(CO!A:A,A369)&gt;0,COUNTIF('NO2'!A:A,A369)&gt;0,COUNTIF('O3'!A:A,A369)&gt;0,COUNTIF('PM2.5'!A:A,A369)&gt;0,COUNTIF('SO2'!A:A,A369)&gt;0,COUNTIF(Kendaraan!A:A,A369)&gt;0)</f>
        <v>1</v>
      </c>
    </row>
    <row r="370" spans="1:9" x14ac:dyDescent="0.45">
      <c r="A370" s="4">
        <v>45779</v>
      </c>
      <c r="B370" t="s">
        <v>2554</v>
      </c>
      <c r="C370" t="s">
        <v>3543</v>
      </c>
      <c r="D370" t="s">
        <v>3493</v>
      </c>
      <c r="E370" t="s">
        <v>2339</v>
      </c>
      <c r="F370" t="s">
        <v>3544</v>
      </c>
      <c r="G370" t="s">
        <v>313</v>
      </c>
      <c r="H370">
        <v>4</v>
      </c>
      <c r="I370" t="b">
        <f>AND(COUNTIF(CO!A:A,A370)&gt;0,COUNTIF('NO2'!A:A,A370)&gt;0,COUNTIF('O3'!A:A,A370)&gt;0,COUNTIF('PM2.5'!A:A,A370)&gt;0,COUNTIF('SO2'!A:A,A370)&gt;0,COUNTIF(Kendaraan!A:A,A370)&gt;0)</f>
        <v>1</v>
      </c>
    </row>
    <row r="371" spans="1:9" x14ac:dyDescent="0.45">
      <c r="A371" s="4">
        <v>45780</v>
      </c>
      <c r="B371" t="s">
        <v>407</v>
      </c>
      <c r="C371" t="s">
        <v>2326</v>
      </c>
      <c r="D371" t="s">
        <v>2315</v>
      </c>
      <c r="E371" t="s">
        <v>2557</v>
      </c>
      <c r="F371" t="s">
        <v>861</v>
      </c>
      <c r="G371" s="1">
        <v>1065</v>
      </c>
      <c r="H371">
        <v>21</v>
      </c>
      <c r="I371" t="b">
        <f>AND(COUNTIF(CO!A:A,A371)&gt;0,COUNTIF('NO2'!A:A,A371)&gt;0,COUNTIF('O3'!A:A,A371)&gt;0,COUNTIF('PM2.5'!A:A,A371)&gt;0,COUNTIF('SO2'!A:A,A371)&gt;0,COUNTIF(Kendaraan!A:A,A371)&gt;0)</f>
        <v>1</v>
      </c>
    </row>
    <row r="372" spans="1:9" x14ac:dyDescent="0.45">
      <c r="A372" s="4">
        <v>45781</v>
      </c>
      <c r="B372" t="s">
        <v>588</v>
      </c>
      <c r="C372" t="s">
        <v>2022</v>
      </c>
      <c r="D372" t="s">
        <v>2975</v>
      </c>
      <c r="E372" t="s">
        <v>418</v>
      </c>
      <c r="F372" t="s">
        <v>3197</v>
      </c>
      <c r="G372" s="1">
        <v>1847</v>
      </c>
      <c r="H372">
        <v>24</v>
      </c>
      <c r="I372" t="b">
        <f>AND(COUNTIF(CO!A:A,A372)&gt;0,COUNTIF('NO2'!A:A,A372)&gt;0,COUNTIF('O3'!A:A,A372)&gt;0,COUNTIF('PM2.5'!A:A,A372)&gt;0,COUNTIF('SO2'!A:A,A372)&gt;0,COUNTIF(Kendaraan!A:A,A372)&gt;0)</f>
        <v>1</v>
      </c>
    </row>
    <row r="373" spans="1:9" x14ac:dyDescent="0.45">
      <c r="A373" s="4">
        <v>45782</v>
      </c>
      <c r="B373" t="s">
        <v>2816</v>
      </c>
      <c r="C373" t="s">
        <v>3545</v>
      </c>
      <c r="D373" t="s">
        <v>2869</v>
      </c>
      <c r="E373" t="s">
        <v>3546</v>
      </c>
      <c r="F373" t="s">
        <v>3547</v>
      </c>
      <c r="G373" s="1">
        <v>1483</v>
      </c>
      <c r="H373">
        <v>24</v>
      </c>
      <c r="I373" t="b">
        <f>AND(COUNTIF(CO!A:A,A373)&gt;0,COUNTIF('NO2'!A:A,A373)&gt;0,COUNTIF('O3'!A:A,A373)&gt;0,COUNTIF('PM2.5'!A:A,A373)&gt;0,COUNTIF('SO2'!A:A,A373)&gt;0,COUNTIF(Kendaraan!A:A,A373)&gt;0)</f>
        <v>1</v>
      </c>
    </row>
    <row r="374" spans="1:9" x14ac:dyDescent="0.45">
      <c r="A374" s="4">
        <v>45783</v>
      </c>
      <c r="B374" t="s">
        <v>415</v>
      </c>
      <c r="C374" t="s">
        <v>2861</v>
      </c>
      <c r="D374" t="s">
        <v>860</v>
      </c>
      <c r="E374" t="s">
        <v>538</v>
      </c>
      <c r="F374" t="s">
        <v>2554</v>
      </c>
      <c r="G374" s="1">
        <v>1031</v>
      </c>
      <c r="H374">
        <v>24</v>
      </c>
      <c r="I374" t="b">
        <f>AND(COUNTIF(CO!A:A,A374)&gt;0,COUNTIF('NO2'!A:A,A374)&gt;0,COUNTIF('O3'!A:A,A374)&gt;0,COUNTIF('PM2.5'!A:A,A374)&gt;0,COUNTIF('SO2'!A:A,A374)&gt;0,COUNTIF(Kendaraan!A:A,A374)&gt;0)</f>
        <v>1</v>
      </c>
    </row>
    <row r="375" spans="1:9" x14ac:dyDescent="0.45">
      <c r="A375" s="4">
        <v>45784</v>
      </c>
      <c r="B375" t="s">
        <v>2949</v>
      </c>
      <c r="C375" t="s">
        <v>591</v>
      </c>
      <c r="D375" t="s">
        <v>914</v>
      </c>
      <c r="E375" t="s">
        <v>3548</v>
      </c>
      <c r="F375" t="s">
        <v>502</v>
      </c>
      <c r="G375" t="s">
        <v>2131</v>
      </c>
      <c r="H375">
        <v>24</v>
      </c>
      <c r="I375" t="b">
        <f>AND(COUNTIF(CO!A:A,A375)&gt;0,COUNTIF('NO2'!A:A,A375)&gt;0,COUNTIF('O3'!A:A,A375)&gt;0,COUNTIF('PM2.5'!A:A,A375)&gt;0,COUNTIF('SO2'!A:A,A375)&gt;0,COUNTIF(Kendaraan!A:A,A375)&gt;0)</f>
        <v>1</v>
      </c>
    </row>
    <row r="376" spans="1:9" x14ac:dyDescent="0.45">
      <c r="A376" s="4">
        <v>45785</v>
      </c>
      <c r="B376" t="s">
        <v>1438</v>
      </c>
      <c r="C376" t="s">
        <v>553</v>
      </c>
      <c r="D376" t="s">
        <v>413</v>
      </c>
      <c r="E376" t="s">
        <v>863</v>
      </c>
      <c r="F376" t="s">
        <v>1951</v>
      </c>
      <c r="G376" s="1">
        <v>1329</v>
      </c>
      <c r="H376">
        <v>24</v>
      </c>
      <c r="I376" t="b">
        <f>AND(COUNTIF(CO!A:A,A376)&gt;0,COUNTIF('NO2'!A:A,A376)&gt;0,COUNTIF('O3'!A:A,A376)&gt;0,COUNTIF('PM2.5'!A:A,A376)&gt;0,COUNTIF('SO2'!A:A,A376)&gt;0,COUNTIF(Kendaraan!A:A,A376)&gt;0)</f>
        <v>1</v>
      </c>
    </row>
    <row r="377" spans="1:9" x14ac:dyDescent="0.45">
      <c r="A377" s="4">
        <v>45786</v>
      </c>
      <c r="B377" t="s">
        <v>1246</v>
      </c>
      <c r="C377" t="s">
        <v>577</v>
      </c>
      <c r="D377" t="s">
        <v>3549</v>
      </c>
      <c r="E377" t="s">
        <v>3550</v>
      </c>
      <c r="F377" t="s">
        <v>608</v>
      </c>
      <c r="G377" s="1">
        <v>1326</v>
      </c>
      <c r="H377">
        <v>24</v>
      </c>
      <c r="I377" t="b">
        <f>AND(COUNTIF(CO!A:A,A377)&gt;0,COUNTIF('NO2'!A:A,A377)&gt;0,COUNTIF('O3'!A:A,A377)&gt;0,COUNTIF('PM2.5'!A:A,A377)&gt;0,COUNTIF('SO2'!A:A,A377)&gt;0,COUNTIF(Kendaraan!A:A,A377)&gt;0)</f>
        <v>1</v>
      </c>
    </row>
    <row r="378" spans="1:9" x14ac:dyDescent="0.45">
      <c r="A378" s="4">
        <v>45787</v>
      </c>
      <c r="B378" t="s">
        <v>1742</v>
      </c>
      <c r="C378" t="s">
        <v>2327</v>
      </c>
      <c r="D378" t="s">
        <v>573</v>
      </c>
      <c r="E378" t="s">
        <v>597</v>
      </c>
      <c r="F378" t="s">
        <v>2966</v>
      </c>
      <c r="G378" s="1">
        <v>2729</v>
      </c>
      <c r="H378">
        <v>24</v>
      </c>
      <c r="I378" t="b">
        <f>AND(COUNTIF(CO!A:A,A378)&gt;0,COUNTIF('NO2'!A:A,A378)&gt;0,COUNTIF('O3'!A:A,A378)&gt;0,COUNTIF('PM2.5'!A:A,A378)&gt;0,COUNTIF('SO2'!A:A,A378)&gt;0,COUNTIF(Kendaraan!A:A,A378)&gt;0)</f>
        <v>1</v>
      </c>
    </row>
    <row r="379" spans="1:9" x14ac:dyDescent="0.45">
      <c r="A379" s="4">
        <v>45788</v>
      </c>
      <c r="B379" t="s">
        <v>725</v>
      </c>
      <c r="C379" t="s">
        <v>1183</v>
      </c>
      <c r="D379" t="s">
        <v>1857</v>
      </c>
      <c r="E379" t="s">
        <v>2064</v>
      </c>
      <c r="F379" t="s">
        <v>1077</v>
      </c>
      <c r="G379" s="1">
        <v>2301</v>
      </c>
      <c r="H379">
        <v>24</v>
      </c>
      <c r="I379" t="b">
        <f>AND(COUNTIF(CO!A:A,A379)&gt;0,COUNTIF('NO2'!A:A,A379)&gt;0,COUNTIF('O3'!A:A,A379)&gt;0,COUNTIF('PM2.5'!A:A,A379)&gt;0,COUNTIF('SO2'!A:A,A379)&gt;0,COUNTIF(Kendaraan!A:A,A379)&gt;0)</f>
        <v>1</v>
      </c>
    </row>
    <row r="380" spans="1:9" x14ac:dyDescent="0.45">
      <c r="A380" s="4">
        <v>45789</v>
      </c>
      <c r="B380" t="s">
        <v>67</v>
      </c>
      <c r="C380">
        <v>9</v>
      </c>
      <c r="D380" t="s">
        <v>3054</v>
      </c>
      <c r="E380" t="s">
        <v>152</v>
      </c>
      <c r="F380" t="s">
        <v>355</v>
      </c>
      <c r="G380" s="1">
        <v>2822</v>
      </c>
      <c r="H380">
        <v>11</v>
      </c>
      <c r="I380" t="b">
        <f>AND(COUNTIF(CO!A:A,A380)&gt;0,COUNTIF('NO2'!A:A,A380)&gt;0,COUNTIF('O3'!A:A,A380)&gt;0,COUNTIF('PM2.5'!A:A,A380)&gt;0,COUNTIF('SO2'!A:A,A380)&gt;0,COUNTIF(Kendaraan!A:A,A380)&gt;0)</f>
        <v>1</v>
      </c>
    </row>
    <row r="381" spans="1:9" x14ac:dyDescent="0.45">
      <c r="A381" s="4">
        <v>45790</v>
      </c>
      <c r="B381" t="s">
        <v>236</v>
      </c>
      <c r="C381" t="s">
        <v>695</v>
      </c>
      <c r="D381" t="s">
        <v>3551</v>
      </c>
      <c r="E381" t="s">
        <v>244</v>
      </c>
      <c r="F381" t="s">
        <v>2073</v>
      </c>
      <c r="G381" s="1">
        <v>2768</v>
      </c>
      <c r="H381">
        <v>12</v>
      </c>
      <c r="I381" t="b">
        <f>AND(COUNTIF(CO!A:A,A381)&gt;0,COUNTIF('NO2'!A:A,A381)&gt;0,COUNTIF('O3'!A:A,A381)&gt;0,COUNTIF('PM2.5'!A:A,A381)&gt;0,COUNTIF('SO2'!A:A,A381)&gt;0,COUNTIF(Kendaraan!A:A,A381)&gt;0)</f>
        <v>1</v>
      </c>
    </row>
    <row r="382" spans="1:9" x14ac:dyDescent="0.45">
      <c r="A382" s="4">
        <v>45791</v>
      </c>
      <c r="B382" t="s">
        <v>695</v>
      </c>
      <c r="C382" t="s">
        <v>1079</v>
      </c>
      <c r="D382" t="s">
        <v>3089</v>
      </c>
      <c r="E382" t="s">
        <v>695</v>
      </c>
      <c r="F382" t="s">
        <v>2960</v>
      </c>
      <c r="G382" s="1">
        <v>2313</v>
      </c>
      <c r="H382">
        <v>24</v>
      </c>
      <c r="I382" t="b">
        <f>AND(COUNTIF(CO!A:A,A382)&gt;0,COUNTIF('NO2'!A:A,A382)&gt;0,COUNTIF('O3'!A:A,A382)&gt;0,COUNTIF('PM2.5'!A:A,A382)&gt;0,COUNTIF('SO2'!A:A,A382)&gt;0,COUNTIF(Kendaraan!A:A,A382)&gt;0)</f>
        <v>1</v>
      </c>
    </row>
    <row r="383" spans="1:9" x14ac:dyDescent="0.45">
      <c r="A383" s="4">
        <v>45792</v>
      </c>
      <c r="B383" t="s">
        <v>2760</v>
      </c>
      <c r="C383" t="s">
        <v>2048</v>
      </c>
      <c r="D383" t="s">
        <v>3552</v>
      </c>
      <c r="E383" t="s">
        <v>3461</v>
      </c>
      <c r="F383" t="s">
        <v>472</v>
      </c>
      <c r="G383" s="1">
        <v>2925</v>
      </c>
      <c r="H383">
        <v>23</v>
      </c>
      <c r="I383" t="b">
        <f>AND(COUNTIF(CO!A:A,A383)&gt;0,COUNTIF('NO2'!A:A,A383)&gt;0,COUNTIF('O3'!A:A,A383)&gt;0,COUNTIF('PM2.5'!A:A,A383)&gt;0,COUNTIF('SO2'!A:A,A383)&gt;0,COUNTIF(Kendaraan!A:A,A383)&gt;0)</f>
        <v>1</v>
      </c>
    </row>
    <row r="384" spans="1:9" x14ac:dyDescent="0.45">
      <c r="A384" s="4">
        <v>45793</v>
      </c>
      <c r="B384" t="s">
        <v>1207</v>
      </c>
      <c r="C384" t="s">
        <v>3181</v>
      </c>
      <c r="D384" t="s">
        <v>1442</v>
      </c>
      <c r="E384" t="s">
        <v>1433</v>
      </c>
      <c r="F384" t="s">
        <v>2971</v>
      </c>
      <c r="G384" s="1">
        <v>1577</v>
      </c>
      <c r="H384">
        <v>24</v>
      </c>
      <c r="I384" t="b">
        <f>AND(COUNTIF(CO!A:A,A384)&gt;0,COUNTIF('NO2'!A:A,A384)&gt;0,COUNTIF('O3'!A:A,A384)&gt;0,COUNTIF('PM2.5'!A:A,A384)&gt;0,COUNTIF('SO2'!A:A,A384)&gt;0,COUNTIF(Kendaraan!A:A,A384)&gt;0)</f>
        <v>1</v>
      </c>
    </row>
    <row r="385" spans="1:9" x14ac:dyDescent="0.45">
      <c r="A385" s="4">
        <v>45794</v>
      </c>
      <c r="B385" t="s">
        <v>2072</v>
      </c>
      <c r="C385" t="s">
        <v>671</v>
      </c>
      <c r="D385" t="s">
        <v>1718</v>
      </c>
      <c r="E385" t="s">
        <v>1737</v>
      </c>
      <c r="F385" t="s">
        <v>927</v>
      </c>
      <c r="G385" s="1">
        <v>4099</v>
      </c>
      <c r="H385">
        <v>24</v>
      </c>
      <c r="I385" t="b">
        <f>AND(COUNTIF(CO!A:A,A385)&gt;0,COUNTIF('NO2'!A:A,A385)&gt;0,COUNTIF('O3'!A:A,A385)&gt;0,COUNTIF('PM2.5'!A:A,A385)&gt;0,COUNTIF('SO2'!A:A,A385)&gt;0,COUNTIF(Kendaraan!A:A,A385)&gt;0)</f>
        <v>1</v>
      </c>
    </row>
    <row r="386" spans="1:9" x14ac:dyDescent="0.45">
      <c r="A386" s="4">
        <v>45795</v>
      </c>
      <c r="B386" t="s">
        <v>3553</v>
      </c>
      <c r="C386" t="s">
        <v>2072</v>
      </c>
      <c r="D386" t="s">
        <v>2072</v>
      </c>
      <c r="E386" t="s">
        <v>1722</v>
      </c>
      <c r="F386" t="s">
        <v>2072</v>
      </c>
      <c r="G386" s="1">
        <v>1841</v>
      </c>
      <c r="H386">
        <v>23</v>
      </c>
      <c r="I386" t="b">
        <f>AND(COUNTIF(CO!A:A,A386)&gt;0,COUNTIF('NO2'!A:A,A386)&gt;0,COUNTIF('O3'!A:A,A386)&gt;0,COUNTIF('PM2.5'!A:A,A386)&gt;0,COUNTIF('SO2'!A:A,A386)&gt;0,COUNTIF(Kendaraan!A:A,A386)&gt;0)</f>
        <v>1</v>
      </c>
    </row>
    <row r="387" spans="1:9" x14ac:dyDescent="0.45">
      <c r="A387" s="4">
        <v>45796</v>
      </c>
      <c r="B387" t="s">
        <v>191</v>
      </c>
      <c r="C387" t="s">
        <v>1301</v>
      </c>
      <c r="D387" t="s">
        <v>3554</v>
      </c>
      <c r="E387" t="s">
        <v>3555</v>
      </c>
      <c r="F387" t="s">
        <v>1050</v>
      </c>
      <c r="G387" s="1">
        <v>3489</v>
      </c>
      <c r="H387">
        <v>23</v>
      </c>
      <c r="I387" t="b">
        <f>AND(COUNTIF(CO!A:A,A387)&gt;0,COUNTIF('NO2'!A:A,A387)&gt;0,COUNTIF('O3'!A:A,A387)&gt;0,COUNTIF('PM2.5'!A:A,A387)&gt;0,COUNTIF('SO2'!A:A,A387)&gt;0,COUNTIF(Kendaraan!A:A,A387)&gt;0)</f>
        <v>1</v>
      </c>
    </row>
    <row r="388" spans="1:9" x14ac:dyDescent="0.45">
      <c r="A388" s="4">
        <v>45797</v>
      </c>
      <c r="B388" t="s">
        <v>2385</v>
      </c>
      <c r="C388" t="s">
        <v>1453</v>
      </c>
      <c r="D388" t="s">
        <v>2751</v>
      </c>
      <c r="E388" t="s">
        <v>2728</v>
      </c>
      <c r="F388" t="s">
        <v>3193</v>
      </c>
      <c r="G388" s="1">
        <v>1994</v>
      </c>
      <c r="H388">
        <v>24</v>
      </c>
      <c r="I388" t="b">
        <f>AND(COUNTIF(CO!A:A,A388)&gt;0,COUNTIF('NO2'!A:A,A388)&gt;0,COUNTIF('O3'!A:A,A388)&gt;0,COUNTIF('PM2.5'!A:A,A388)&gt;0,COUNTIF('SO2'!A:A,A388)&gt;0,COUNTIF(Kendaraan!A:A,A388)&gt;0)</f>
        <v>1</v>
      </c>
    </row>
    <row r="389" spans="1:9" x14ac:dyDescent="0.45">
      <c r="A389" s="4">
        <v>45798</v>
      </c>
      <c r="B389" t="s">
        <v>1856</v>
      </c>
      <c r="C389" t="s">
        <v>1500</v>
      </c>
      <c r="D389" t="s">
        <v>1908</v>
      </c>
      <c r="E389" t="s">
        <v>3147</v>
      </c>
      <c r="F389" t="s">
        <v>1343</v>
      </c>
      <c r="G389" t="s">
        <v>3556</v>
      </c>
      <c r="H389">
        <v>24</v>
      </c>
      <c r="I389" t="b">
        <f>AND(COUNTIF(CO!A:A,A389)&gt;0,COUNTIF('NO2'!A:A,A389)&gt;0,COUNTIF('O3'!A:A,A389)&gt;0,COUNTIF('PM2.5'!A:A,A389)&gt;0,COUNTIF('SO2'!A:A,A389)&gt;0,COUNTIF(Kendaraan!A:A,A389)&gt;0)</f>
        <v>1</v>
      </c>
    </row>
    <row r="390" spans="1:9" x14ac:dyDescent="0.45">
      <c r="A390" s="4">
        <v>45799</v>
      </c>
      <c r="B390" t="s">
        <v>708</v>
      </c>
      <c r="C390" t="s">
        <v>2036</v>
      </c>
      <c r="D390" t="s">
        <v>650</v>
      </c>
      <c r="E390" t="s">
        <v>937</v>
      </c>
      <c r="F390" t="s">
        <v>3557</v>
      </c>
      <c r="G390" s="1">
        <v>5966</v>
      </c>
      <c r="H390">
        <v>24</v>
      </c>
      <c r="I390" t="b">
        <f>AND(COUNTIF(CO!A:A,A390)&gt;0,COUNTIF('NO2'!A:A,A390)&gt;0,COUNTIF('O3'!A:A,A390)&gt;0,COUNTIF('PM2.5'!A:A,A390)&gt;0,COUNTIF('SO2'!A:A,A390)&gt;0,COUNTIF(Kendaraan!A:A,A390)&gt;0)</f>
        <v>1</v>
      </c>
    </row>
    <row r="391" spans="1:9" x14ac:dyDescent="0.45">
      <c r="A391" s="4">
        <v>45800</v>
      </c>
      <c r="B391" t="s">
        <v>1438</v>
      </c>
      <c r="C391" t="s">
        <v>3558</v>
      </c>
      <c r="D391" t="s">
        <v>3559</v>
      </c>
      <c r="E391" t="s">
        <v>1397</v>
      </c>
      <c r="F391" t="s">
        <v>2808</v>
      </c>
      <c r="G391" s="1">
        <v>3469</v>
      </c>
      <c r="H391">
        <v>24</v>
      </c>
      <c r="I391" t="b">
        <f>AND(COUNTIF(CO!A:A,A391)&gt;0,COUNTIF('NO2'!A:A,A391)&gt;0,COUNTIF('O3'!A:A,A391)&gt;0,COUNTIF('PM2.5'!A:A,A391)&gt;0,COUNTIF('SO2'!A:A,A391)&gt;0,COUNTIF(Kendaraan!A:A,A391)&gt;0)</f>
        <v>1</v>
      </c>
    </row>
    <row r="392" spans="1:9" x14ac:dyDescent="0.45">
      <c r="A392" s="4">
        <v>45801</v>
      </c>
      <c r="B392" t="s">
        <v>2719</v>
      </c>
      <c r="C392" t="s">
        <v>2975</v>
      </c>
      <c r="D392" t="s">
        <v>1443</v>
      </c>
      <c r="E392" t="s">
        <v>1105</v>
      </c>
      <c r="F392" t="s">
        <v>657</v>
      </c>
      <c r="G392" s="1">
        <v>3798</v>
      </c>
      <c r="H392">
        <v>24</v>
      </c>
      <c r="I392" t="b">
        <f>AND(COUNTIF(CO!A:A,A392)&gt;0,COUNTIF('NO2'!A:A,A392)&gt;0,COUNTIF('O3'!A:A,A392)&gt;0,COUNTIF('PM2.5'!A:A,A392)&gt;0,COUNTIF('SO2'!A:A,A392)&gt;0,COUNTIF(Kendaraan!A:A,A392)&gt;0)</f>
        <v>1</v>
      </c>
    </row>
    <row r="393" spans="1:9" x14ac:dyDescent="0.45">
      <c r="A393" s="4">
        <v>45802</v>
      </c>
      <c r="B393" t="s">
        <v>1257</v>
      </c>
      <c r="C393" t="s">
        <v>632</v>
      </c>
      <c r="D393" t="s">
        <v>1425</v>
      </c>
      <c r="E393" t="s">
        <v>3476</v>
      </c>
      <c r="F393" t="s">
        <v>410</v>
      </c>
      <c r="G393" s="1">
        <v>1564</v>
      </c>
      <c r="H393">
        <v>24</v>
      </c>
      <c r="I393" t="b">
        <f>AND(COUNTIF(CO!A:A,A393)&gt;0,COUNTIF('NO2'!A:A,A393)&gt;0,COUNTIF('O3'!A:A,A393)&gt;0,COUNTIF('PM2.5'!A:A,A393)&gt;0,COUNTIF('SO2'!A:A,A393)&gt;0,COUNTIF(Kendaraan!A:A,A393)&gt;0)</f>
        <v>1</v>
      </c>
    </row>
    <row r="394" spans="1:9" x14ac:dyDescent="0.45">
      <c r="A394" s="4">
        <v>45803</v>
      </c>
      <c r="B394" t="s">
        <v>3077</v>
      </c>
      <c r="C394" t="s">
        <v>605</v>
      </c>
      <c r="D394" t="s">
        <v>1563</v>
      </c>
      <c r="E394" t="s">
        <v>1127</v>
      </c>
      <c r="F394" t="s">
        <v>1488</v>
      </c>
      <c r="G394" s="1">
        <v>3852</v>
      </c>
      <c r="H394">
        <v>24</v>
      </c>
      <c r="I394" t="b">
        <f>AND(COUNTIF(CO!A:A,A394)&gt;0,COUNTIF('NO2'!A:A,A394)&gt;0,COUNTIF('O3'!A:A,A394)&gt;0,COUNTIF('PM2.5'!A:A,A394)&gt;0,COUNTIF('SO2'!A:A,A394)&gt;0,COUNTIF(Kendaraan!A:A,A394)&gt;0)</f>
        <v>1</v>
      </c>
    </row>
    <row r="395" spans="1:9" x14ac:dyDescent="0.45">
      <c r="A395" s="4">
        <v>45804</v>
      </c>
      <c r="B395" t="s">
        <v>1288</v>
      </c>
      <c r="C395" t="s">
        <v>2006</v>
      </c>
      <c r="D395" t="s">
        <v>2606</v>
      </c>
      <c r="E395" t="s">
        <v>1322</v>
      </c>
      <c r="F395" t="s">
        <v>1485</v>
      </c>
      <c r="G395" s="1">
        <v>5653</v>
      </c>
      <c r="H395">
        <v>24</v>
      </c>
      <c r="I395" t="b">
        <f>AND(COUNTIF(CO!A:A,A395)&gt;0,COUNTIF('NO2'!A:A,A395)&gt;0,COUNTIF('O3'!A:A,A395)&gt;0,COUNTIF('PM2.5'!A:A,A395)&gt;0,COUNTIF('SO2'!A:A,A395)&gt;0,COUNTIF(Kendaraan!A:A,A395)&gt;0)</f>
        <v>1</v>
      </c>
    </row>
    <row r="396" spans="1:9" x14ac:dyDescent="0.45">
      <c r="A396" s="4">
        <v>45805</v>
      </c>
      <c r="B396" t="s">
        <v>1578</v>
      </c>
      <c r="C396" t="s">
        <v>3560</v>
      </c>
      <c r="D396" t="s">
        <v>2416</v>
      </c>
      <c r="E396" t="s">
        <v>3277</v>
      </c>
      <c r="F396" t="s">
        <v>3561</v>
      </c>
      <c r="G396" s="1">
        <v>4461</v>
      </c>
      <c r="H396">
        <v>24</v>
      </c>
      <c r="I396" t="b">
        <f>AND(COUNTIF(CO!A:A,A396)&gt;0,COUNTIF('NO2'!A:A,A396)&gt;0,COUNTIF('O3'!A:A,A396)&gt;0,COUNTIF('PM2.5'!A:A,A396)&gt;0,COUNTIF('SO2'!A:A,A396)&gt;0,COUNTIF(Kendaraan!A:A,A396)&gt;0)</f>
        <v>1</v>
      </c>
    </row>
    <row r="397" spans="1:9" x14ac:dyDescent="0.45">
      <c r="A397" s="4">
        <v>45806</v>
      </c>
      <c r="B397" t="s">
        <v>1073</v>
      </c>
      <c r="C397" t="s">
        <v>1389</v>
      </c>
      <c r="D397" t="s">
        <v>3112</v>
      </c>
      <c r="E397" t="s">
        <v>1065</v>
      </c>
      <c r="F397" t="s">
        <v>1468</v>
      </c>
      <c r="G397" t="s">
        <v>254</v>
      </c>
      <c r="H397">
        <v>24</v>
      </c>
      <c r="I397" t="b">
        <f>AND(COUNTIF(CO!A:A,A397)&gt;0,COUNTIF('NO2'!A:A,A397)&gt;0,COUNTIF('O3'!A:A,A397)&gt;0,COUNTIF('PM2.5'!A:A,A397)&gt;0,COUNTIF('SO2'!A:A,A397)&gt;0,COUNTIF(Kendaraan!A:A,A397)&gt;0)</f>
        <v>1</v>
      </c>
    </row>
    <row r="398" spans="1:9" x14ac:dyDescent="0.45">
      <c r="A398" s="4">
        <v>45807</v>
      </c>
      <c r="B398" t="s">
        <v>3110</v>
      </c>
      <c r="C398" t="s">
        <v>1206</v>
      </c>
      <c r="D398" t="s">
        <v>1225</v>
      </c>
      <c r="E398" t="s">
        <v>1626</v>
      </c>
      <c r="F398" t="s">
        <v>3562</v>
      </c>
      <c r="G398" s="1">
        <v>1553</v>
      </c>
      <c r="H398">
        <v>24</v>
      </c>
      <c r="I398" t="b">
        <f>AND(COUNTIF(CO!A:A,A398)&gt;0,COUNTIF('NO2'!A:A,A398)&gt;0,COUNTIF('O3'!A:A,A398)&gt;0,COUNTIF('PM2.5'!A:A,A398)&gt;0,COUNTIF('SO2'!A:A,A398)&gt;0,COUNTIF(Kendaraan!A:A,A398)&gt;0)</f>
        <v>1</v>
      </c>
    </row>
    <row r="399" spans="1:9" x14ac:dyDescent="0.45">
      <c r="A399" s="4">
        <v>45808</v>
      </c>
      <c r="B399">
        <v>5</v>
      </c>
      <c r="C399" t="s">
        <v>1099</v>
      </c>
      <c r="D399" t="s">
        <v>3563</v>
      </c>
      <c r="E399" t="s">
        <v>3564</v>
      </c>
      <c r="F399" t="s">
        <v>2723</v>
      </c>
      <c r="G399" s="1">
        <v>3732</v>
      </c>
      <c r="H399">
        <v>24</v>
      </c>
      <c r="I399" t="b">
        <f>AND(COUNTIF(CO!A:A,A399)&gt;0,COUNTIF('NO2'!A:A,A399)&gt;0,COUNTIF('O3'!A:A,A399)&gt;0,COUNTIF('PM2.5'!A:A,A399)&gt;0,COUNTIF('SO2'!A:A,A399)&gt;0,COUNTIF(Kendaraan!A:A,A399)&gt;0)</f>
        <v>1</v>
      </c>
    </row>
    <row r="400" spans="1:9" x14ac:dyDescent="0.45">
      <c r="A400" s="4">
        <v>45809</v>
      </c>
      <c r="B400" t="s">
        <v>183</v>
      </c>
      <c r="C400">
        <v>5</v>
      </c>
      <c r="D400">
        <v>5</v>
      </c>
      <c r="E400" t="s">
        <v>3108</v>
      </c>
      <c r="F400">
        <v>5</v>
      </c>
      <c r="G400" s="1">
        <v>1516</v>
      </c>
      <c r="H400">
        <v>23</v>
      </c>
      <c r="I400" t="b">
        <f>AND(COUNTIF(CO!A:A,A400)&gt;0,COUNTIF('NO2'!A:A,A400)&gt;0,COUNTIF('O3'!A:A,A400)&gt;0,COUNTIF('PM2.5'!A:A,A400)&gt;0,COUNTIF('SO2'!A:A,A400)&gt;0,COUNTIF(Kendaraan!A:A,A400)&gt;0)</f>
        <v>1</v>
      </c>
    </row>
    <row r="401" spans="1:9" x14ac:dyDescent="0.45">
      <c r="A401" s="4">
        <v>45810</v>
      </c>
      <c r="B401" t="s">
        <v>3565</v>
      </c>
      <c r="C401" t="s">
        <v>1225</v>
      </c>
      <c r="D401" t="s">
        <v>1225</v>
      </c>
      <c r="E401" t="s">
        <v>1920</v>
      </c>
      <c r="F401" t="s">
        <v>1225</v>
      </c>
      <c r="G401" s="1">
        <v>4884</v>
      </c>
      <c r="H401">
        <v>24</v>
      </c>
      <c r="I401" t="b">
        <f>AND(COUNTIF(CO!A:A,A401)&gt;0,COUNTIF('NO2'!A:A,A401)&gt;0,COUNTIF('O3'!A:A,A401)&gt;0,COUNTIF('PM2.5'!A:A,A401)&gt;0,COUNTIF('SO2'!A:A,A401)&gt;0,COUNTIF(Kendaraan!A:A,A401)&gt;0)</f>
        <v>1</v>
      </c>
    </row>
    <row r="402" spans="1:9" x14ac:dyDescent="0.45">
      <c r="A402" s="4">
        <v>45811</v>
      </c>
      <c r="B402" t="s">
        <v>1628</v>
      </c>
      <c r="C402" t="s">
        <v>3566</v>
      </c>
      <c r="D402" t="s">
        <v>650</v>
      </c>
      <c r="E402" t="s">
        <v>2056</v>
      </c>
      <c r="F402" t="s">
        <v>3567</v>
      </c>
      <c r="G402" s="1">
        <v>9168</v>
      </c>
      <c r="H402">
        <v>24</v>
      </c>
      <c r="I402" t="b">
        <f>AND(COUNTIF(CO!A:A,A402)&gt;0,COUNTIF('NO2'!A:A,A402)&gt;0,COUNTIF('O3'!A:A,A402)&gt;0,COUNTIF('PM2.5'!A:A,A402)&gt;0,COUNTIF('SO2'!A:A,A402)&gt;0,COUNTIF(Kendaraan!A:A,A402)&gt;0)</f>
        <v>1</v>
      </c>
    </row>
    <row r="403" spans="1:9" x14ac:dyDescent="0.45">
      <c r="A403" s="4">
        <v>45812</v>
      </c>
      <c r="B403" t="s">
        <v>922</v>
      </c>
      <c r="C403" t="s">
        <v>3568</v>
      </c>
      <c r="D403" t="s">
        <v>489</v>
      </c>
      <c r="E403" t="s">
        <v>3569</v>
      </c>
      <c r="F403" t="s">
        <v>3570</v>
      </c>
      <c r="G403" s="1">
        <v>7138</v>
      </c>
      <c r="H403">
        <v>24</v>
      </c>
      <c r="I403" t="b">
        <f>AND(COUNTIF(CO!A:A,A403)&gt;0,COUNTIF('NO2'!A:A,A403)&gt;0,COUNTIF('O3'!A:A,A403)&gt;0,COUNTIF('PM2.5'!A:A,A403)&gt;0,COUNTIF('SO2'!A:A,A403)&gt;0,COUNTIF(Kendaraan!A:A,A403)&gt;0)</f>
        <v>1</v>
      </c>
    </row>
    <row r="404" spans="1:9" x14ac:dyDescent="0.45">
      <c r="A404" s="4">
        <v>45813</v>
      </c>
      <c r="B404" t="s">
        <v>948</v>
      </c>
      <c r="C404" t="s">
        <v>922</v>
      </c>
      <c r="D404" t="s">
        <v>1981</v>
      </c>
      <c r="E404" t="s">
        <v>1877</v>
      </c>
      <c r="F404" t="s">
        <v>922</v>
      </c>
      <c r="G404" t="s">
        <v>1819</v>
      </c>
      <c r="H404">
        <v>24</v>
      </c>
      <c r="I404" t="b">
        <f>AND(COUNTIF(CO!A:A,A404)&gt;0,COUNTIF('NO2'!A:A,A404)&gt;0,COUNTIF('O3'!A:A,A404)&gt;0,COUNTIF('PM2.5'!A:A,A404)&gt;0,COUNTIF('SO2'!A:A,A404)&gt;0,COUNTIF(Kendaraan!A:A,A404)&gt;0)</f>
        <v>1</v>
      </c>
    </row>
    <row r="405" spans="1:9" x14ac:dyDescent="0.45">
      <c r="A405" s="4">
        <v>45814</v>
      </c>
      <c r="B405" t="s">
        <v>45</v>
      </c>
      <c r="C405" t="s">
        <v>948</v>
      </c>
      <c r="D405" t="s">
        <v>948</v>
      </c>
      <c r="E405" t="s">
        <v>1652</v>
      </c>
      <c r="F405" t="s">
        <v>948</v>
      </c>
      <c r="G405" t="s">
        <v>3571</v>
      </c>
      <c r="H405">
        <v>23</v>
      </c>
      <c r="I405" t="b">
        <f>AND(COUNTIF(CO!A:A,A405)&gt;0,COUNTIF('NO2'!A:A,A405)&gt;0,COUNTIF('O3'!A:A,A405)&gt;0,COUNTIF('PM2.5'!A:A,A405)&gt;0,COUNTIF('SO2'!A:A,A405)&gt;0,COUNTIF(Kendaraan!A:A,A405)&gt;0)</f>
        <v>1</v>
      </c>
    </row>
    <row r="406" spans="1:9" x14ac:dyDescent="0.45">
      <c r="A406" s="4">
        <v>45815</v>
      </c>
      <c r="B406" t="s">
        <v>35</v>
      </c>
      <c r="C406" t="s">
        <v>2704</v>
      </c>
      <c r="D406" t="s">
        <v>3083</v>
      </c>
      <c r="E406" t="s">
        <v>1953</v>
      </c>
      <c r="F406" t="s">
        <v>731</v>
      </c>
      <c r="G406" s="1">
        <v>3454</v>
      </c>
      <c r="H406">
        <v>24</v>
      </c>
      <c r="I406" t="b">
        <f>AND(COUNTIF(CO!A:A,A406)&gt;0,COUNTIF('NO2'!A:A,A406)&gt;0,COUNTIF('O3'!A:A,A406)&gt;0,COUNTIF('PM2.5'!A:A,A406)&gt;0,COUNTIF('SO2'!A:A,A406)&gt;0,COUNTIF(Kendaraan!A:A,A406)&gt;0)</f>
        <v>1</v>
      </c>
    </row>
    <row r="407" spans="1:9" x14ac:dyDescent="0.45">
      <c r="A407" s="4">
        <v>45816</v>
      </c>
      <c r="B407" t="s">
        <v>233</v>
      </c>
      <c r="C407" t="s">
        <v>1281</v>
      </c>
      <c r="D407" t="s">
        <v>3103</v>
      </c>
      <c r="E407" t="s">
        <v>3572</v>
      </c>
      <c r="F407" t="s">
        <v>3573</v>
      </c>
      <c r="G407" t="s">
        <v>3574</v>
      </c>
      <c r="H407">
        <v>23</v>
      </c>
      <c r="I407" t="b">
        <f>AND(COUNTIF(CO!A:A,A407)&gt;0,COUNTIF('NO2'!A:A,A407)&gt;0,COUNTIF('O3'!A:A,A407)&gt;0,COUNTIF('PM2.5'!A:A,A407)&gt;0,COUNTIF('SO2'!A:A,A407)&gt;0,COUNTIF(Kendaraan!A:A,A407)&gt;0)</f>
        <v>1</v>
      </c>
    </row>
    <row r="408" spans="1:9" x14ac:dyDescent="0.45">
      <c r="A408" s="4">
        <v>45817</v>
      </c>
      <c r="B408">
        <v>2</v>
      </c>
      <c r="C408">
        <v>35</v>
      </c>
      <c r="D408" t="s">
        <v>342</v>
      </c>
      <c r="E408" t="s">
        <v>1882</v>
      </c>
      <c r="F408" t="s">
        <v>846</v>
      </c>
      <c r="G408" s="1">
        <v>10841</v>
      </c>
      <c r="H408">
        <v>12</v>
      </c>
      <c r="I408" t="b">
        <f>AND(COUNTIF(CO!A:A,A408)&gt;0,COUNTIF('NO2'!A:A,A408)&gt;0,COUNTIF('O3'!A:A,A408)&gt;0,COUNTIF('PM2.5'!A:A,A408)&gt;0,COUNTIF('SO2'!A:A,A408)&gt;0,COUNTIF(Kendaraan!A:A,A408)&gt;0)</f>
        <v>1</v>
      </c>
    </row>
    <row r="409" spans="1:9" x14ac:dyDescent="0.45">
      <c r="A409" s="4">
        <v>45818</v>
      </c>
      <c r="B409">
        <v>32</v>
      </c>
      <c r="C409">
        <v>55</v>
      </c>
      <c r="D409" t="s">
        <v>3575</v>
      </c>
      <c r="E409" t="s">
        <v>3576</v>
      </c>
      <c r="F409" t="s">
        <v>3577</v>
      </c>
      <c r="G409" s="1">
        <v>6698</v>
      </c>
      <c r="H409">
        <v>24</v>
      </c>
      <c r="I409" t="b">
        <f>AND(COUNTIF(CO!A:A,A409)&gt;0,COUNTIF('NO2'!A:A,A409)&gt;0,COUNTIF('O3'!A:A,A409)&gt;0,COUNTIF('PM2.5'!A:A,A409)&gt;0,COUNTIF('SO2'!A:A,A409)&gt;0,COUNTIF(Kendaraan!A:A,A409)&gt;0)</f>
        <v>1</v>
      </c>
    </row>
    <row r="410" spans="1:9" x14ac:dyDescent="0.45">
      <c r="A410" s="4">
        <v>45819</v>
      </c>
      <c r="B410" t="s">
        <v>1836</v>
      </c>
      <c r="C410" t="s">
        <v>3578</v>
      </c>
      <c r="D410" t="s">
        <v>1249</v>
      </c>
      <c r="E410" t="s">
        <v>2405</v>
      </c>
      <c r="F410" t="s">
        <v>3198</v>
      </c>
      <c r="G410" t="s">
        <v>3055</v>
      </c>
      <c r="H410">
        <v>24</v>
      </c>
      <c r="I410" t="b">
        <f>AND(COUNTIF(CO!A:A,A410)&gt;0,COUNTIF('NO2'!A:A,A410)&gt;0,COUNTIF('O3'!A:A,A410)&gt;0,COUNTIF('PM2.5'!A:A,A410)&gt;0,COUNTIF('SO2'!A:A,A410)&gt;0,COUNTIF(Kendaraan!A:A,A410)&gt;0)</f>
        <v>1</v>
      </c>
    </row>
    <row r="411" spans="1:9" x14ac:dyDescent="0.45">
      <c r="A411" s="4">
        <v>45820</v>
      </c>
      <c r="B411" t="s">
        <v>2718</v>
      </c>
      <c r="C411" t="s">
        <v>2607</v>
      </c>
      <c r="D411" t="s">
        <v>2607</v>
      </c>
      <c r="E411" t="s">
        <v>1958</v>
      </c>
      <c r="F411" t="s">
        <v>2607</v>
      </c>
      <c r="G411" s="1">
        <v>1505</v>
      </c>
      <c r="H411">
        <v>24</v>
      </c>
      <c r="I411" t="b">
        <f>AND(COUNTIF(CO!A:A,A411)&gt;0,COUNTIF('NO2'!A:A,A411)&gt;0,COUNTIF('O3'!A:A,A411)&gt;0,COUNTIF('PM2.5'!A:A,A411)&gt;0,COUNTIF('SO2'!A:A,A411)&gt;0,COUNTIF(Kendaraan!A:A,A411)&gt;0)</f>
        <v>1</v>
      </c>
    </row>
    <row r="412" spans="1:9" x14ac:dyDescent="0.45">
      <c r="A412" s="4">
        <v>45821</v>
      </c>
      <c r="B412" t="s">
        <v>137</v>
      </c>
      <c r="C412" t="s">
        <v>1372</v>
      </c>
      <c r="D412" t="s">
        <v>3444</v>
      </c>
      <c r="E412" t="s">
        <v>3579</v>
      </c>
      <c r="F412" t="s">
        <v>713</v>
      </c>
      <c r="G412" s="1">
        <v>3646</v>
      </c>
      <c r="H412">
        <v>23</v>
      </c>
      <c r="I412" t="b">
        <f>AND(COUNTIF(CO!A:A,A412)&gt;0,COUNTIF('NO2'!A:A,A412)&gt;0,COUNTIF('O3'!A:A,A412)&gt;0,COUNTIF('PM2.5'!A:A,A412)&gt;0,COUNTIF('SO2'!A:A,A412)&gt;0,COUNTIF(Kendaraan!A:A,A412)&gt;0)</f>
        <v>1</v>
      </c>
    </row>
    <row r="413" spans="1:9" x14ac:dyDescent="0.45">
      <c r="A413" s="4">
        <v>45822</v>
      </c>
      <c r="B413" t="s">
        <v>3077</v>
      </c>
      <c r="C413" t="s">
        <v>1438</v>
      </c>
      <c r="D413" t="s">
        <v>1088</v>
      </c>
      <c r="E413" t="s">
        <v>1324</v>
      </c>
      <c r="F413" t="s">
        <v>1698</v>
      </c>
      <c r="G413" s="1">
        <v>3062</v>
      </c>
      <c r="H413">
        <v>24</v>
      </c>
      <c r="I413" t="b">
        <f>AND(COUNTIF(CO!A:A,A413)&gt;0,COUNTIF('NO2'!A:A,A413)&gt;0,COUNTIF('O3'!A:A,A413)&gt;0,COUNTIF('PM2.5'!A:A,A413)&gt;0,COUNTIF('SO2'!A:A,A413)&gt;0,COUNTIF(Kendaraan!A:A,A413)&gt;0)</f>
        <v>1</v>
      </c>
    </row>
    <row r="414" spans="1:9" x14ac:dyDescent="0.45">
      <c r="A414" s="4">
        <v>45823</v>
      </c>
      <c r="B414" t="s">
        <v>1277</v>
      </c>
      <c r="C414" t="s">
        <v>585</v>
      </c>
      <c r="D414" t="s">
        <v>2766</v>
      </c>
      <c r="E414" t="s">
        <v>2693</v>
      </c>
      <c r="F414" t="s">
        <v>1234</v>
      </c>
      <c r="G414" s="1">
        <v>5106</v>
      </c>
      <c r="H414">
        <v>24</v>
      </c>
      <c r="I414" t="b">
        <f>AND(COUNTIF(CO!A:A,A414)&gt;0,COUNTIF('NO2'!A:A,A414)&gt;0,COUNTIF('O3'!A:A,A414)&gt;0,COUNTIF('PM2.5'!A:A,A414)&gt;0,COUNTIF('SO2'!A:A,A414)&gt;0,COUNTIF(Kendaraan!A:A,A414)&gt;0)</f>
        <v>1</v>
      </c>
    </row>
    <row r="415" spans="1:9" x14ac:dyDescent="0.45">
      <c r="A415" s="4">
        <v>45824</v>
      </c>
      <c r="B415" t="s">
        <v>170</v>
      </c>
      <c r="C415" t="s">
        <v>631</v>
      </c>
      <c r="D415" t="s">
        <v>1347</v>
      </c>
      <c r="E415" t="s">
        <v>3106</v>
      </c>
      <c r="F415" t="s">
        <v>1454</v>
      </c>
      <c r="G415" s="1">
        <v>7014</v>
      </c>
      <c r="H415">
        <v>23</v>
      </c>
      <c r="I415" t="b">
        <f>AND(COUNTIF(CO!A:A,A415)&gt;0,COUNTIF('NO2'!A:A,A415)&gt;0,COUNTIF('O3'!A:A,A415)&gt;0,COUNTIF('PM2.5'!A:A,A415)&gt;0,COUNTIF('SO2'!A:A,A415)&gt;0,COUNTIF(Kendaraan!A:A,A415)&gt;0)</f>
        <v>1</v>
      </c>
    </row>
    <row r="416" spans="1:9" x14ac:dyDescent="0.45">
      <c r="A416" s="4">
        <v>45826</v>
      </c>
      <c r="B416" t="s">
        <v>201</v>
      </c>
      <c r="C416" t="s">
        <v>1975</v>
      </c>
      <c r="D416" t="s">
        <v>3580</v>
      </c>
      <c r="E416" t="s">
        <v>1881</v>
      </c>
      <c r="F416" t="s">
        <v>3483</v>
      </c>
      <c r="G416" s="1">
        <v>7517</v>
      </c>
      <c r="H416">
        <v>22</v>
      </c>
      <c r="I416" t="b">
        <f>AND(COUNTIF(CO!A:A,A416)&gt;0,COUNTIF('NO2'!A:A,A416)&gt;0,COUNTIF('O3'!A:A,A416)&gt;0,COUNTIF('PM2.5'!A:A,A416)&gt;0,COUNTIF('SO2'!A:A,A416)&gt;0,COUNTIF(Kendaraan!A:A,A416)&gt;0)</f>
        <v>1</v>
      </c>
    </row>
    <row r="417" spans="1:9" x14ac:dyDescent="0.45">
      <c r="A417" s="4">
        <v>45827</v>
      </c>
      <c r="B417" t="s">
        <v>1915</v>
      </c>
      <c r="C417" t="s">
        <v>3540</v>
      </c>
      <c r="D417" t="s">
        <v>3129</v>
      </c>
      <c r="E417" t="s">
        <v>3581</v>
      </c>
      <c r="F417" t="s">
        <v>414</v>
      </c>
      <c r="G417" t="s">
        <v>1766</v>
      </c>
      <c r="H417">
        <v>24</v>
      </c>
      <c r="I417" t="b">
        <f>AND(COUNTIF(CO!A:A,A417)&gt;0,COUNTIF('NO2'!A:A,A417)&gt;0,COUNTIF('O3'!A:A,A417)&gt;0,COUNTIF('PM2.5'!A:A,A417)&gt;0,COUNTIF('SO2'!A:A,A417)&gt;0,COUNTIF(Kendaraan!A:A,A417)&gt;0)</f>
        <v>1</v>
      </c>
    </row>
    <row r="418" spans="1:9" x14ac:dyDescent="0.45">
      <c r="A418" s="4">
        <v>45828</v>
      </c>
      <c r="B418" t="s">
        <v>695</v>
      </c>
      <c r="C418" t="s">
        <v>1144</v>
      </c>
      <c r="D418" t="s">
        <v>1144</v>
      </c>
      <c r="E418" t="s">
        <v>2402</v>
      </c>
      <c r="F418" t="s">
        <v>1144</v>
      </c>
      <c r="G418" s="1">
        <v>2854</v>
      </c>
      <c r="H418">
        <v>24</v>
      </c>
      <c r="I418" t="b">
        <f>AND(COUNTIF(CO!A:A,A418)&gt;0,COUNTIF('NO2'!A:A,A418)&gt;0,COUNTIF('O3'!A:A,A418)&gt;0,COUNTIF('PM2.5'!A:A,A418)&gt;0,COUNTIF('SO2'!A:A,A418)&gt;0,COUNTIF(Kendaraan!A:A,A418)&gt;0)</f>
        <v>1</v>
      </c>
    </row>
    <row r="419" spans="1:9" x14ac:dyDescent="0.45">
      <c r="A419" s="4">
        <v>45829</v>
      </c>
      <c r="B419" t="s">
        <v>244</v>
      </c>
      <c r="C419" t="s">
        <v>3582</v>
      </c>
      <c r="D419" t="s">
        <v>1853</v>
      </c>
      <c r="E419" t="s">
        <v>1803</v>
      </c>
      <c r="F419" t="s">
        <v>873</v>
      </c>
      <c r="G419" t="s">
        <v>3583</v>
      </c>
      <c r="H419">
        <v>23</v>
      </c>
      <c r="I419" t="b">
        <f>AND(COUNTIF(CO!A:A,A419)&gt;0,COUNTIF('NO2'!A:A,A419)&gt;0,COUNTIF('O3'!A:A,A419)&gt;0,COUNTIF('PM2.5'!A:A,A419)&gt;0,COUNTIF('SO2'!A:A,A419)&gt;0,COUNTIF(Kendaraan!A:A,A419)&gt;0)</f>
        <v>1</v>
      </c>
    </row>
    <row r="420" spans="1:9" x14ac:dyDescent="0.45">
      <c r="A420" s="4">
        <v>45830</v>
      </c>
      <c r="B420" t="s">
        <v>1537</v>
      </c>
      <c r="C420" t="s">
        <v>3584</v>
      </c>
      <c r="D420" t="s">
        <v>3582</v>
      </c>
      <c r="E420" t="s">
        <v>2828</v>
      </c>
      <c r="F420" t="s">
        <v>3582</v>
      </c>
      <c r="G420" s="1">
        <v>1401</v>
      </c>
      <c r="H420">
        <v>24</v>
      </c>
      <c r="I420" t="b">
        <f>AND(COUNTIF(CO!A:A,A420)&gt;0,COUNTIF('NO2'!A:A,A420)&gt;0,COUNTIF('O3'!A:A,A420)&gt;0,COUNTIF('PM2.5'!A:A,A420)&gt;0,COUNTIF('SO2'!A:A,A420)&gt;0,COUNTIF(Kendaraan!A:A,A420)&gt;0)</f>
        <v>1</v>
      </c>
    </row>
    <row r="421" spans="1:9" x14ac:dyDescent="0.45">
      <c r="A421" s="4">
        <v>45831</v>
      </c>
      <c r="B421" t="s">
        <v>908</v>
      </c>
      <c r="C421" t="s">
        <v>3585</v>
      </c>
      <c r="D421" t="s">
        <v>2280</v>
      </c>
      <c r="E421" t="s">
        <v>3586</v>
      </c>
      <c r="F421" t="s">
        <v>3587</v>
      </c>
      <c r="G421" s="1">
        <v>8969</v>
      </c>
      <c r="H421">
        <v>24</v>
      </c>
      <c r="I421" t="b">
        <f>AND(COUNTIF(CO!A:A,A421)&gt;0,COUNTIF('NO2'!A:A,A421)&gt;0,COUNTIF('O3'!A:A,A421)&gt;0,COUNTIF('PM2.5'!A:A,A421)&gt;0,COUNTIF('SO2'!A:A,A421)&gt;0,COUNTIF(Kendaraan!A:A,A421)&gt;0)</f>
        <v>1</v>
      </c>
    </row>
    <row r="422" spans="1:9" x14ac:dyDescent="0.45">
      <c r="A422" s="4">
        <v>45832</v>
      </c>
      <c r="B422" t="s">
        <v>1355</v>
      </c>
      <c r="C422" t="s">
        <v>3588</v>
      </c>
      <c r="D422" t="s">
        <v>1187</v>
      </c>
      <c r="E422" t="s">
        <v>1923</v>
      </c>
      <c r="F422" t="s">
        <v>1187</v>
      </c>
      <c r="G422" s="1">
        <v>2048</v>
      </c>
      <c r="H422">
        <v>24</v>
      </c>
      <c r="I422" t="b">
        <f>AND(COUNTIF(CO!A:A,A422)&gt;0,COUNTIF('NO2'!A:A,A422)&gt;0,COUNTIF('O3'!A:A,A422)&gt;0,COUNTIF('PM2.5'!A:A,A422)&gt;0,COUNTIF('SO2'!A:A,A422)&gt;0,COUNTIF(Kendaraan!A:A,A422)&gt;0)</f>
        <v>1</v>
      </c>
    </row>
    <row r="423" spans="1:9" x14ac:dyDescent="0.45">
      <c r="A423" s="4">
        <v>45833</v>
      </c>
      <c r="B423" t="s">
        <v>1780</v>
      </c>
      <c r="C423" t="s">
        <v>1268</v>
      </c>
      <c r="D423" t="s">
        <v>1111</v>
      </c>
      <c r="E423" t="s">
        <v>3094</v>
      </c>
      <c r="F423" t="s">
        <v>3589</v>
      </c>
      <c r="G423" s="1">
        <v>2339</v>
      </c>
      <c r="H423">
        <v>24</v>
      </c>
      <c r="I423" t="b">
        <f>AND(COUNTIF(CO!A:A,A423)&gt;0,COUNTIF('NO2'!A:A,A423)&gt;0,COUNTIF('O3'!A:A,A423)&gt;0,COUNTIF('PM2.5'!A:A,A423)&gt;0,COUNTIF('SO2'!A:A,A423)&gt;0,COUNTIF(Kendaraan!A:A,A423)&gt;0)</f>
        <v>1</v>
      </c>
    </row>
    <row r="424" spans="1:9" x14ac:dyDescent="0.45">
      <c r="A424" s="4">
        <v>45834</v>
      </c>
      <c r="B424" t="s">
        <v>1065</v>
      </c>
      <c r="C424" t="s">
        <v>881</v>
      </c>
      <c r="D424" t="s">
        <v>1930</v>
      </c>
      <c r="E424" t="s">
        <v>1099</v>
      </c>
      <c r="F424" t="s">
        <v>1228</v>
      </c>
      <c r="G424" s="1">
        <v>1756</v>
      </c>
      <c r="H424">
        <v>12</v>
      </c>
      <c r="I424" t="b">
        <f>AND(COUNTIF(CO!A:A,A424)&gt;0,COUNTIF('NO2'!A:A,A424)&gt;0,COUNTIF('O3'!A:A,A424)&gt;0,COUNTIF('PM2.5'!A:A,A424)&gt;0,COUNTIF('SO2'!A:A,A424)&gt;0,COUNTIF(Kendaraan!A:A,A424)&gt;0)</f>
        <v>1</v>
      </c>
    </row>
    <row r="425" spans="1:9" x14ac:dyDescent="0.45">
      <c r="A425" s="4">
        <v>45838</v>
      </c>
      <c r="B425" t="s">
        <v>2939</v>
      </c>
      <c r="C425">
        <v>43</v>
      </c>
      <c r="D425" t="s">
        <v>3590</v>
      </c>
      <c r="E425" t="s">
        <v>1594</v>
      </c>
      <c r="F425" t="s">
        <v>3591</v>
      </c>
      <c r="G425" t="s">
        <v>3592</v>
      </c>
      <c r="H425">
        <v>4</v>
      </c>
      <c r="I425" t="b">
        <f>AND(COUNTIF(CO!A:A,A425)&gt;0,COUNTIF('NO2'!A:A,A425)&gt;0,COUNTIF('O3'!A:A,A425)&gt;0,COUNTIF('PM2.5'!A:A,A425)&gt;0,COUNTIF('SO2'!A:A,A425)&gt;0,COUNTIF(Kendaraan!A:A,A425)&gt;0)</f>
        <v>1</v>
      </c>
    </row>
    <row r="426" spans="1:9" x14ac:dyDescent="0.45">
      <c r="A426" s="4">
        <v>45839</v>
      </c>
      <c r="B426" t="s">
        <v>1834</v>
      </c>
      <c r="C426" t="s">
        <v>3593</v>
      </c>
      <c r="D426" t="s">
        <v>1995</v>
      </c>
      <c r="E426" t="s">
        <v>740</v>
      </c>
      <c r="F426" t="s">
        <v>3594</v>
      </c>
      <c r="G426" s="1">
        <v>12121</v>
      </c>
      <c r="H426">
        <v>23</v>
      </c>
      <c r="I426" t="b">
        <f>AND(COUNTIF(CO!A:A,A426)&gt;0,COUNTIF('NO2'!A:A,A426)&gt;0,COUNTIF('O3'!A:A,A426)&gt;0,COUNTIF('PM2.5'!A:A,A426)&gt;0,COUNTIF('SO2'!A:A,A426)&gt;0,COUNTIF(Kendaraan!A:A,A426)&gt;0)</f>
        <v>1</v>
      </c>
    </row>
    <row r="427" spans="1:9" x14ac:dyDescent="0.45">
      <c r="A427" s="4">
        <v>45840</v>
      </c>
      <c r="B427" t="s">
        <v>2091</v>
      </c>
      <c r="C427" t="s">
        <v>3595</v>
      </c>
      <c r="D427" t="s">
        <v>692</v>
      </c>
      <c r="E427" t="s">
        <v>1741</v>
      </c>
      <c r="F427" t="s">
        <v>2341</v>
      </c>
      <c r="G427" t="s">
        <v>714</v>
      </c>
      <c r="H427">
        <v>24</v>
      </c>
      <c r="I427" t="b">
        <f>AND(COUNTIF(CO!A:A,A427)&gt;0,COUNTIF('NO2'!A:A,A427)&gt;0,COUNTIF('O3'!A:A,A427)&gt;0,COUNTIF('PM2.5'!A:A,A427)&gt;0,COUNTIF('SO2'!A:A,A427)&gt;0,COUNTIF(Kendaraan!A:A,A427)&gt;0)</f>
        <v>1</v>
      </c>
    </row>
    <row r="428" spans="1:9" x14ac:dyDescent="0.45">
      <c r="A428" s="4">
        <v>45841</v>
      </c>
      <c r="B428" t="s">
        <v>915</v>
      </c>
      <c r="C428" t="s">
        <v>3596</v>
      </c>
      <c r="D428" t="s">
        <v>852</v>
      </c>
      <c r="E428" t="s">
        <v>3521</v>
      </c>
      <c r="F428" t="s">
        <v>3597</v>
      </c>
      <c r="G428" s="1">
        <v>2737</v>
      </c>
      <c r="H428">
        <v>24</v>
      </c>
      <c r="I428" t="b">
        <f>AND(COUNTIF(CO!A:A,A428)&gt;0,COUNTIF('NO2'!A:A,A428)&gt;0,COUNTIF('O3'!A:A,A428)&gt;0,COUNTIF('PM2.5'!A:A,A428)&gt;0,COUNTIF('SO2'!A:A,A428)&gt;0,COUNTIF(Kendaraan!A:A,A428)&gt;0)</f>
        <v>1</v>
      </c>
    </row>
    <row r="429" spans="1:9" x14ac:dyDescent="0.45">
      <c r="A429" s="4">
        <v>45842</v>
      </c>
      <c r="B429" t="s">
        <v>2397</v>
      </c>
      <c r="C429" t="s">
        <v>1866</v>
      </c>
      <c r="D429" t="s">
        <v>2742</v>
      </c>
      <c r="E429" t="s">
        <v>2776</v>
      </c>
      <c r="F429" t="s">
        <v>1225</v>
      </c>
      <c r="G429" t="s">
        <v>1673</v>
      </c>
      <c r="H429">
        <v>20</v>
      </c>
      <c r="I429" t="b">
        <f>AND(COUNTIF(CO!A:A,A429)&gt;0,COUNTIF('NO2'!A:A,A429)&gt;0,COUNTIF('O3'!A:A,A429)&gt;0,COUNTIF('PM2.5'!A:A,A429)&gt;0,COUNTIF('SO2'!A:A,A429)&gt;0,COUNTIF(Kendaraan!A:A,A429)&gt;0)</f>
        <v>1</v>
      </c>
    </row>
    <row r="430" spans="1:9" x14ac:dyDescent="0.45">
      <c r="A430" s="4">
        <v>45845</v>
      </c>
      <c r="B430" t="s">
        <v>901</v>
      </c>
      <c r="C430" t="s">
        <v>596</v>
      </c>
      <c r="D430" t="s">
        <v>420</v>
      </c>
      <c r="E430" t="s">
        <v>3598</v>
      </c>
      <c r="F430" t="s">
        <v>479</v>
      </c>
      <c r="G430" t="s">
        <v>3599</v>
      </c>
      <c r="H430">
        <v>5</v>
      </c>
      <c r="I430" t="b">
        <f>AND(COUNTIF(CO!A:A,A430)&gt;0,COUNTIF('NO2'!A:A,A430)&gt;0,COUNTIF('O3'!A:A,A430)&gt;0,COUNTIF('PM2.5'!A:A,A430)&gt;0,COUNTIF('SO2'!A:A,A430)&gt;0,COUNTIF(Kendaraan!A:A,A430)&gt;0)</f>
        <v>1</v>
      </c>
    </row>
    <row r="431" spans="1:9" x14ac:dyDescent="0.45">
      <c r="A431" s="4">
        <v>45846</v>
      </c>
      <c r="B431" t="s">
        <v>1499</v>
      </c>
      <c r="C431" t="s">
        <v>3600</v>
      </c>
      <c r="D431" t="s">
        <v>3169</v>
      </c>
      <c r="E431" t="s">
        <v>1917</v>
      </c>
      <c r="F431" t="s">
        <v>1443</v>
      </c>
      <c r="G431" s="1">
        <v>1741</v>
      </c>
      <c r="H431">
        <v>24</v>
      </c>
      <c r="I431" t="b">
        <f>AND(COUNTIF(CO!A:A,A431)&gt;0,COUNTIF('NO2'!A:A,A431)&gt;0,COUNTIF('O3'!A:A,A431)&gt;0,COUNTIF('PM2.5'!A:A,A431)&gt;0,COUNTIF('SO2'!A:A,A431)&gt;0,COUNTIF(Kendaraan!A:A,A431)&gt;0)</f>
        <v>1</v>
      </c>
    </row>
    <row r="432" spans="1:9" x14ac:dyDescent="0.45">
      <c r="A432" s="4">
        <v>45847</v>
      </c>
      <c r="B432" t="s">
        <v>1913</v>
      </c>
      <c r="C432" t="s">
        <v>1158</v>
      </c>
      <c r="D432" t="s">
        <v>1807</v>
      </c>
      <c r="E432" t="s">
        <v>1654</v>
      </c>
      <c r="F432" t="s">
        <v>1858</v>
      </c>
      <c r="G432" s="1">
        <v>3856</v>
      </c>
      <c r="H432">
        <v>24</v>
      </c>
      <c r="I432" t="b">
        <f>AND(COUNTIF(CO!A:A,A432)&gt;0,COUNTIF('NO2'!A:A,A432)&gt;0,COUNTIF('O3'!A:A,A432)&gt;0,COUNTIF('PM2.5'!A:A,A432)&gt;0,COUNTIF('SO2'!A:A,A432)&gt;0,COUNTIF(Kendaraan!A:A,A432)&gt;0)</f>
        <v>1</v>
      </c>
    </row>
    <row r="433" spans="1:9" x14ac:dyDescent="0.45">
      <c r="A433" s="4">
        <v>45848</v>
      </c>
      <c r="B433" t="s">
        <v>3139</v>
      </c>
      <c r="C433" t="s">
        <v>1122</v>
      </c>
      <c r="D433" t="s">
        <v>459</v>
      </c>
      <c r="E433" t="s">
        <v>3601</v>
      </c>
      <c r="F433" t="s">
        <v>1345</v>
      </c>
      <c r="G433" s="1">
        <v>4361</v>
      </c>
      <c r="H433">
        <v>24</v>
      </c>
      <c r="I433" t="b">
        <f>AND(COUNTIF(CO!A:A,A433)&gt;0,COUNTIF('NO2'!A:A,A433)&gt;0,COUNTIF('O3'!A:A,A433)&gt;0,COUNTIF('PM2.5'!A:A,A433)&gt;0,COUNTIF('SO2'!A:A,A433)&gt;0,COUNTIF(Kendaraan!A:A,A433)&gt;0)</f>
        <v>1</v>
      </c>
    </row>
    <row r="434" spans="1:9" x14ac:dyDescent="0.45">
      <c r="A434" s="4">
        <v>45849</v>
      </c>
      <c r="B434" t="s">
        <v>1145</v>
      </c>
      <c r="C434" t="s">
        <v>3602</v>
      </c>
      <c r="D434" t="s">
        <v>2049</v>
      </c>
      <c r="E434" t="s">
        <v>1209</v>
      </c>
      <c r="F434" t="s">
        <v>3603</v>
      </c>
      <c r="G434" s="1">
        <v>13874</v>
      </c>
      <c r="H434">
        <v>24</v>
      </c>
      <c r="I434" t="b">
        <f>AND(COUNTIF(CO!A:A,A434)&gt;0,COUNTIF('NO2'!A:A,A434)&gt;0,COUNTIF('O3'!A:A,A434)&gt;0,COUNTIF('PM2.5'!A:A,A434)&gt;0,COUNTIF('SO2'!A:A,A434)&gt;0,COUNTIF(Kendaraan!A:A,A434)&gt;0)</f>
        <v>1</v>
      </c>
    </row>
    <row r="435" spans="1:9" x14ac:dyDescent="0.45">
      <c r="A435" s="4">
        <v>45850</v>
      </c>
      <c r="B435" t="s">
        <v>1218</v>
      </c>
      <c r="C435" t="s">
        <v>3604</v>
      </c>
      <c r="D435" t="s">
        <v>3605</v>
      </c>
      <c r="E435" t="s">
        <v>1992</v>
      </c>
      <c r="F435" t="s">
        <v>3606</v>
      </c>
      <c r="G435" s="1">
        <v>12732</v>
      </c>
      <c r="H435">
        <v>24</v>
      </c>
      <c r="I435" t="b">
        <f>AND(COUNTIF(CO!A:A,A435)&gt;0,COUNTIF('NO2'!A:A,A435)&gt;0,COUNTIF('O3'!A:A,A435)&gt;0,COUNTIF('PM2.5'!A:A,A435)&gt;0,COUNTIF('SO2'!A:A,A435)&gt;0,COUNTIF(Kendaraan!A:A,A435)&gt;0)</f>
        <v>1</v>
      </c>
    </row>
    <row r="436" spans="1:9" x14ac:dyDescent="0.45">
      <c r="A436" s="4">
        <v>45851</v>
      </c>
      <c r="B436" t="s">
        <v>1754</v>
      </c>
      <c r="C436" t="s">
        <v>1203</v>
      </c>
      <c r="D436" t="s">
        <v>3562</v>
      </c>
      <c r="E436" t="s">
        <v>2751</v>
      </c>
      <c r="F436" t="s">
        <v>1203</v>
      </c>
      <c r="G436" s="1">
        <v>2605</v>
      </c>
      <c r="H436">
        <v>24</v>
      </c>
      <c r="I436" t="b">
        <f>AND(COUNTIF(CO!A:A,A436)&gt;0,COUNTIF('NO2'!A:A,A436)&gt;0,COUNTIF('O3'!A:A,A436)&gt;0,COUNTIF('PM2.5'!A:A,A436)&gt;0,COUNTIF('SO2'!A:A,A436)&gt;0,COUNTIF(Kendaraan!A:A,A436)&gt;0)</f>
        <v>1</v>
      </c>
    </row>
    <row r="437" spans="1:9" x14ac:dyDescent="0.45">
      <c r="A437" s="4">
        <v>45852</v>
      </c>
      <c r="B437" t="s">
        <v>1754</v>
      </c>
      <c r="C437" t="s">
        <v>1161</v>
      </c>
      <c r="D437" t="s">
        <v>1077</v>
      </c>
      <c r="E437" t="s">
        <v>1368</v>
      </c>
      <c r="F437" t="s">
        <v>1102</v>
      </c>
      <c r="G437" s="1">
        <v>2017</v>
      </c>
      <c r="H437">
        <v>24</v>
      </c>
      <c r="I437" t="b">
        <f>AND(COUNTIF(CO!A:A,A437)&gt;0,COUNTIF('NO2'!A:A,A437)&gt;0,COUNTIF('O3'!A:A,A437)&gt;0,COUNTIF('PM2.5'!A:A,A437)&gt;0,COUNTIF('SO2'!A:A,A437)&gt;0,COUNTIF(Kendaraan!A:A,A437)&gt;0)</f>
        <v>1</v>
      </c>
    </row>
    <row r="438" spans="1:9" x14ac:dyDescent="0.45">
      <c r="A438" s="4">
        <v>45853</v>
      </c>
      <c r="B438" t="s">
        <v>1370</v>
      </c>
      <c r="C438" t="s">
        <v>1176</v>
      </c>
      <c r="D438" t="s">
        <v>3404</v>
      </c>
      <c r="E438" t="s">
        <v>3607</v>
      </c>
      <c r="F438" t="s">
        <v>1943</v>
      </c>
      <c r="G438" t="s">
        <v>3608</v>
      </c>
      <c r="H438">
        <v>24</v>
      </c>
      <c r="I438" t="b">
        <f>AND(COUNTIF(CO!A:A,A438)&gt;0,COUNTIF('NO2'!A:A,A438)&gt;0,COUNTIF('O3'!A:A,A438)&gt;0,COUNTIF('PM2.5'!A:A,A438)&gt;0,COUNTIF('SO2'!A:A,A438)&gt;0,COUNTIF(Kendaraan!A:A,A438)&gt;0)</f>
        <v>1</v>
      </c>
    </row>
    <row r="439" spans="1:9" x14ac:dyDescent="0.45">
      <c r="A439" s="4">
        <v>45854</v>
      </c>
      <c r="B439">
        <v>7</v>
      </c>
      <c r="C439" t="s">
        <v>3025</v>
      </c>
      <c r="D439" t="s">
        <v>2734</v>
      </c>
      <c r="E439" t="s">
        <v>3213</v>
      </c>
      <c r="F439" t="s">
        <v>937</v>
      </c>
      <c r="G439" s="1">
        <v>3679</v>
      </c>
      <c r="H439">
        <v>24</v>
      </c>
      <c r="I439" t="b">
        <f>AND(COUNTIF(CO!A:A,A439)&gt;0,COUNTIF('NO2'!A:A,A439)&gt;0,COUNTIF('O3'!A:A,A439)&gt;0,COUNTIF('PM2.5'!A:A,A439)&gt;0,COUNTIF('SO2'!A:A,A439)&gt;0,COUNTIF(Kendaraan!A:A,A439)&gt;0)</f>
        <v>1</v>
      </c>
    </row>
    <row r="440" spans="1:9" x14ac:dyDescent="0.45">
      <c r="A440" s="4">
        <v>45855</v>
      </c>
      <c r="B440" t="s">
        <v>202</v>
      </c>
      <c r="C440" t="s">
        <v>1837</v>
      </c>
      <c r="D440" t="s">
        <v>3609</v>
      </c>
      <c r="E440" t="s">
        <v>3241</v>
      </c>
      <c r="F440" t="s">
        <v>1665</v>
      </c>
      <c r="G440" s="1">
        <v>1643</v>
      </c>
      <c r="H440">
        <v>11</v>
      </c>
      <c r="I440" t="b">
        <f>AND(COUNTIF(CO!A:A,A440)&gt;0,COUNTIF('NO2'!A:A,A440)&gt;0,COUNTIF('O3'!A:A,A440)&gt;0,COUNTIF('PM2.5'!A:A,A440)&gt;0,COUNTIF('SO2'!A:A,A440)&gt;0,COUNTIF(Kendaraan!A:A,A440)&gt;0)</f>
        <v>1</v>
      </c>
    </row>
    <row r="441" spans="1:9" x14ac:dyDescent="0.45">
      <c r="A441" s="4">
        <v>45857</v>
      </c>
      <c r="B441">
        <v>1</v>
      </c>
      <c r="C441" t="s">
        <v>3610</v>
      </c>
      <c r="D441" t="s">
        <v>3610</v>
      </c>
      <c r="E441" t="s">
        <v>1824</v>
      </c>
      <c r="F441" t="s">
        <v>3610</v>
      </c>
      <c r="G441" s="1">
        <v>2089</v>
      </c>
      <c r="H441">
        <v>24</v>
      </c>
      <c r="I441" t="b">
        <f>AND(COUNTIF(CO!A:A,A441)&gt;0,COUNTIF('NO2'!A:A,A441)&gt;0,COUNTIF('O3'!A:A,A441)&gt;0,COUNTIF('PM2.5'!A:A,A441)&gt;0,COUNTIF('SO2'!A:A,A441)&gt;0,COUNTIF(Kendaraan!A:A,A441)&gt;0)</f>
        <v>1</v>
      </c>
    </row>
    <row r="442" spans="1:9" x14ac:dyDescent="0.45">
      <c r="A442" s="4">
        <v>45858</v>
      </c>
      <c r="B442" t="s">
        <v>1735</v>
      </c>
      <c r="C442" t="s">
        <v>1085</v>
      </c>
      <c r="D442" t="s">
        <v>701</v>
      </c>
      <c r="E442" t="s">
        <v>3059</v>
      </c>
      <c r="F442" t="s">
        <v>2395</v>
      </c>
      <c r="G442" s="1">
        <v>2416</v>
      </c>
      <c r="H442">
        <v>24</v>
      </c>
      <c r="I442" t="b">
        <f>AND(COUNTIF(CO!A:A,A442)&gt;0,COUNTIF('NO2'!A:A,A442)&gt;0,COUNTIF('O3'!A:A,A442)&gt;0,COUNTIF('PM2.5'!A:A,A442)&gt;0,COUNTIF('SO2'!A:A,A442)&gt;0,COUNTIF(Kendaraan!A:A,A442)&gt;0)</f>
        <v>1</v>
      </c>
    </row>
    <row r="443" spans="1:9" x14ac:dyDescent="0.45">
      <c r="A443" s="4">
        <v>45859</v>
      </c>
      <c r="B443" t="s">
        <v>1577</v>
      </c>
      <c r="C443" t="s">
        <v>1438</v>
      </c>
      <c r="D443" t="s">
        <v>1086</v>
      </c>
      <c r="E443" t="s">
        <v>2608</v>
      </c>
      <c r="F443" t="s">
        <v>922</v>
      </c>
      <c r="G443" s="1">
        <v>1991</v>
      </c>
      <c r="H443">
        <v>24</v>
      </c>
      <c r="I443" t="b">
        <f>AND(COUNTIF(CO!A:A,A443)&gt;0,COUNTIF('NO2'!A:A,A443)&gt;0,COUNTIF('O3'!A:A,A443)&gt;0,COUNTIF('PM2.5'!A:A,A443)&gt;0,COUNTIF('SO2'!A:A,A443)&gt;0,COUNTIF(Kendaraan!A:A,A443)&gt;0)</f>
        <v>1</v>
      </c>
    </row>
    <row r="444" spans="1:9" x14ac:dyDescent="0.45">
      <c r="A444" s="4">
        <v>45860</v>
      </c>
      <c r="B444" t="s">
        <v>1487</v>
      </c>
      <c r="C444" t="s">
        <v>343</v>
      </c>
      <c r="D444" t="s">
        <v>1994</v>
      </c>
      <c r="E444" t="s">
        <v>3129</v>
      </c>
      <c r="F444" t="s">
        <v>1402</v>
      </c>
      <c r="G444" s="1">
        <v>1059</v>
      </c>
      <c r="H444">
        <v>24</v>
      </c>
      <c r="I444" t="b">
        <f>AND(COUNTIF(CO!A:A,A444)&gt;0,COUNTIF('NO2'!A:A,A444)&gt;0,COUNTIF('O3'!A:A,A444)&gt;0,COUNTIF('PM2.5'!A:A,A444)&gt;0,COUNTIF('SO2'!A:A,A444)&gt;0,COUNTIF(Kendaraan!A:A,A444)&gt;0)</f>
        <v>1</v>
      </c>
    </row>
    <row r="445" spans="1:9" x14ac:dyDescent="0.45">
      <c r="A445" s="4">
        <v>45861</v>
      </c>
      <c r="B445" t="s">
        <v>428</v>
      </c>
      <c r="C445" t="s">
        <v>1892</v>
      </c>
      <c r="D445" t="s">
        <v>1650</v>
      </c>
      <c r="E445" t="s">
        <v>428</v>
      </c>
      <c r="F445" t="s">
        <v>1892</v>
      </c>
      <c r="G445" t="s">
        <v>2905</v>
      </c>
      <c r="H445">
        <v>2</v>
      </c>
      <c r="I445" t="b">
        <f>AND(COUNTIF(CO!A:A,A445)&gt;0,COUNTIF('NO2'!A:A,A445)&gt;0,COUNTIF('O3'!A:A,A445)&gt;0,COUNTIF('PM2.5'!A:A,A445)&gt;0,COUNTIF('SO2'!A:A,A445)&gt;0,COUNTIF(Kendaraan!A:A,A445)&gt;0)</f>
        <v>1</v>
      </c>
    </row>
    <row r="446" spans="1:9" x14ac:dyDescent="0.45">
      <c r="A446" s="4">
        <v>45862</v>
      </c>
      <c r="B446" t="s">
        <v>1433</v>
      </c>
      <c r="C446" t="s">
        <v>1390</v>
      </c>
      <c r="D446" t="s">
        <v>1261</v>
      </c>
      <c r="E446" t="s">
        <v>885</v>
      </c>
      <c r="F446" t="s">
        <v>465</v>
      </c>
      <c r="G446" t="s">
        <v>3611</v>
      </c>
      <c r="H446">
        <v>5</v>
      </c>
      <c r="I446" t="b">
        <f>AND(COUNTIF(CO!A:A,A446)&gt;0,COUNTIF('NO2'!A:A,A446)&gt;0,COUNTIF('O3'!A:A,A446)&gt;0,COUNTIF('PM2.5'!A:A,A446)&gt;0,COUNTIF('SO2'!A:A,A446)&gt;0,COUNTIF(Kendaraan!A:A,A446)&gt;0)</f>
        <v>1</v>
      </c>
    </row>
    <row r="447" spans="1:9" x14ac:dyDescent="0.45">
      <c r="A447" s="4">
        <v>45863</v>
      </c>
      <c r="B447" t="s">
        <v>1980</v>
      </c>
      <c r="C447" t="s">
        <v>617</v>
      </c>
      <c r="D447" t="s">
        <v>1443</v>
      </c>
      <c r="E447" t="s">
        <v>1929</v>
      </c>
      <c r="F447" t="s">
        <v>892</v>
      </c>
      <c r="G447" s="1">
        <v>1611</v>
      </c>
      <c r="H447">
        <v>24</v>
      </c>
      <c r="I447" t="b">
        <f>AND(COUNTIF(CO!A:A,A447)&gt;0,COUNTIF('NO2'!A:A,A447)&gt;0,COUNTIF('O3'!A:A,A447)&gt;0,COUNTIF('PM2.5'!A:A,A447)&gt;0,COUNTIF('SO2'!A:A,A447)&gt;0,COUNTIF(Kendaraan!A:A,A447)&gt;0)</f>
        <v>1</v>
      </c>
    </row>
    <row r="448" spans="1:9" x14ac:dyDescent="0.45">
      <c r="A448" s="4">
        <v>45864</v>
      </c>
      <c r="B448" t="s">
        <v>614</v>
      </c>
      <c r="C448" t="s">
        <v>1903</v>
      </c>
      <c r="D448" t="s">
        <v>501</v>
      </c>
      <c r="E448" t="s">
        <v>1417</v>
      </c>
      <c r="F448" t="s">
        <v>1423</v>
      </c>
      <c r="G448" s="1">
        <v>1702</v>
      </c>
      <c r="H448">
        <v>24</v>
      </c>
      <c r="I448" t="b">
        <f>AND(COUNTIF(CO!A:A,A448)&gt;0,COUNTIF('NO2'!A:A,A448)&gt;0,COUNTIF('O3'!A:A,A448)&gt;0,COUNTIF('PM2.5'!A:A,A448)&gt;0,COUNTIF('SO2'!A:A,A448)&gt;0,COUNTIF(Kendaraan!A:A,A448)&gt;0)</f>
        <v>1</v>
      </c>
    </row>
    <row r="449" spans="1:9" x14ac:dyDescent="0.45">
      <c r="A449" s="4">
        <v>45865</v>
      </c>
      <c r="B449" t="s">
        <v>1404</v>
      </c>
      <c r="C449" t="s">
        <v>3612</v>
      </c>
      <c r="D449" t="s">
        <v>3326</v>
      </c>
      <c r="E449" t="s">
        <v>542</v>
      </c>
      <c r="F449" t="s">
        <v>2018</v>
      </c>
      <c r="G449" s="1">
        <v>2631</v>
      </c>
      <c r="H449">
        <v>24</v>
      </c>
      <c r="I449" t="b">
        <f>AND(COUNTIF(CO!A:A,A449)&gt;0,COUNTIF('NO2'!A:A,A449)&gt;0,COUNTIF('O3'!A:A,A449)&gt;0,COUNTIF('PM2.5'!A:A,A449)&gt;0,COUNTIF('SO2'!A:A,A449)&gt;0,COUNTIF(Kendaraan!A:A,A449)&gt;0)</f>
        <v>1</v>
      </c>
    </row>
    <row r="450" spans="1:9" x14ac:dyDescent="0.45">
      <c r="A450" s="4">
        <v>45866</v>
      </c>
      <c r="B450" t="s">
        <v>3082</v>
      </c>
      <c r="C450" t="s">
        <v>874</v>
      </c>
      <c r="D450" t="s">
        <v>2587</v>
      </c>
      <c r="E450" t="s">
        <v>720</v>
      </c>
      <c r="F450" t="s">
        <v>1298</v>
      </c>
      <c r="G450" s="1">
        <v>4117</v>
      </c>
      <c r="H450">
        <v>24</v>
      </c>
      <c r="I450" t="b">
        <f>AND(COUNTIF(CO!A:A,A450)&gt;0,COUNTIF('NO2'!A:A,A450)&gt;0,COUNTIF('O3'!A:A,A450)&gt;0,COUNTIF('PM2.5'!A:A,A450)&gt;0,COUNTIF('SO2'!A:A,A450)&gt;0,COUNTIF(Kendaraan!A:A,A450)&gt;0)</f>
        <v>1</v>
      </c>
    </row>
    <row r="451" spans="1:9" x14ac:dyDescent="0.45">
      <c r="A451" s="4">
        <v>45867</v>
      </c>
      <c r="B451" t="s">
        <v>3573</v>
      </c>
      <c r="C451" t="s">
        <v>699</v>
      </c>
      <c r="D451" t="s">
        <v>3613</v>
      </c>
      <c r="E451" t="s">
        <v>3614</v>
      </c>
      <c r="F451" t="s">
        <v>1926</v>
      </c>
      <c r="G451" t="s">
        <v>3615</v>
      </c>
      <c r="H451">
        <v>24</v>
      </c>
      <c r="I451" t="b">
        <f>AND(COUNTIF(CO!A:A,A451)&gt;0,COUNTIF('NO2'!A:A,A451)&gt;0,COUNTIF('O3'!A:A,A451)&gt;0,COUNTIF('PM2.5'!A:A,A451)&gt;0,COUNTIF('SO2'!A:A,A451)&gt;0,COUNTIF(Kendaraan!A:A,A451)&gt;0)</f>
        <v>1</v>
      </c>
    </row>
    <row r="452" spans="1:9" x14ac:dyDescent="0.45">
      <c r="A452" s="4">
        <v>45868</v>
      </c>
      <c r="B452" t="s">
        <v>3616</v>
      </c>
      <c r="C452" t="s">
        <v>741</v>
      </c>
      <c r="D452" t="s">
        <v>1802</v>
      </c>
      <c r="E452" t="s">
        <v>3617</v>
      </c>
      <c r="F452" t="s">
        <v>717</v>
      </c>
      <c r="G452" s="1">
        <v>2048</v>
      </c>
      <c r="H452">
        <v>24</v>
      </c>
      <c r="I452" t="b">
        <f>AND(COUNTIF(CO!A:A,A452)&gt;0,COUNTIF('NO2'!A:A,A452)&gt;0,COUNTIF('O3'!A:A,A452)&gt;0,COUNTIF('PM2.5'!A:A,A452)&gt;0,COUNTIF('SO2'!A:A,A452)&gt;0,COUNTIF(Kendaraan!A:A,A452)&gt;0)</f>
        <v>1</v>
      </c>
    </row>
    <row r="453" spans="1:9" x14ac:dyDescent="0.45">
      <c r="A453" s="4">
        <v>45869</v>
      </c>
      <c r="B453" t="s">
        <v>3601</v>
      </c>
      <c r="C453" t="s">
        <v>3202</v>
      </c>
      <c r="D453" t="s">
        <v>1642</v>
      </c>
      <c r="E453" t="s">
        <v>3618</v>
      </c>
      <c r="F453" t="s">
        <v>1428</v>
      </c>
      <c r="G453" s="1">
        <v>4363</v>
      </c>
      <c r="H453">
        <v>24</v>
      </c>
      <c r="I453" t="b">
        <f>AND(COUNTIF(CO!A:A,A453)&gt;0,COUNTIF('NO2'!A:A,A453)&gt;0,COUNTIF('O3'!A:A,A453)&gt;0,COUNTIF('PM2.5'!A:A,A453)&gt;0,COUNTIF('SO2'!A:A,A453)&gt;0,COUNTIF(Kendaraan!A:A,A453)&gt;0)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7265-1D56-4FF0-B612-8499A123469F}">
  <dimension ref="A1:I453"/>
  <sheetViews>
    <sheetView workbookViewId="0">
      <selection activeCell="I2" sqref="I2:I453"/>
    </sheetView>
  </sheetViews>
  <sheetFormatPr defaultRowHeight="14.25" x14ac:dyDescent="0.45"/>
  <cols>
    <col min="1" max="1" width="12.5976562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 t="s">
        <v>1350</v>
      </c>
      <c r="C2" t="s">
        <v>1150</v>
      </c>
      <c r="D2" t="s">
        <v>1330</v>
      </c>
      <c r="E2" t="s">
        <v>3089</v>
      </c>
      <c r="F2" t="s">
        <v>1428</v>
      </c>
      <c r="G2" s="1">
        <v>1562</v>
      </c>
      <c r="H2">
        <v>24</v>
      </c>
      <c r="I2" t="b">
        <f>AND(COUNTIF(CO!A:A,A2)&gt;0,COUNTIF('NO2'!A:A,A2)&gt;0,COUNTIF('O3'!A:A,A2)&gt;0,COUNTIF('PM10'!A:A,A2)&gt;0,COUNTIF('SO2'!A:A,A2)&gt;0,COUNTIF(Kendaraan!A:A,A2)&gt;0)</f>
        <v>1</v>
      </c>
    </row>
    <row r="3" spans="1:9" x14ac:dyDescent="0.45">
      <c r="A3" s="4">
        <v>45338</v>
      </c>
      <c r="B3" t="s">
        <v>3034</v>
      </c>
      <c r="C3" t="s">
        <v>3201</v>
      </c>
      <c r="D3" t="s">
        <v>2608</v>
      </c>
      <c r="E3" t="s">
        <v>3254</v>
      </c>
      <c r="F3" t="s">
        <v>2062</v>
      </c>
      <c r="G3" s="1">
        <v>4347</v>
      </c>
      <c r="H3">
        <v>24</v>
      </c>
      <c r="I3" t="b">
        <f>AND(COUNTIF(CO!A:A,A3)&gt;0,COUNTIF('NO2'!A:A,A3)&gt;0,COUNTIF('O3'!A:A,A3)&gt;0,COUNTIF('PM10'!A:A,A3)&gt;0,COUNTIF('SO2'!A:A,A3)&gt;0,COUNTIF(Kendaraan!A:A,A3)&gt;0)</f>
        <v>1</v>
      </c>
    </row>
    <row r="4" spans="1:9" x14ac:dyDescent="0.45">
      <c r="A4" s="4">
        <v>45342</v>
      </c>
      <c r="B4" t="s">
        <v>2735</v>
      </c>
      <c r="C4" t="s">
        <v>931</v>
      </c>
      <c r="D4" t="s">
        <v>1102</v>
      </c>
      <c r="E4" t="s">
        <v>3690</v>
      </c>
      <c r="F4" t="s">
        <v>1064</v>
      </c>
      <c r="G4" t="s">
        <v>90</v>
      </c>
      <c r="H4">
        <v>24</v>
      </c>
      <c r="I4" t="b">
        <f>AND(COUNTIF(CO!A:A,A4)&gt;0,COUNTIF('NO2'!A:A,A4)&gt;0,COUNTIF('O3'!A:A,A4)&gt;0,COUNTIF('PM10'!A:A,A4)&gt;0,COUNTIF('SO2'!A:A,A4)&gt;0,COUNTIF(Kendaraan!A:A,A4)&gt;0)</f>
        <v>1</v>
      </c>
    </row>
    <row r="5" spans="1:9" x14ac:dyDescent="0.45">
      <c r="A5" s="4">
        <v>45343</v>
      </c>
      <c r="B5" t="s">
        <v>1793</v>
      </c>
      <c r="C5" t="s">
        <v>3202</v>
      </c>
      <c r="D5" t="s">
        <v>2402</v>
      </c>
      <c r="E5" t="s">
        <v>1049</v>
      </c>
      <c r="F5" t="s">
        <v>932</v>
      </c>
      <c r="G5" s="1">
        <v>4311</v>
      </c>
      <c r="H5">
        <v>24</v>
      </c>
      <c r="I5" t="b">
        <f>AND(COUNTIF(CO!A:A,A5)&gt;0,COUNTIF('NO2'!A:A,A5)&gt;0,COUNTIF('O3'!A:A,A5)&gt;0,COUNTIF('PM10'!A:A,A5)&gt;0,COUNTIF('SO2'!A:A,A5)&gt;0,COUNTIF(Kendaraan!A:A,A5)&gt;0)</f>
        <v>1</v>
      </c>
    </row>
    <row r="6" spans="1:9" x14ac:dyDescent="0.45">
      <c r="A6" s="4">
        <v>45344</v>
      </c>
      <c r="B6" t="s">
        <v>77</v>
      </c>
      <c r="C6" t="s">
        <v>3471</v>
      </c>
      <c r="D6" t="s">
        <v>1673</v>
      </c>
      <c r="E6" t="s">
        <v>152</v>
      </c>
      <c r="F6" t="s">
        <v>3700</v>
      </c>
      <c r="G6" s="1">
        <v>1582</v>
      </c>
      <c r="H6">
        <v>7</v>
      </c>
      <c r="I6" t="b">
        <f>AND(COUNTIF(CO!A:A,A6)&gt;0,COUNTIF('NO2'!A:A,A6)&gt;0,COUNTIF('O3'!A:A,A6)&gt;0,COUNTIF('PM10'!A:A,A6)&gt;0,COUNTIF('SO2'!A:A,A6)&gt;0,COUNTIF(Kendaraan!A:A,A6)&gt;0)</f>
        <v>1</v>
      </c>
    </row>
    <row r="7" spans="1:9" x14ac:dyDescent="0.45">
      <c r="A7" s="4">
        <v>45372</v>
      </c>
      <c r="B7" t="s">
        <v>1176</v>
      </c>
      <c r="C7" t="s">
        <v>1739</v>
      </c>
      <c r="D7">
        <v>19</v>
      </c>
      <c r="E7" t="s">
        <v>3224</v>
      </c>
      <c r="F7" t="s">
        <v>926</v>
      </c>
      <c r="G7" t="s">
        <v>2456</v>
      </c>
      <c r="H7">
        <v>9</v>
      </c>
      <c r="I7" t="b">
        <f>AND(COUNTIF(CO!A:A,A7)&gt;0,COUNTIF('NO2'!A:A,A7)&gt;0,COUNTIF('O3'!A:A,A7)&gt;0,COUNTIF('PM10'!A:A,A7)&gt;0,COUNTIF('SO2'!A:A,A7)&gt;0,COUNTIF(Kendaraan!A:A,A7)&gt;0)</f>
        <v>1</v>
      </c>
    </row>
    <row r="8" spans="1:9" x14ac:dyDescent="0.45">
      <c r="A8" s="4">
        <v>45373</v>
      </c>
      <c r="B8" t="s">
        <v>2037</v>
      </c>
      <c r="C8" t="s">
        <v>2819</v>
      </c>
      <c r="D8" t="s">
        <v>3416</v>
      </c>
      <c r="E8" t="s">
        <v>3650</v>
      </c>
      <c r="F8" t="s">
        <v>3390</v>
      </c>
      <c r="G8" t="s">
        <v>292</v>
      </c>
      <c r="H8">
        <v>4</v>
      </c>
      <c r="I8" t="b">
        <f>AND(COUNTIF(CO!A:A,A8)&gt;0,COUNTIF('NO2'!A:A,A8)&gt;0,COUNTIF('O3'!A:A,A8)&gt;0,COUNTIF('PM10'!A:A,A8)&gt;0,COUNTIF('SO2'!A:A,A8)&gt;0,COUNTIF(Kendaraan!A:A,A8)&gt;0)</f>
        <v>1</v>
      </c>
    </row>
    <row r="9" spans="1:9" x14ac:dyDescent="0.45">
      <c r="A9" s="4">
        <v>45377</v>
      </c>
      <c r="B9">
        <v>19</v>
      </c>
      <c r="C9">
        <v>19</v>
      </c>
      <c r="D9">
        <v>19</v>
      </c>
      <c r="E9">
        <v>19</v>
      </c>
      <c r="F9">
        <v>19</v>
      </c>
      <c r="G9">
        <v>0</v>
      </c>
      <c r="H9">
        <v>1</v>
      </c>
      <c r="I9" t="b">
        <f>AND(COUNTIF(CO!A:A,A9)&gt;0,COUNTIF('NO2'!A:A,A9)&gt;0,COUNTIF('O3'!A:A,A9)&gt;0,COUNTIF('PM10'!A:A,A9)&gt;0,COUNTIF('SO2'!A:A,A9)&gt;0,COUNTIF(Kendaraan!A:A,A9)&gt;0)</f>
        <v>1</v>
      </c>
    </row>
    <row r="10" spans="1:9" x14ac:dyDescent="0.45">
      <c r="A10" s="4">
        <v>45383</v>
      </c>
      <c r="B10" t="s">
        <v>938</v>
      </c>
      <c r="C10" t="s">
        <v>1786</v>
      </c>
      <c r="D10" t="s">
        <v>1287</v>
      </c>
      <c r="E10" t="s">
        <v>3652</v>
      </c>
      <c r="F10" t="s">
        <v>3634</v>
      </c>
      <c r="G10" t="s">
        <v>3703</v>
      </c>
      <c r="H10">
        <v>21</v>
      </c>
      <c r="I10" t="b">
        <f>AND(COUNTIF(CO!A:A,A10)&gt;0,COUNTIF('NO2'!A:A,A10)&gt;0,COUNTIF('O3'!A:A,A10)&gt;0,COUNTIF('PM10'!A:A,A10)&gt;0,COUNTIF('SO2'!A:A,A10)&gt;0,COUNTIF(Kendaraan!A:A,A10)&gt;0)</f>
        <v>1</v>
      </c>
    </row>
    <row r="11" spans="1:9" x14ac:dyDescent="0.45">
      <c r="A11" s="4">
        <v>45384</v>
      </c>
      <c r="B11" t="s">
        <v>1884</v>
      </c>
      <c r="C11" t="s">
        <v>1342</v>
      </c>
      <c r="D11" t="s">
        <v>2695</v>
      </c>
      <c r="E11" t="s">
        <v>2688</v>
      </c>
      <c r="F11" t="s">
        <v>1745</v>
      </c>
      <c r="G11" t="s">
        <v>3704</v>
      </c>
      <c r="H11">
        <v>24</v>
      </c>
      <c r="I11" t="b">
        <f>AND(COUNTIF(CO!A:A,A11)&gt;0,COUNTIF('NO2'!A:A,A11)&gt;0,COUNTIF('O3'!A:A,A11)&gt;0,COUNTIF('PM10'!A:A,A11)&gt;0,COUNTIF('SO2'!A:A,A11)&gt;0,COUNTIF(Kendaraan!A:A,A11)&gt;0)</f>
        <v>1</v>
      </c>
    </row>
    <row r="12" spans="1:9" x14ac:dyDescent="0.45">
      <c r="A12" s="4">
        <v>45385</v>
      </c>
      <c r="B12" t="s">
        <v>1360</v>
      </c>
      <c r="C12" t="s">
        <v>3025</v>
      </c>
      <c r="D12" t="s">
        <v>1070</v>
      </c>
      <c r="E12" t="s">
        <v>1639</v>
      </c>
      <c r="F12" t="s">
        <v>1661</v>
      </c>
      <c r="G12" s="1">
        <v>1415</v>
      </c>
      <c r="H12">
        <v>24</v>
      </c>
      <c r="I12" t="b">
        <f>AND(COUNTIF(CO!A:A,A12)&gt;0,COUNTIF('NO2'!A:A,A12)&gt;0,COUNTIF('O3'!A:A,A12)&gt;0,COUNTIF('PM10'!A:A,A12)&gt;0,COUNTIF('SO2'!A:A,A12)&gt;0,COUNTIF(Kendaraan!A:A,A12)&gt;0)</f>
        <v>1</v>
      </c>
    </row>
    <row r="13" spans="1:9" x14ac:dyDescent="0.45">
      <c r="A13" s="4">
        <v>45386</v>
      </c>
      <c r="B13" t="s">
        <v>1306</v>
      </c>
      <c r="C13" t="s">
        <v>1089</v>
      </c>
      <c r="D13" t="s">
        <v>2389</v>
      </c>
      <c r="E13" t="s">
        <v>1299</v>
      </c>
      <c r="F13" t="s">
        <v>2736</v>
      </c>
      <c r="G13" s="1">
        <v>1202</v>
      </c>
      <c r="H13">
        <v>24</v>
      </c>
      <c r="I13" t="b">
        <f>AND(COUNTIF(CO!A:A,A13)&gt;0,COUNTIF('NO2'!A:A,A13)&gt;0,COUNTIF('O3'!A:A,A13)&gt;0,COUNTIF('PM10'!A:A,A13)&gt;0,COUNTIF('SO2'!A:A,A13)&gt;0,COUNTIF(Kendaraan!A:A,A13)&gt;0)</f>
        <v>1</v>
      </c>
    </row>
    <row r="14" spans="1:9" x14ac:dyDescent="0.45">
      <c r="A14" s="4">
        <v>45387</v>
      </c>
      <c r="B14" t="s">
        <v>1952</v>
      </c>
      <c r="C14" t="s">
        <v>2400</v>
      </c>
      <c r="D14" t="s">
        <v>1752</v>
      </c>
      <c r="E14" t="s">
        <v>1810</v>
      </c>
      <c r="F14" t="s">
        <v>1357</v>
      </c>
      <c r="G14" t="s">
        <v>110</v>
      </c>
      <c r="H14">
        <v>23</v>
      </c>
      <c r="I14" t="b">
        <f>AND(COUNTIF(CO!A:A,A14)&gt;0,COUNTIF('NO2'!A:A,A14)&gt;0,COUNTIF('O3'!A:A,A14)&gt;0,COUNTIF('PM10'!A:A,A14)&gt;0,COUNTIF('SO2'!A:A,A14)&gt;0,COUNTIF(Kendaraan!A:A,A14)&gt;0)</f>
        <v>1</v>
      </c>
    </row>
    <row r="15" spans="1:9" x14ac:dyDescent="0.45">
      <c r="A15" s="4">
        <v>45388</v>
      </c>
      <c r="B15" t="s">
        <v>1304</v>
      </c>
      <c r="C15" t="s">
        <v>1091</v>
      </c>
      <c r="D15" t="s">
        <v>2604</v>
      </c>
      <c r="E15" t="s">
        <v>1731</v>
      </c>
      <c r="F15" t="s">
        <v>1074</v>
      </c>
      <c r="G15" t="s">
        <v>3151</v>
      </c>
      <c r="H15">
        <v>24</v>
      </c>
      <c r="I15" t="b">
        <f>AND(COUNTIF(CO!A:A,A15)&gt;0,COUNTIF('NO2'!A:A,A15)&gt;0,COUNTIF('O3'!A:A,A15)&gt;0,COUNTIF('PM10'!A:A,A15)&gt;0,COUNTIF('SO2'!A:A,A15)&gt;0,COUNTIF(Kendaraan!A:A,A15)&gt;0)</f>
        <v>1</v>
      </c>
    </row>
    <row r="16" spans="1:9" x14ac:dyDescent="0.45">
      <c r="A16" s="4">
        <v>45389</v>
      </c>
      <c r="B16" t="s">
        <v>1183</v>
      </c>
      <c r="C16" t="s">
        <v>1892</v>
      </c>
      <c r="D16" t="s">
        <v>1202</v>
      </c>
      <c r="E16" t="s">
        <v>1937</v>
      </c>
      <c r="F16" t="s">
        <v>3705</v>
      </c>
      <c r="G16" s="1">
        <v>1519</v>
      </c>
      <c r="H16">
        <v>24</v>
      </c>
      <c r="I16" t="b">
        <f>AND(COUNTIF(CO!A:A,A16)&gt;0,COUNTIF('NO2'!A:A,A16)&gt;0,COUNTIF('O3'!A:A,A16)&gt;0,COUNTIF('PM10'!A:A,A16)&gt;0,COUNTIF('SO2'!A:A,A16)&gt;0,COUNTIF(Kendaraan!A:A,A16)&gt;0)</f>
        <v>1</v>
      </c>
    </row>
    <row r="17" spans="1:9" x14ac:dyDescent="0.45">
      <c r="A17" s="4">
        <v>45390</v>
      </c>
      <c r="B17" t="s">
        <v>2727</v>
      </c>
      <c r="C17" t="s">
        <v>1198</v>
      </c>
      <c r="D17" t="s">
        <v>3210</v>
      </c>
      <c r="E17" t="s">
        <v>2599</v>
      </c>
      <c r="F17" t="s">
        <v>1197</v>
      </c>
      <c r="G17" s="1">
        <v>1772</v>
      </c>
      <c r="H17">
        <v>24</v>
      </c>
      <c r="I17" t="b">
        <f>AND(COUNTIF(CO!A:A,A17)&gt;0,COUNTIF('NO2'!A:A,A17)&gt;0,COUNTIF('O3'!A:A,A17)&gt;0,COUNTIF('PM10'!A:A,A17)&gt;0,COUNTIF('SO2'!A:A,A17)&gt;0,COUNTIF(Kendaraan!A:A,A17)&gt;0)</f>
        <v>1</v>
      </c>
    </row>
    <row r="18" spans="1:9" x14ac:dyDescent="0.45">
      <c r="A18" s="4">
        <v>45391</v>
      </c>
      <c r="B18" t="s">
        <v>1074</v>
      </c>
      <c r="C18" t="s">
        <v>1101</v>
      </c>
      <c r="D18" t="s">
        <v>1168</v>
      </c>
      <c r="E18" t="s">
        <v>936</v>
      </c>
      <c r="F18" t="s">
        <v>1116</v>
      </c>
      <c r="G18" t="s">
        <v>2074</v>
      </c>
      <c r="H18">
        <v>24</v>
      </c>
      <c r="I18" t="b">
        <f>AND(COUNTIF(CO!A:A,A18)&gt;0,COUNTIF('NO2'!A:A,A18)&gt;0,COUNTIF('O3'!A:A,A18)&gt;0,COUNTIF('PM10'!A:A,A18)&gt;0,COUNTIF('SO2'!A:A,A18)&gt;0,COUNTIF(Kendaraan!A:A,A18)&gt;0)</f>
        <v>1</v>
      </c>
    </row>
    <row r="19" spans="1:9" x14ac:dyDescent="0.45">
      <c r="A19" s="4">
        <v>45392</v>
      </c>
      <c r="B19" t="s">
        <v>710</v>
      </c>
      <c r="C19" t="s">
        <v>1129</v>
      </c>
      <c r="D19" t="s">
        <v>1301</v>
      </c>
      <c r="E19" t="s">
        <v>3452</v>
      </c>
      <c r="F19" t="s">
        <v>1577</v>
      </c>
      <c r="G19" s="1">
        <v>2537</v>
      </c>
      <c r="H19">
        <v>24</v>
      </c>
      <c r="I19" t="b">
        <f>AND(COUNTIF(CO!A:A,A19)&gt;0,COUNTIF('NO2'!A:A,A19)&gt;0,COUNTIF('O3'!A:A,A19)&gt;0,COUNTIF('PM10'!A:A,A19)&gt;0,COUNTIF('SO2'!A:A,A19)&gt;0,COUNTIF(Kendaraan!A:A,A19)&gt;0)</f>
        <v>1</v>
      </c>
    </row>
    <row r="20" spans="1:9" x14ac:dyDescent="0.45">
      <c r="A20" s="4">
        <v>45393</v>
      </c>
      <c r="B20" t="s">
        <v>707</v>
      </c>
      <c r="C20" t="s">
        <v>1048</v>
      </c>
      <c r="D20" t="s">
        <v>1774</v>
      </c>
      <c r="E20" t="s">
        <v>353</v>
      </c>
      <c r="F20" t="s">
        <v>3399</v>
      </c>
      <c r="G20" t="s">
        <v>2071</v>
      </c>
      <c r="H20">
        <v>24</v>
      </c>
      <c r="I20" t="b">
        <f>AND(COUNTIF(CO!A:A,A20)&gt;0,COUNTIF('NO2'!A:A,A20)&gt;0,COUNTIF('O3'!A:A,A20)&gt;0,COUNTIF('PM10'!A:A,A20)&gt;0,COUNTIF('SO2'!A:A,A20)&gt;0,COUNTIF(Kendaraan!A:A,A20)&gt;0)</f>
        <v>1</v>
      </c>
    </row>
    <row r="21" spans="1:9" x14ac:dyDescent="0.45">
      <c r="A21" s="4">
        <v>45394</v>
      </c>
      <c r="B21" t="s">
        <v>447</v>
      </c>
      <c r="C21" t="s">
        <v>1962</v>
      </c>
      <c r="D21" t="s">
        <v>2714</v>
      </c>
      <c r="E21" t="s">
        <v>1051</v>
      </c>
      <c r="F21" t="s">
        <v>2787</v>
      </c>
      <c r="G21" s="1">
        <v>2193</v>
      </c>
      <c r="H21">
        <v>24</v>
      </c>
      <c r="I21" t="b">
        <f>AND(COUNTIF(CO!A:A,A21)&gt;0,COUNTIF('NO2'!A:A,A21)&gt;0,COUNTIF('O3'!A:A,A21)&gt;0,COUNTIF('PM10'!A:A,A21)&gt;0,COUNTIF('SO2'!A:A,A21)&gt;0,COUNTIF(Kendaraan!A:A,A21)&gt;0)</f>
        <v>1</v>
      </c>
    </row>
    <row r="22" spans="1:9" x14ac:dyDescent="0.45">
      <c r="A22" s="4">
        <v>45395</v>
      </c>
      <c r="B22" t="s">
        <v>1138</v>
      </c>
      <c r="C22" t="s">
        <v>1981</v>
      </c>
      <c r="D22" t="s">
        <v>3706</v>
      </c>
      <c r="E22" t="s">
        <v>2756</v>
      </c>
      <c r="F22" t="s">
        <v>1102</v>
      </c>
      <c r="G22" t="s">
        <v>3707</v>
      </c>
      <c r="H22">
        <v>24</v>
      </c>
      <c r="I22" t="b">
        <f>AND(COUNTIF(CO!A:A,A22)&gt;0,COUNTIF('NO2'!A:A,A22)&gt;0,COUNTIF('O3'!A:A,A22)&gt;0,COUNTIF('PM10'!A:A,A22)&gt;0,COUNTIF('SO2'!A:A,A22)&gt;0,COUNTIF(Kendaraan!A:A,A22)&gt;0)</f>
        <v>1</v>
      </c>
    </row>
    <row r="23" spans="1:9" x14ac:dyDescent="0.45">
      <c r="A23" s="4">
        <v>45396</v>
      </c>
      <c r="B23" t="s">
        <v>1173</v>
      </c>
      <c r="C23" t="s">
        <v>1508</v>
      </c>
      <c r="D23" t="s">
        <v>2062</v>
      </c>
      <c r="E23" t="s">
        <v>1116</v>
      </c>
      <c r="F23" t="s">
        <v>1976</v>
      </c>
      <c r="G23" t="s">
        <v>3708</v>
      </c>
      <c r="H23">
        <v>24</v>
      </c>
      <c r="I23" t="b">
        <f>AND(COUNTIF(CO!A:A,A23)&gt;0,COUNTIF('NO2'!A:A,A23)&gt;0,COUNTIF('O3'!A:A,A23)&gt;0,COUNTIF('PM10'!A:A,A23)&gt;0,COUNTIF('SO2'!A:A,A23)&gt;0,COUNTIF(Kendaraan!A:A,A23)&gt;0)</f>
        <v>1</v>
      </c>
    </row>
    <row r="24" spans="1:9" x14ac:dyDescent="0.45">
      <c r="A24" s="4">
        <v>45397</v>
      </c>
      <c r="B24" t="s">
        <v>3141</v>
      </c>
      <c r="C24" t="s">
        <v>892</v>
      </c>
      <c r="D24" t="s">
        <v>1460</v>
      </c>
      <c r="E24" t="s">
        <v>3025</v>
      </c>
      <c r="F24" t="s">
        <v>1224</v>
      </c>
      <c r="G24" t="s">
        <v>114</v>
      </c>
      <c r="H24">
        <v>24</v>
      </c>
      <c r="I24" t="b">
        <f>AND(COUNTIF(CO!A:A,A24)&gt;0,COUNTIF('NO2'!A:A,A24)&gt;0,COUNTIF('O3'!A:A,A24)&gt;0,COUNTIF('PM10'!A:A,A24)&gt;0,COUNTIF('SO2'!A:A,A24)&gt;0,COUNTIF(Kendaraan!A:A,A24)&gt;0)</f>
        <v>1</v>
      </c>
    </row>
    <row r="25" spans="1:9" x14ac:dyDescent="0.45">
      <c r="A25" s="4">
        <v>45398</v>
      </c>
      <c r="B25" t="s">
        <v>1067</v>
      </c>
      <c r="C25" t="s">
        <v>889</v>
      </c>
      <c r="D25" t="s">
        <v>1213</v>
      </c>
      <c r="E25" t="s">
        <v>3349</v>
      </c>
      <c r="F25" t="s">
        <v>1228</v>
      </c>
      <c r="G25" t="s">
        <v>3709</v>
      </c>
      <c r="H25">
        <v>24</v>
      </c>
      <c r="I25" t="b">
        <f>AND(COUNTIF(CO!A:A,A25)&gt;0,COUNTIF('NO2'!A:A,A25)&gt;0,COUNTIF('O3'!A:A,A25)&gt;0,COUNTIF('PM10'!A:A,A25)&gt;0,COUNTIF('SO2'!A:A,A25)&gt;0,COUNTIF(Kendaraan!A:A,A25)&gt;0)</f>
        <v>1</v>
      </c>
    </row>
    <row r="26" spans="1:9" x14ac:dyDescent="0.45">
      <c r="A26" s="4">
        <v>45399</v>
      </c>
      <c r="B26" t="s">
        <v>1753</v>
      </c>
      <c r="C26" t="s">
        <v>2760</v>
      </c>
      <c r="D26" t="s">
        <v>1776</v>
      </c>
      <c r="E26" t="s">
        <v>1714</v>
      </c>
      <c r="F26" t="s">
        <v>2963</v>
      </c>
      <c r="G26" s="1">
        <v>1625</v>
      </c>
      <c r="H26">
        <v>24</v>
      </c>
      <c r="I26" t="b">
        <f>AND(COUNTIF(CO!A:A,A26)&gt;0,COUNTIF('NO2'!A:A,A26)&gt;0,COUNTIF('O3'!A:A,A26)&gt;0,COUNTIF('PM10'!A:A,A26)&gt;0,COUNTIF('SO2'!A:A,A26)&gt;0,COUNTIF(Kendaraan!A:A,A26)&gt;0)</f>
        <v>1</v>
      </c>
    </row>
    <row r="27" spans="1:9" x14ac:dyDescent="0.45">
      <c r="A27" s="4">
        <v>45400</v>
      </c>
      <c r="B27" t="s">
        <v>1323</v>
      </c>
      <c r="C27" t="s">
        <v>1632</v>
      </c>
      <c r="D27" t="s">
        <v>1082</v>
      </c>
      <c r="E27" t="s">
        <v>1173</v>
      </c>
      <c r="F27" t="s">
        <v>1109</v>
      </c>
      <c r="G27" s="1">
        <v>1116</v>
      </c>
      <c r="H27">
        <v>24</v>
      </c>
      <c r="I27" t="b">
        <f>AND(COUNTIF(CO!A:A,A27)&gt;0,COUNTIF('NO2'!A:A,A27)&gt;0,COUNTIF('O3'!A:A,A27)&gt;0,COUNTIF('PM10'!A:A,A27)&gt;0,COUNTIF('SO2'!A:A,A27)&gt;0,COUNTIF(Kendaraan!A:A,A27)&gt;0)</f>
        <v>1</v>
      </c>
    </row>
    <row r="28" spans="1:9" x14ac:dyDescent="0.45">
      <c r="A28" s="4">
        <v>45401</v>
      </c>
      <c r="B28" t="s">
        <v>714</v>
      </c>
      <c r="C28" t="s">
        <v>1313</v>
      </c>
      <c r="D28" t="s">
        <v>1817</v>
      </c>
      <c r="E28" t="s">
        <v>733</v>
      </c>
      <c r="F28" t="s">
        <v>1668</v>
      </c>
      <c r="G28" s="1">
        <v>1383</v>
      </c>
      <c r="H28">
        <v>24</v>
      </c>
      <c r="I28" t="b">
        <f>AND(COUNTIF(CO!A:A,A28)&gt;0,COUNTIF('NO2'!A:A,A28)&gt;0,COUNTIF('O3'!A:A,A28)&gt;0,COUNTIF('PM10'!A:A,A28)&gt;0,COUNTIF('SO2'!A:A,A28)&gt;0,COUNTIF(Kendaraan!A:A,A28)&gt;0)</f>
        <v>1</v>
      </c>
    </row>
    <row r="29" spans="1:9" x14ac:dyDescent="0.45">
      <c r="A29" s="4">
        <v>45402</v>
      </c>
      <c r="B29" t="s">
        <v>1048</v>
      </c>
      <c r="C29" t="s">
        <v>1212</v>
      </c>
      <c r="D29" t="s">
        <v>2403</v>
      </c>
      <c r="E29" t="s">
        <v>1752</v>
      </c>
      <c r="F29" t="s">
        <v>1508</v>
      </c>
      <c r="G29" s="1">
        <v>2938</v>
      </c>
      <c r="H29">
        <v>24</v>
      </c>
      <c r="I29" t="b">
        <f>AND(COUNTIF(CO!A:A,A29)&gt;0,COUNTIF('NO2'!A:A,A29)&gt;0,COUNTIF('O3'!A:A,A29)&gt;0,COUNTIF('PM10'!A:A,A29)&gt;0,COUNTIF('SO2'!A:A,A29)&gt;0,COUNTIF(Kendaraan!A:A,A29)&gt;0)</f>
        <v>1</v>
      </c>
    </row>
    <row r="30" spans="1:9" x14ac:dyDescent="0.45">
      <c r="A30" s="4">
        <v>45403</v>
      </c>
      <c r="B30" t="s">
        <v>930</v>
      </c>
      <c r="C30" t="s">
        <v>614</v>
      </c>
      <c r="D30" t="s">
        <v>2143</v>
      </c>
      <c r="E30" t="s">
        <v>1936</v>
      </c>
      <c r="F30" t="s">
        <v>440</v>
      </c>
      <c r="G30" s="1">
        <v>1503</v>
      </c>
      <c r="H30">
        <v>24</v>
      </c>
      <c r="I30" t="b">
        <f>AND(COUNTIF(CO!A:A,A30)&gt;0,COUNTIF('NO2'!A:A,A30)&gt;0,COUNTIF('O3'!A:A,A30)&gt;0,COUNTIF('PM10'!A:A,A30)&gt;0,COUNTIF('SO2'!A:A,A30)&gt;0,COUNTIF(Kendaraan!A:A,A30)&gt;0)</f>
        <v>1</v>
      </c>
    </row>
    <row r="31" spans="1:9" x14ac:dyDescent="0.45">
      <c r="A31" s="4">
        <v>45404</v>
      </c>
      <c r="B31" t="s">
        <v>1954</v>
      </c>
      <c r="C31" t="s">
        <v>1181</v>
      </c>
      <c r="D31" t="s">
        <v>1717</v>
      </c>
      <c r="E31" t="s">
        <v>3260</v>
      </c>
      <c r="F31" t="s">
        <v>1872</v>
      </c>
      <c r="G31" s="1">
        <v>1522</v>
      </c>
      <c r="H31">
        <v>24</v>
      </c>
      <c r="I31" t="b">
        <f>AND(COUNTIF(CO!A:A,A31)&gt;0,COUNTIF('NO2'!A:A,A31)&gt;0,COUNTIF('O3'!A:A,A31)&gt;0,COUNTIF('PM10'!A:A,A31)&gt;0,COUNTIF('SO2'!A:A,A31)&gt;0,COUNTIF(Kendaraan!A:A,A31)&gt;0)</f>
        <v>1</v>
      </c>
    </row>
    <row r="32" spans="1:9" x14ac:dyDescent="0.45">
      <c r="A32" s="4">
        <v>45405</v>
      </c>
      <c r="B32" t="s">
        <v>1338</v>
      </c>
      <c r="C32" t="s">
        <v>1254</v>
      </c>
      <c r="D32" t="s">
        <v>2776</v>
      </c>
      <c r="E32" t="s">
        <v>1723</v>
      </c>
      <c r="F32" t="s">
        <v>3167</v>
      </c>
      <c r="G32" t="s">
        <v>3239</v>
      </c>
      <c r="H32">
        <v>24</v>
      </c>
      <c r="I32" t="b">
        <f>AND(COUNTIF(CO!A:A,A32)&gt;0,COUNTIF('NO2'!A:A,A32)&gt;0,COUNTIF('O3'!A:A,A32)&gt;0,COUNTIF('PM10'!A:A,A32)&gt;0,COUNTIF('SO2'!A:A,A32)&gt;0,COUNTIF(Kendaraan!A:A,A32)&gt;0)</f>
        <v>1</v>
      </c>
    </row>
    <row r="33" spans="1:9" x14ac:dyDescent="0.45">
      <c r="A33" s="4">
        <v>45406</v>
      </c>
      <c r="B33" t="s">
        <v>897</v>
      </c>
      <c r="C33" t="s">
        <v>3648</v>
      </c>
      <c r="D33" t="s">
        <v>3710</v>
      </c>
      <c r="E33" t="s">
        <v>820</v>
      </c>
      <c r="F33" t="s">
        <v>2332</v>
      </c>
      <c r="G33" s="1">
        <v>2511</v>
      </c>
      <c r="H33">
        <v>24</v>
      </c>
      <c r="I33" t="b">
        <f>AND(COUNTIF(CO!A:A,A33)&gt;0,COUNTIF('NO2'!A:A,A33)&gt;0,COUNTIF('O3'!A:A,A33)&gt;0,COUNTIF('PM10'!A:A,A33)&gt;0,COUNTIF('SO2'!A:A,A33)&gt;0,COUNTIF(Kendaraan!A:A,A33)&gt;0)</f>
        <v>1</v>
      </c>
    </row>
    <row r="34" spans="1:9" x14ac:dyDescent="0.45">
      <c r="A34" s="4">
        <v>45407</v>
      </c>
      <c r="B34" t="s">
        <v>1548</v>
      </c>
      <c r="C34" t="s">
        <v>3249</v>
      </c>
      <c r="D34" t="s">
        <v>3185</v>
      </c>
      <c r="E34" t="s">
        <v>820</v>
      </c>
      <c r="F34" t="s">
        <v>2563</v>
      </c>
      <c r="G34" t="s">
        <v>3170</v>
      </c>
      <c r="H34">
        <v>24</v>
      </c>
      <c r="I34" t="b">
        <f>AND(COUNTIF(CO!A:A,A34)&gt;0,COUNTIF('NO2'!A:A,A34)&gt;0,COUNTIF('O3'!A:A,A34)&gt;0,COUNTIF('PM10'!A:A,A34)&gt;0,COUNTIF('SO2'!A:A,A34)&gt;0,COUNTIF(Kendaraan!A:A,A34)&gt;0)</f>
        <v>1</v>
      </c>
    </row>
    <row r="35" spans="1:9" x14ac:dyDescent="0.45">
      <c r="A35" s="4">
        <v>45408</v>
      </c>
      <c r="B35" t="s">
        <v>616</v>
      </c>
      <c r="C35" t="s">
        <v>513</v>
      </c>
      <c r="D35" t="s">
        <v>893</v>
      </c>
      <c r="E35" t="s">
        <v>2951</v>
      </c>
      <c r="F35" t="s">
        <v>3711</v>
      </c>
      <c r="G35" s="1">
        <v>1461</v>
      </c>
      <c r="H35">
        <v>24</v>
      </c>
      <c r="I35" t="b">
        <f>AND(COUNTIF(CO!A:A,A35)&gt;0,COUNTIF('NO2'!A:A,A35)&gt;0,COUNTIF('O3'!A:A,A35)&gt;0,COUNTIF('PM10'!A:A,A35)&gt;0,COUNTIF('SO2'!A:A,A35)&gt;0,COUNTIF(Kendaraan!A:A,A35)&gt;0)</f>
        <v>1</v>
      </c>
    </row>
    <row r="36" spans="1:9" x14ac:dyDescent="0.45">
      <c r="A36" s="4">
        <v>45409</v>
      </c>
      <c r="B36" t="s">
        <v>1163</v>
      </c>
      <c r="C36" t="s">
        <v>611</v>
      </c>
      <c r="D36" t="s">
        <v>1116</v>
      </c>
      <c r="E36" t="s">
        <v>1102</v>
      </c>
      <c r="F36" t="s">
        <v>3712</v>
      </c>
      <c r="G36" s="1">
        <v>2364</v>
      </c>
      <c r="H36">
        <v>24</v>
      </c>
      <c r="I36" t="b">
        <f>AND(COUNTIF(CO!A:A,A36)&gt;0,COUNTIF('NO2'!A:A,A36)&gt;0,COUNTIF('O3'!A:A,A36)&gt;0,COUNTIF('PM10'!A:A,A36)&gt;0,COUNTIF('SO2'!A:A,A36)&gt;0,COUNTIF(Kendaraan!A:A,A36)&gt;0)</f>
        <v>1</v>
      </c>
    </row>
    <row r="37" spans="1:9" x14ac:dyDescent="0.45">
      <c r="A37" s="4">
        <v>45410</v>
      </c>
      <c r="B37" t="s">
        <v>652</v>
      </c>
      <c r="C37" t="s">
        <v>2817</v>
      </c>
      <c r="D37" t="s">
        <v>2341</v>
      </c>
      <c r="E37" t="s">
        <v>560</v>
      </c>
      <c r="F37" t="s">
        <v>3248</v>
      </c>
      <c r="G37" s="1">
        <v>1616</v>
      </c>
      <c r="H37">
        <v>24</v>
      </c>
      <c r="I37" t="b">
        <f>AND(COUNTIF(CO!A:A,A37)&gt;0,COUNTIF('NO2'!A:A,A37)&gt;0,COUNTIF('O3'!A:A,A37)&gt;0,COUNTIF('PM10'!A:A,A37)&gt;0,COUNTIF('SO2'!A:A,A37)&gt;0,COUNTIF(Kendaraan!A:A,A37)&gt;0)</f>
        <v>1</v>
      </c>
    </row>
    <row r="38" spans="1:9" x14ac:dyDescent="0.45">
      <c r="A38" s="4">
        <v>45411</v>
      </c>
      <c r="B38">
        <v>24</v>
      </c>
      <c r="C38" t="s">
        <v>3713</v>
      </c>
      <c r="D38" t="s">
        <v>3368</v>
      </c>
      <c r="E38" t="s">
        <v>3714</v>
      </c>
      <c r="F38" t="s">
        <v>532</v>
      </c>
      <c r="G38" s="1">
        <v>1301</v>
      </c>
      <c r="H38">
        <v>24</v>
      </c>
      <c r="I38" t="b">
        <f>AND(COUNTIF(CO!A:A,A38)&gt;0,COUNTIF('NO2'!A:A,A38)&gt;0,COUNTIF('O3'!A:A,A38)&gt;0,COUNTIF('PM10'!A:A,A38)&gt;0,COUNTIF('SO2'!A:A,A38)&gt;0,COUNTIF(Kendaraan!A:A,A38)&gt;0)</f>
        <v>1</v>
      </c>
    </row>
    <row r="39" spans="1:9" x14ac:dyDescent="0.45">
      <c r="A39" s="4">
        <v>45412</v>
      </c>
      <c r="B39" t="s">
        <v>2315</v>
      </c>
      <c r="C39" t="s">
        <v>3660</v>
      </c>
      <c r="D39" t="s">
        <v>3715</v>
      </c>
      <c r="E39" t="s">
        <v>3320</v>
      </c>
      <c r="F39" t="s">
        <v>3051</v>
      </c>
      <c r="G39" s="1">
        <v>1758</v>
      </c>
      <c r="H39">
        <v>24</v>
      </c>
      <c r="I39" t="b">
        <f>AND(COUNTIF(CO!A:A,A39)&gt;0,COUNTIF('NO2'!A:A,A39)&gt;0,COUNTIF('O3'!A:A,A39)&gt;0,COUNTIF('PM10'!A:A,A39)&gt;0,COUNTIF('SO2'!A:A,A39)&gt;0,COUNTIF(Kendaraan!A:A,A39)&gt;0)</f>
        <v>1</v>
      </c>
    </row>
    <row r="40" spans="1:9" x14ac:dyDescent="0.45">
      <c r="A40" s="4">
        <v>45413</v>
      </c>
      <c r="B40" t="s">
        <v>482</v>
      </c>
      <c r="C40" t="s">
        <v>1521</v>
      </c>
      <c r="D40" t="s">
        <v>3249</v>
      </c>
      <c r="E40" t="s">
        <v>3716</v>
      </c>
      <c r="F40" t="s">
        <v>3717</v>
      </c>
      <c r="G40" s="1">
        <v>2518</v>
      </c>
      <c r="H40">
        <v>24</v>
      </c>
      <c r="I40" t="b">
        <f>AND(COUNTIF(CO!A:A,A40)&gt;0,COUNTIF('NO2'!A:A,A40)&gt;0,COUNTIF('O3'!A:A,A40)&gt;0,COUNTIF('PM10'!A:A,A40)&gt;0,COUNTIF('SO2'!A:A,A40)&gt;0,COUNTIF(Kendaraan!A:A,A40)&gt;0)</f>
        <v>1</v>
      </c>
    </row>
    <row r="41" spans="1:9" x14ac:dyDescent="0.45">
      <c r="A41" s="4">
        <v>45414</v>
      </c>
      <c r="B41" t="s">
        <v>1565</v>
      </c>
      <c r="C41" t="s">
        <v>858</v>
      </c>
      <c r="D41" t="s">
        <v>1417</v>
      </c>
      <c r="E41" t="s">
        <v>1413</v>
      </c>
      <c r="F41" t="s">
        <v>3132</v>
      </c>
      <c r="G41" s="1">
        <v>1045</v>
      </c>
      <c r="H41">
        <v>24</v>
      </c>
      <c r="I41" t="b">
        <f>AND(COUNTIF(CO!A:A,A41)&gt;0,COUNTIF('NO2'!A:A,A41)&gt;0,COUNTIF('O3'!A:A,A41)&gt;0,COUNTIF('PM10'!A:A,A41)&gt;0,COUNTIF('SO2'!A:A,A41)&gt;0,COUNTIF(Kendaraan!A:A,A41)&gt;0)</f>
        <v>1</v>
      </c>
    </row>
    <row r="42" spans="1:9" x14ac:dyDescent="0.45">
      <c r="A42" s="4">
        <v>45415</v>
      </c>
      <c r="B42" t="s">
        <v>1451</v>
      </c>
      <c r="C42" t="s">
        <v>1406</v>
      </c>
      <c r="D42" t="s">
        <v>445</v>
      </c>
      <c r="E42" t="s">
        <v>3194</v>
      </c>
      <c r="F42" t="s">
        <v>1425</v>
      </c>
      <c r="G42" s="1">
        <v>1366</v>
      </c>
      <c r="H42">
        <v>24</v>
      </c>
      <c r="I42" t="b">
        <f>AND(COUNTIF(CO!A:A,A42)&gt;0,COUNTIF('NO2'!A:A,A42)&gt;0,COUNTIF('O3'!A:A,A42)&gt;0,COUNTIF('PM10'!A:A,A42)&gt;0,COUNTIF('SO2'!A:A,A42)&gt;0,COUNTIF(Kendaraan!A:A,A42)&gt;0)</f>
        <v>1</v>
      </c>
    </row>
    <row r="43" spans="1:9" x14ac:dyDescent="0.45">
      <c r="A43" s="4">
        <v>45416</v>
      </c>
      <c r="B43" t="s">
        <v>1999</v>
      </c>
      <c r="C43" t="s">
        <v>498</v>
      </c>
      <c r="D43" t="s">
        <v>626</v>
      </c>
      <c r="E43" t="s">
        <v>1432</v>
      </c>
      <c r="F43" t="s">
        <v>3030</v>
      </c>
      <c r="G43" t="s">
        <v>215</v>
      </c>
      <c r="H43">
        <v>16</v>
      </c>
      <c r="I43" t="b">
        <f>AND(COUNTIF(CO!A:A,A43)&gt;0,COUNTIF('NO2'!A:A,A43)&gt;0,COUNTIF('O3'!A:A,A43)&gt;0,COUNTIF('PM10'!A:A,A43)&gt;0,COUNTIF('SO2'!A:A,A43)&gt;0,COUNTIF(Kendaraan!A:A,A43)&gt;0)</f>
        <v>1</v>
      </c>
    </row>
    <row r="44" spans="1:9" x14ac:dyDescent="0.45">
      <c r="A44" s="4">
        <v>45417</v>
      </c>
      <c r="B44" t="s">
        <v>2758</v>
      </c>
      <c r="C44" t="s">
        <v>930</v>
      </c>
      <c r="D44" t="s">
        <v>1103</v>
      </c>
      <c r="E44" t="s">
        <v>1128</v>
      </c>
      <c r="F44" t="s">
        <v>1320</v>
      </c>
      <c r="G44" t="s">
        <v>1888</v>
      </c>
      <c r="H44">
        <v>19</v>
      </c>
      <c r="I44" t="b">
        <f>AND(COUNTIF(CO!A:A,A44)&gt;0,COUNTIF('NO2'!A:A,A44)&gt;0,COUNTIF('O3'!A:A,A44)&gt;0,COUNTIF('PM10'!A:A,A44)&gt;0,COUNTIF('SO2'!A:A,A44)&gt;0,COUNTIF(Kendaraan!A:A,A44)&gt;0)</f>
        <v>1</v>
      </c>
    </row>
    <row r="45" spans="1:9" x14ac:dyDescent="0.45">
      <c r="A45" s="4">
        <v>45418</v>
      </c>
      <c r="B45" t="s">
        <v>2733</v>
      </c>
      <c r="C45" t="s">
        <v>1850</v>
      </c>
      <c r="D45">
        <v>16</v>
      </c>
      <c r="E45" t="s">
        <v>2765</v>
      </c>
      <c r="F45" t="s">
        <v>1617</v>
      </c>
      <c r="G45" s="1">
        <v>1473</v>
      </c>
      <c r="H45">
        <v>24</v>
      </c>
      <c r="I45" t="b">
        <f>AND(COUNTIF(CO!A:A,A45)&gt;0,COUNTIF('NO2'!A:A,A45)&gt;0,COUNTIF('O3'!A:A,A45)&gt;0,COUNTIF('PM10'!A:A,A45)&gt;0,COUNTIF('SO2'!A:A,A45)&gt;0,COUNTIF(Kendaraan!A:A,A45)&gt;0)</f>
        <v>1</v>
      </c>
    </row>
    <row r="46" spans="1:9" x14ac:dyDescent="0.45">
      <c r="A46" s="4">
        <v>45419</v>
      </c>
      <c r="B46" t="s">
        <v>2730</v>
      </c>
      <c r="C46" t="s">
        <v>1242</v>
      </c>
      <c r="D46" t="s">
        <v>1437</v>
      </c>
      <c r="E46" t="s">
        <v>1095</v>
      </c>
      <c r="F46" t="s">
        <v>898</v>
      </c>
      <c r="G46" s="1">
        <v>2996</v>
      </c>
      <c r="H46">
        <v>24</v>
      </c>
      <c r="I46" t="b">
        <f>AND(COUNTIF(CO!A:A,A46)&gt;0,COUNTIF('NO2'!A:A,A46)&gt;0,COUNTIF('O3'!A:A,A46)&gt;0,COUNTIF('PM10'!A:A,A46)&gt;0,COUNTIF('SO2'!A:A,A46)&gt;0,COUNTIF(Kendaraan!A:A,A46)&gt;0)</f>
        <v>1</v>
      </c>
    </row>
    <row r="47" spans="1:9" x14ac:dyDescent="0.45">
      <c r="A47" s="4">
        <v>45420</v>
      </c>
      <c r="B47" t="s">
        <v>1692</v>
      </c>
      <c r="C47" t="s">
        <v>3540</v>
      </c>
      <c r="D47" t="s">
        <v>3210</v>
      </c>
      <c r="E47" t="s">
        <v>1845</v>
      </c>
      <c r="F47" t="s">
        <v>437</v>
      </c>
      <c r="G47" s="1">
        <v>3719</v>
      </c>
      <c r="H47">
        <v>24</v>
      </c>
      <c r="I47" t="b">
        <f>AND(COUNTIF(CO!A:A,A47)&gt;0,COUNTIF('NO2'!A:A,A47)&gt;0,COUNTIF('O3'!A:A,A47)&gt;0,COUNTIF('PM10'!A:A,A47)&gt;0,COUNTIF('SO2'!A:A,A47)&gt;0,COUNTIF(Kendaraan!A:A,A47)&gt;0)</f>
        <v>1</v>
      </c>
    </row>
    <row r="48" spans="1:9" x14ac:dyDescent="0.45">
      <c r="A48" s="4">
        <v>45421</v>
      </c>
      <c r="B48" t="s">
        <v>419</v>
      </c>
      <c r="C48" t="s">
        <v>3718</v>
      </c>
      <c r="D48" t="s">
        <v>1522</v>
      </c>
      <c r="E48" t="s">
        <v>2040</v>
      </c>
      <c r="F48" t="s">
        <v>1947</v>
      </c>
      <c r="G48" s="1">
        <v>3585</v>
      </c>
      <c r="H48">
        <v>24</v>
      </c>
      <c r="I48" t="b">
        <f>AND(COUNTIF(CO!A:A,A48)&gt;0,COUNTIF('NO2'!A:A,A48)&gt;0,COUNTIF('O3'!A:A,A48)&gt;0,COUNTIF('PM10'!A:A,A48)&gt;0,COUNTIF('SO2'!A:A,A48)&gt;0,COUNTIF(Kendaraan!A:A,A48)&gt;0)</f>
        <v>1</v>
      </c>
    </row>
    <row r="49" spans="1:9" x14ac:dyDescent="0.45">
      <c r="A49" s="4">
        <v>45422</v>
      </c>
      <c r="B49" t="s">
        <v>3138</v>
      </c>
      <c r="C49" t="s">
        <v>3719</v>
      </c>
      <c r="D49" t="s">
        <v>2352</v>
      </c>
      <c r="E49" t="s">
        <v>3133</v>
      </c>
      <c r="F49" t="s">
        <v>2193</v>
      </c>
      <c r="G49" s="1">
        <v>1472</v>
      </c>
      <c r="H49">
        <v>24</v>
      </c>
      <c r="I49" t="b">
        <f>AND(COUNTIF(CO!A:A,A49)&gt;0,COUNTIF('NO2'!A:A,A49)&gt;0,COUNTIF('O3'!A:A,A49)&gt;0,COUNTIF('PM10'!A:A,A49)&gt;0,COUNTIF('SO2'!A:A,A49)&gt;0,COUNTIF(Kendaraan!A:A,A49)&gt;0)</f>
        <v>1</v>
      </c>
    </row>
    <row r="50" spans="1:9" x14ac:dyDescent="0.45">
      <c r="A50" s="4">
        <v>45423</v>
      </c>
      <c r="B50" t="s">
        <v>3720</v>
      </c>
      <c r="C50" t="s">
        <v>3721</v>
      </c>
      <c r="D50" t="s">
        <v>3722</v>
      </c>
      <c r="E50" t="s">
        <v>3723</v>
      </c>
      <c r="F50" t="s">
        <v>3724</v>
      </c>
      <c r="G50" s="1">
        <v>1566</v>
      </c>
      <c r="H50">
        <v>24</v>
      </c>
      <c r="I50" t="b">
        <f>AND(COUNTIF(CO!A:A,A50)&gt;0,COUNTIF('NO2'!A:A,A50)&gt;0,COUNTIF('O3'!A:A,A50)&gt;0,COUNTIF('PM10'!A:A,A50)&gt;0,COUNTIF('SO2'!A:A,A50)&gt;0,COUNTIF(Kendaraan!A:A,A50)&gt;0)</f>
        <v>1</v>
      </c>
    </row>
    <row r="51" spans="1:9" x14ac:dyDescent="0.45">
      <c r="A51" s="4">
        <v>45424</v>
      </c>
      <c r="B51" t="s">
        <v>2867</v>
      </c>
      <c r="C51" t="s">
        <v>2886</v>
      </c>
      <c r="D51" t="s">
        <v>3723</v>
      </c>
      <c r="E51" t="s">
        <v>3725</v>
      </c>
      <c r="F51" t="s">
        <v>2352</v>
      </c>
      <c r="G51" s="1">
        <v>2147</v>
      </c>
      <c r="H51">
        <v>24</v>
      </c>
      <c r="I51" t="b">
        <f>AND(COUNTIF(CO!A:A,A51)&gt;0,COUNTIF('NO2'!A:A,A51)&gt;0,COUNTIF('O3'!A:A,A51)&gt;0,COUNTIF('PM10'!A:A,A51)&gt;0,COUNTIF('SO2'!A:A,A51)&gt;0,COUNTIF(Kendaraan!A:A,A51)&gt;0)</f>
        <v>1</v>
      </c>
    </row>
    <row r="52" spans="1:9" x14ac:dyDescent="0.45">
      <c r="A52" s="4">
        <v>45425</v>
      </c>
      <c r="B52" t="s">
        <v>3230</v>
      </c>
      <c r="C52" t="s">
        <v>3726</v>
      </c>
      <c r="D52" t="s">
        <v>3727</v>
      </c>
      <c r="E52" t="s">
        <v>3728</v>
      </c>
      <c r="F52" t="s">
        <v>3729</v>
      </c>
      <c r="G52" s="1">
        <v>2824</v>
      </c>
      <c r="H52">
        <v>24</v>
      </c>
      <c r="I52" t="b">
        <f>AND(COUNTIF(CO!A:A,A52)&gt;0,COUNTIF('NO2'!A:A,A52)&gt;0,COUNTIF('O3'!A:A,A52)&gt;0,COUNTIF('PM10'!A:A,A52)&gt;0,COUNTIF('SO2'!A:A,A52)&gt;0,COUNTIF(Kendaraan!A:A,A52)&gt;0)</f>
        <v>1</v>
      </c>
    </row>
    <row r="53" spans="1:9" x14ac:dyDescent="0.45">
      <c r="A53" s="4">
        <v>45426</v>
      </c>
      <c r="B53" t="s">
        <v>2023</v>
      </c>
      <c r="C53" t="s">
        <v>3730</v>
      </c>
      <c r="D53" t="s">
        <v>3731</v>
      </c>
      <c r="E53" t="s">
        <v>2796</v>
      </c>
      <c r="F53" t="s">
        <v>3732</v>
      </c>
      <c r="G53" s="1">
        <v>1232</v>
      </c>
      <c r="H53">
        <v>24</v>
      </c>
      <c r="I53" t="b">
        <f>AND(COUNTIF(CO!A:A,A53)&gt;0,COUNTIF('NO2'!A:A,A53)&gt;0,COUNTIF('O3'!A:A,A53)&gt;0,COUNTIF('PM10'!A:A,A53)&gt;0,COUNTIF('SO2'!A:A,A53)&gt;0,COUNTIF(Kendaraan!A:A,A53)&gt;0)</f>
        <v>1</v>
      </c>
    </row>
    <row r="54" spans="1:9" x14ac:dyDescent="0.45">
      <c r="A54" s="4">
        <v>45427</v>
      </c>
      <c r="B54" t="s">
        <v>3733</v>
      </c>
      <c r="C54" t="s">
        <v>3734</v>
      </c>
      <c r="D54" t="s">
        <v>3735</v>
      </c>
      <c r="E54" t="s">
        <v>2848</v>
      </c>
      <c r="F54" t="s">
        <v>3736</v>
      </c>
      <c r="G54" s="1">
        <v>4447</v>
      </c>
      <c r="H54">
        <v>24</v>
      </c>
      <c r="I54" t="b">
        <f>AND(COUNTIF(CO!A:A,A54)&gt;0,COUNTIF('NO2'!A:A,A54)&gt;0,COUNTIF('O3'!A:A,A54)&gt;0,COUNTIF('PM10'!A:A,A54)&gt;0,COUNTIF('SO2'!A:A,A54)&gt;0,COUNTIF(Kendaraan!A:A,A54)&gt;0)</f>
        <v>1</v>
      </c>
    </row>
    <row r="55" spans="1:9" x14ac:dyDescent="0.45">
      <c r="A55" s="4">
        <v>45428</v>
      </c>
      <c r="B55" t="s">
        <v>2022</v>
      </c>
      <c r="C55" t="s">
        <v>368</v>
      </c>
      <c r="D55" t="s">
        <v>3737</v>
      </c>
      <c r="E55" t="s">
        <v>1897</v>
      </c>
      <c r="F55" t="s">
        <v>3738</v>
      </c>
      <c r="G55" s="1">
        <v>6112</v>
      </c>
      <c r="H55">
        <v>24</v>
      </c>
      <c r="I55" t="b">
        <f>AND(COUNTIF(CO!A:A,A55)&gt;0,COUNTIF('NO2'!A:A,A55)&gt;0,COUNTIF('O3'!A:A,A55)&gt;0,COUNTIF('PM10'!A:A,A55)&gt;0,COUNTIF('SO2'!A:A,A55)&gt;0,COUNTIF(Kendaraan!A:A,A55)&gt;0)</f>
        <v>1</v>
      </c>
    </row>
    <row r="56" spans="1:9" x14ac:dyDescent="0.45">
      <c r="A56" s="4">
        <v>45429</v>
      </c>
      <c r="B56" t="s">
        <v>471</v>
      </c>
      <c r="C56" t="s">
        <v>2798</v>
      </c>
      <c r="D56" t="s">
        <v>3739</v>
      </c>
      <c r="E56" t="s">
        <v>3740</v>
      </c>
      <c r="F56" t="s">
        <v>2565</v>
      </c>
      <c r="G56" s="1">
        <v>1323</v>
      </c>
      <c r="H56">
        <v>24</v>
      </c>
      <c r="I56" t="b">
        <f>AND(COUNTIF(CO!A:A,A56)&gt;0,COUNTIF('NO2'!A:A,A56)&gt;0,COUNTIF('O3'!A:A,A56)&gt;0,COUNTIF('PM10'!A:A,A56)&gt;0,COUNTIF('SO2'!A:A,A56)&gt;0,COUNTIF(Kendaraan!A:A,A56)&gt;0)</f>
        <v>1</v>
      </c>
    </row>
    <row r="57" spans="1:9" x14ac:dyDescent="0.45">
      <c r="A57" s="4">
        <v>45430</v>
      </c>
      <c r="B57" t="s">
        <v>669</v>
      </c>
      <c r="C57" t="s">
        <v>1531</v>
      </c>
      <c r="D57" t="s">
        <v>2027</v>
      </c>
      <c r="E57">
        <v>25</v>
      </c>
      <c r="F57" t="s">
        <v>2819</v>
      </c>
      <c r="G57" s="1">
        <v>2262</v>
      </c>
      <c r="H57">
        <v>24</v>
      </c>
      <c r="I57" t="b">
        <f>AND(COUNTIF(CO!A:A,A57)&gt;0,COUNTIF('NO2'!A:A,A57)&gt;0,COUNTIF('O3'!A:A,A57)&gt;0,COUNTIF('PM10'!A:A,A57)&gt;0,COUNTIF('SO2'!A:A,A57)&gt;0,COUNTIF(Kendaraan!A:A,A57)&gt;0)</f>
        <v>1</v>
      </c>
    </row>
    <row r="58" spans="1:9" x14ac:dyDescent="0.45">
      <c r="A58" s="4">
        <v>45431</v>
      </c>
      <c r="B58" t="s">
        <v>2058</v>
      </c>
      <c r="C58" t="s">
        <v>1403</v>
      </c>
      <c r="D58" t="s">
        <v>3200</v>
      </c>
      <c r="E58" t="s">
        <v>3497</v>
      </c>
      <c r="F58" t="s">
        <v>1470</v>
      </c>
      <c r="G58" s="1">
        <v>1293</v>
      </c>
      <c r="H58">
        <v>24</v>
      </c>
      <c r="I58" t="b">
        <f>AND(COUNTIF(CO!A:A,A58)&gt;0,COUNTIF('NO2'!A:A,A58)&gt;0,COUNTIF('O3'!A:A,A58)&gt;0,COUNTIF('PM10'!A:A,A58)&gt;0,COUNTIF('SO2'!A:A,A58)&gt;0,COUNTIF(Kendaraan!A:A,A58)&gt;0)</f>
        <v>1</v>
      </c>
    </row>
    <row r="59" spans="1:9" x14ac:dyDescent="0.45">
      <c r="A59" s="4">
        <v>45432</v>
      </c>
      <c r="B59" t="s">
        <v>1453</v>
      </c>
      <c r="C59" t="s">
        <v>463</v>
      </c>
      <c r="D59" t="s">
        <v>3711</v>
      </c>
      <c r="E59" t="s">
        <v>1850</v>
      </c>
      <c r="F59" t="s">
        <v>3234</v>
      </c>
      <c r="G59" s="1">
        <v>1772</v>
      </c>
      <c r="H59">
        <v>24</v>
      </c>
      <c r="I59" t="b">
        <f>AND(COUNTIF(CO!A:A,A59)&gt;0,COUNTIF('NO2'!A:A,A59)&gt;0,COUNTIF('O3'!A:A,A59)&gt;0,COUNTIF('PM10'!A:A,A59)&gt;0,COUNTIF('SO2'!A:A,A59)&gt;0,COUNTIF(Kendaraan!A:A,A59)&gt;0)</f>
        <v>1</v>
      </c>
    </row>
    <row r="60" spans="1:9" x14ac:dyDescent="0.45">
      <c r="A60" s="4">
        <v>45433</v>
      </c>
      <c r="B60" t="s">
        <v>416</v>
      </c>
      <c r="C60" t="s">
        <v>2022</v>
      </c>
      <c r="D60" t="s">
        <v>3273</v>
      </c>
      <c r="E60" t="s">
        <v>521</v>
      </c>
      <c r="F60" t="s">
        <v>2335</v>
      </c>
      <c r="G60" s="1">
        <v>2255</v>
      </c>
      <c r="H60">
        <v>24</v>
      </c>
      <c r="I60" t="b">
        <f>AND(COUNTIF(CO!A:A,A60)&gt;0,COUNTIF('NO2'!A:A,A60)&gt;0,COUNTIF('O3'!A:A,A60)&gt;0,COUNTIF('PM10'!A:A,A60)&gt;0,COUNTIF('SO2'!A:A,A60)&gt;0,COUNTIF(Kendaraan!A:A,A60)&gt;0)</f>
        <v>1</v>
      </c>
    </row>
    <row r="61" spans="1:9" x14ac:dyDescent="0.45">
      <c r="A61" s="4">
        <v>45434</v>
      </c>
      <c r="B61" t="s">
        <v>2819</v>
      </c>
      <c r="C61" t="s">
        <v>3222</v>
      </c>
      <c r="D61" t="s">
        <v>3741</v>
      </c>
      <c r="E61" t="s">
        <v>3742</v>
      </c>
      <c r="F61" t="s">
        <v>3743</v>
      </c>
      <c r="G61" s="1">
        <v>2687</v>
      </c>
      <c r="H61">
        <v>18</v>
      </c>
      <c r="I61" t="b">
        <f>AND(COUNTIF(CO!A:A,A61)&gt;0,COUNTIF('NO2'!A:A,A61)&gt;0,COUNTIF('O3'!A:A,A61)&gt;0,COUNTIF('PM10'!A:A,A61)&gt;0,COUNTIF('SO2'!A:A,A61)&gt;0,COUNTIF(Kendaraan!A:A,A61)&gt;0)</f>
        <v>1</v>
      </c>
    </row>
    <row r="62" spans="1:9" x14ac:dyDescent="0.45">
      <c r="A62" s="4">
        <v>45435</v>
      </c>
      <c r="B62" t="s">
        <v>2260</v>
      </c>
      <c r="C62" t="s">
        <v>3744</v>
      </c>
      <c r="D62" t="s">
        <v>1037</v>
      </c>
      <c r="E62" t="s">
        <v>3745</v>
      </c>
      <c r="F62">
        <v>39</v>
      </c>
      <c r="G62" s="1">
        <v>1356</v>
      </c>
      <c r="H62">
        <v>18</v>
      </c>
      <c r="I62" t="b">
        <f>AND(COUNTIF(CO!A:A,A62)&gt;0,COUNTIF('NO2'!A:A,A62)&gt;0,COUNTIF('O3'!A:A,A62)&gt;0,COUNTIF('PM10'!A:A,A62)&gt;0,COUNTIF('SO2'!A:A,A62)&gt;0,COUNTIF(Kendaraan!A:A,A62)&gt;0)</f>
        <v>1</v>
      </c>
    </row>
    <row r="63" spans="1:9" x14ac:dyDescent="0.45">
      <c r="A63" s="4">
        <v>45446</v>
      </c>
      <c r="B63" t="s">
        <v>1858</v>
      </c>
      <c r="C63">
        <v>29</v>
      </c>
      <c r="D63" t="s">
        <v>3224</v>
      </c>
      <c r="E63" t="s">
        <v>3045</v>
      </c>
      <c r="F63" t="s">
        <v>3466</v>
      </c>
      <c r="G63" s="1">
        <v>4789</v>
      </c>
      <c r="H63">
        <v>24</v>
      </c>
      <c r="I63" t="b">
        <f>AND(COUNTIF(CO!A:A,A63)&gt;0,COUNTIF('NO2'!A:A,A63)&gt;0,COUNTIF('O3'!A:A,A63)&gt;0,COUNTIF('PM10'!A:A,A63)&gt;0,COUNTIF('SO2'!A:A,A63)&gt;0,COUNTIF(Kendaraan!A:A,A63)&gt;0)</f>
        <v>1</v>
      </c>
    </row>
    <row r="64" spans="1:9" x14ac:dyDescent="0.45">
      <c r="A64" s="4">
        <v>45447</v>
      </c>
      <c r="B64" t="s">
        <v>1429</v>
      </c>
      <c r="C64" t="s">
        <v>1404</v>
      </c>
      <c r="D64" t="s">
        <v>2056</v>
      </c>
      <c r="E64" t="s">
        <v>1160</v>
      </c>
      <c r="F64" t="s">
        <v>3649</v>
      </c>
      <c r="G64" s="1">
        <v>2686</v>
      </c>
      <c r="H64">
        <v>24</v>
      </c>
      <c r="I64" t="b">
        <f>AND(COUNTIF(CO!A:A,A64)&gt;0,COUNTIF('NO2'!A:A,A64)&gt;0,COUNTIF('O3'!A:A,A64)&gt;0,COUNTIF('PM10'!A:A,A64)&gt;0,COUNTIF('SO2'!A:A,A64)&gt;0,COUNTIF(Kendaraan!A:A,A64)&gt;0)</f>
        <v>1</v>
      </c>
    </row>
    <row r="65" spans="1:9" x14ac:dyDescent="0.45">
      <c r="A65" s="4">
        <v>45448</v>
      </c>
      <c r="B65" t="s">
        <v>1182</v>
      </c>
      <c r="C65" t="s">
        <v>646</v>
      </c>
      <c r="D65">
        <v>23</v>
      </c>
      <c r="E65" t="s">
        <v>3440</v>
      </c>
      <c r="F65" t="s">
        <v>3600</v>
      </c>
      <c r="G65" s="1">
        <v>2486</v>
      </c>
      <c r="H65">
        <v>23</v>
      </c>
      <c r="I65" t="b">
        <f>AND(COUNTIF(CO!A:A,A65)&gt;0,COUNTIF('NO2'!A:A,A65)&gt;0,COUNTIF('O3'!A:A,A65)&gt;0,COUNTIF('PM10'!A:A,A65)&gt;0,COUNTIF('SO2'!A:A,A65)&gt;0,COUNTIF(Kendaraan!A:A,A65)&gt;0)</f>
        <v>1</v>
      </c>
    </row>
    <row r="66" spans="1:9" x14ac:dyDescent="0.45">
      <c r="A66" s="4">
        <v>45449</v>
      </c>
      <c r="B66" t="s">
        <v>3706</v>
      </c>
      <c r="C66" t="s">
        <v>546</v>
      </c>
      <c r="D66" t="s">
        <v>3149</v>
      </c>
      <c r="E66" t="s">
        <v>1630</v>
      </c>
      <c r="F66" t="s">
        <v>3751</v>
      </c>
      <c r="G66" s="1">
        <v>3466</v>
      </c>
      <c r="H66">
        <v>24</v>
      </c>
      <c r="I66" t="b">
        <f>AND(COUNTIF(CO!A:A,A66)&gt;0,COUNTIF('NO2'!A:A,A66)&gt;0,COUNTIF('O3'!A:A,A66)&gt;0,COUNTIF('PM10'!A:A,A66)&gt;0,COUNTIF('SO2'!A:A,A66)&gt;0,COUNTIF(Kendaraan!A:A,A66)&gt;0)</f>
        <v>1</v>
      </c>
    </row>
    <row r="67" spans="1:9" x14ac:dyDescent="0.45">
      <c r="A67" s="4">
        <v>45450</v>
      </c>
      <c r="B67" t="s">
        <v>3125</v>
      </c>
      <c r="C67" t="s">
        <v>2139</v>
      </c>
      <c r="D67" t="s">
        <v>537</v>
      </c>
      <c r="E67" t="s">
        <v>419</v>
      </c>
      <c r="F67" t="s">
        <v>3320</v>
      </c>
      <c r="G67" s="1">
        <v>1875</v>
      </c>
      <c r="H67">
        <v>24</v>
      </c>
      <c r="I67" t="b">
        <f>AND(COUNTIF(CO!A:A,A67)&gt;0,COUNTIF('NO2'!A:A,A67)&gt;0,COUNTIF('O3'!A:A,A67)&gt;0,COUNTIF('PM10'!A:A,A67)&gt;0,COUNTIF('SO2'!A:A,A67)&gt;0,COUNTIF(Kendaraan!A:A,A67)&gt;0)</f>
        <v>1</v>
      </c>
    </row>
    <row r="68" spans="1:9" x14ac:dyDescent="0.45">
      <c r="A68" s="4">
        <v>45451</v>
      </c>
      <c r="B68" t="s">
        <v>677</v>
      </c>
      <c r="C68" t="s">
        <v>2145</v>
      </c>
      <c r="D68" t="s">
        <v>3752</v>
      </c>
      <c r="E68" t="s">
        <v>589</v>
      </c>
      <c r="F68" t="s">
        <v>2968</v>
      </c>
      <c r="G68" s="1">
        <v>1984</v>
      </c>
      <c r="H68">
        <v>24</v>
      </c>
      <c r="I68" t="b">
        <f>AND(COUNTIF(CO!A:A,A68)&gt;0,COUNTIF('NO2'!A:A,A68)&gt;0,COUNTIF('O3'!A:A,A68)&gt;0,COUNTIF('PM10'!A:A,A68)&gt;0,COUNTIF('SO2'!A:A,A68)&gt;0,COUNTIF(Kendaraan!A:A,A68)&gt;0)</f>
        <v>1</v>
      </c>
    </row>
    <row r="69" spans="1:9" x14ac:dyDescent="0.45">
      <c r="A69" s="4">
        <v>45452</v>
      </c>
      <c r="B69" t="s">
        <v>3355</v>
      </c>
      <c r="C69" t="s">
        <v>2330</v>
      </c>
      <c r="D69" t="s">
        <v>840</v>
      </c>
      <c r="E69" t="s">
        <v>3313</v>
      </c>
      <c r="F69" t="s">
        <v>3746</v>
      </c>
      <c r="G69" t="s">
        <v>3753</v>
      </c>
      <c r="H69">
        <v>24</v>
      </c>
      <c r="I69" t="b">
        <f>AND(COUNTIF(CO!A:A,A69)&gt;0,COUNTIF('NO2'!A:A,A69)&gt;0,COUNTIF('O3'!A:A,A69)&gt;0,COUNTIF('PM10'!A:A,A69)&gt;0,COUNTIF('SO2'!A:A,A69)&gt;0,COUNTIF(Kendaraan!A:A,A69)&gt;0)</f>
        <v>1</v>
      </c>
    </row>
    <row r="70" spans="1:9" x14ac:dyDescent="0.45">
      <c r="A70" s="4">
        <v>45453</v>
      </c>
      <c r="B70" t="s">
        <v>606</v>
      </c>
      <c r="C70" t="s">
        <v>3488</v>
      </c>
      <c r="D70" t="s">
        <v>519</v>
      </c>
      <c r="E70" t="s">
        <v>3542</v>
      </c>
      <c r="F70" t="s">
        <v>3392</v>
      </c>
      <c r="G70" s="1">
        <v>1181</v>
      </c>
      <c r="H70">
        <v>24</v>
      </c>
      <c r="I70" t="b">
        <f>AND(COUNTIF(CO!A:A,A70)&gt;0,COUNTIF('NO2'!A:A,A70)&gt;0,COUNTIF('O3'!A:A,A70)&gt;0,COUNTIF('PM10'!A:A,A70)&gt;0,COUNTIF('SO2'!A:A,A70)&gt;0,COUNTIF(Kendaraan!A:A,A70)&gt;0)</f>
        <v>1</v>
      </c>
    </row>
    <row r="71" spans="1:9" x14ac:dyDescent="0.45">
      <c r="A71" s="4">
        <v>45454</v>
      </c>
      <c r="B71" t="s">
        <v>829</v>
      </c>
      <c r="C71" t="s">
        <v>3268</v>
      </c>
      <c r="D71" t="s">
        <v>1533</v>
      </c>
      <c r="E71" t="s">
        <v>3754</v>
      </c>
      <c r="F71" t="s">
        <v>841</v>
      </c>
      <c r="G71" s="1">
        <v>1035</v>
      </c>
      <c r="H71">
        <v>24</v>
      </c>
      <c r="I71" t="b">
        <f>AND(COUNTIF(CO!A:A,A71)&gt;0,COUNTIF('NO2'!A:A,A71)&gt;0,COUNTIF('O3'!A:A,A71)&gt;0,COUNTIF('PM10'!A:A,A71)&gt;0,COUNTIF('SO2'!A:A,A71)&gt;0,COUNTIF(Kendaraan!A:A,A71)&gt;0)</f>
        <v>1</v>
      </c>
    </row>
    <row r="72" spans="1:9" x14ac:dyDescent="0.45">
      <c r="A72" s="4">
        <v>45455</v>
      </c>
      <c r="B72" t="s">
        <v>574</v>
      </c>
      <c r="C72" t="s">
        <v>1527</v>
      </c>
      <c r="D72" t="s">
        <v>3755</v>
      </c>
      <c r="E72" t="s">
        <v>2877</v>
      </c>
      <c r="F72" t="s">
        <v>2042</v>
      </c>
      <c r="G72" s="1">
        <v>1646</v>
      </c>
      <c r="H72">
        <v>24</v>
      </c>
      <c r="I72" t="b">
        <f>AND(COUNTIF(CO!A:A,A72)&gt;0,COUNTIF('NO2'!A:A,A72)&gt;0,COUNTIF('O3'!A:A,A72)&gt;0,COUNTIF('PM10'!A:A,A72)&gt;0,COUNTIF('SO2'!A:A,A72)&gt;0,COUNTIF(Kendaraan!A:A,A72)&gt;0)</f>
        <v>1</v>
      </c>
    </row>
    <row r="73" spans="1:9" x14ac:dyDescent="0.45">
      <c r="A73" s="4">
        <v>45456</v>
      </c>
      <c r="B73" t="s">
        <v>914</v>
      </c>
      <c r="C73" t="s">
        <v>3756</v>
      </c>
      <c r="D73" t="s">
        <v>532</v>
      </c>
      <c r="E73" t="s">
        <v>553</v>
      </c>
      <c r="F73" t="s">
        <v>2879</v>
      </c>
      <c r="G73" s="1">
        <v>3222</v>
      </c>
      <c r="H73">
        <v>24</v>
      </c>
      <c r="I73" t="b">
        <f>AND(COUNTIF(CO!A:A,A73)&gt;0,COUNTIF('NO2'!A:A,A73)&gt;0,COUNTIF('O3'!A:A,A73)&gt;0,COUNTIF('PM10'!A:A,A73)&gt;0,COUNTIF('SO2'!A:A,A73)&gt;0,COUNTIF(Kendaraan!A:A,A73)&gt;0)</f>
        <v>1</v>
      </c>
    </row>
    <row r="74" spans="1:9" x14ac:dyDescent="0.45">
      <c r="A74" s="4">
        <v>45457</v>
      </c>
      <c r="B74" t="s">
        <v>2217</v>
      </c>
      <c r="C74" t="s">
        <v>2368</v>
      </c>
      <c r="D74" t="s">
        <v>3666</v>
      </c>
      <c r="E74" t="s">
        <v>3694</v>
      </c>
      <c r="F74" t="s">
        <v>2886</v>
      </c>
      <c r="G74" s="1">
        <v>2499</v>
      </c>
      <c r="H74">
        <v>19</v>
      </c>
      <c r="I74" t="b">
        <f>AND(COUNTIF(CO!A:A,A74)&gt;0,COUNTIF('NO2'!A:A,A74)&gt;0,COUNTIF('O3'!A:A,A74)&gt;0,COUNTIF('PM10'!A:A,A74)&gt;0,COUNTIF('SO2'!A:A,A74)&gt;0,COUNTIF(Kendaraan!A:A,A74)&gt;0)</f>
        <v>1</v>
      </c>
    </row>
    <row r="75" spans="1:9" x14ac:dyDescent="0.45">
      <c r="A75" s="4">
        <v>45458</v>
      </c>
      <c r="B75" t="s">
        <v>859</v>
      </c>
      <c r="C75" t="s">
        <v>3757</v>
      </c>
      <c r="D75" t="s">
        <v>3758</v>
      </c>
      <c r="E75" t="s">
        <v>3648</v>
      </c>
      <c r="F75" t="s">
        <v>2013</v>
      </c>
      <c r="G75" s="1">
        <v>2519</v>
      </c>
      <c r="H75">
        <v>23</v>
      </c>
      <c r="I75" t="b">
        <f>AND(COUNTIF(CO!A:A,A75)&gt;0,COUNTIF('NO2'!A:A,A75)&gt;0,COUNTIF('O3'!A:A,A75)&gt;0,COUNTIF('PM10'!A:A,A75)&gt;0,COUNTIF('SO2'!A:A,A75)&gt;0,COUNTIF(Kendaraan!A:A,A75)&gt;0)</f>
        <v>1</v>
      </c>
    </row>
    <row r="76" spans="1:9" x14ac:dyDescent="0.45">
      <c r="A76" s="4">
        <v>45459</v>
      </c>
      <c r="B76" t="s">
        <v>3759</v>
      </c>
      <c r="C76" t="s">
        <v>3760</v>
      </c>
      <c r="D76" t="s">
        <v>2540</v>
      </c>
      <c r="E76" t="s">
        <v>3761</v>
      </c>
      <c r="F76" t="s">
        <v>3762</v>
      </c>
      <c r="G76" s="1">
        <v>3282</v>
      </c>
      <c r="H76">
        <v>24</v>
      </c>
      <c r="I76" t="b">
        <f>AND(COUNTIF(CO!A:A,A76)&gt;0,COUNTIF('NO2'!A:A,A76)&gt;0,COUNTIF('O3'!A:A,A76)&gt;0,COUNTIF('PM10'!A:A,A76)&gt;0,COUNTIF('SO2'!A:A,A76)&gt;0,COUNTIF(Kendaraan!A:A,A76)&gt;0)</f>
        <v>1</v>
      </c>
    </row>
    <row r="77" spans="1:9" x14ac:dyDescent="0.45">
      <c r="A77" s="4">
        <v>45460</v>
      </c>
      <c r="B77" t="s">
        <v>3665</v>
      </c>
      <c r="C77" t="s">
        <v>3763</v>
      </c>
      <c r="D77" t="s">
        <v>3764</v>
      </c>
      <c r="E77" t="s">
        <v>1544</v>
      </c>
      <c r="F77" t="s">
        <v>2356</v>
      </c>
      <c r="G77" t="s">
        <v>2076</v>
      </c>
      <c r="H77">
        <v>24</v>
      </c>
      <c r="I77" t="b">
        <f>AND(COUNTIF(CO!A:A,A77)&gt;0,COUNTIF('NO2'!A:A,A77)&gt;0,COUNTIF('O3'!A:A,A77)&gt;0,COUNTIF('PM10'!A:A,A77)&gt;0,COUNTIF('SO2'!A:A,A77)&gt;0,COUNTIF(Kendaraan!A:A,A77)&gt;0)</f>
        <v>1</v>
      </c>
    </row>
    <row r="78" spans="1:9" x14ac:dyDescent="0.45">
      <c r="A78" s="4">
        <v>45461</v>
      </c>
      <c r="B78" t="s">
        <v>3728</v>
      </c>
      <c r="C78" t="s">
        <v>2519</v>
      </c>
      <c r="D78" t="s">
        <v>3765</v>
      </c>
      <c r="E78" t="s">
        <v>3766</v>
      </c>
      <c r="F78" t="s">
        <v>3767</v>
      </c>
      <c r="G78" s="1">
        <v>5614</v>
      </c>
      <c r="H78">
        <v>24</v>
      </c>
      <c r="I78" t="b">
        <f>AND(COUNTIF(CO!A:A,A78)&gt;0,COUNTIF('NO2'!A:A,A78)&gt;0,COUNTIF('O3'!A:A,A78)&gt;0,COUNTIF('PM10'!A:A,A78)&gt;0,COUNTIF('SO2'!A:A,A78)&gt;0,COUNTIF(Kendaraan!A:A,A78)&gt;0)</f>
        <v>1</v>
      </c>
    </row>
    <row r="79" spans="1:9" x14ac:dyDescent="0.45">
      <c r="A79" s="4">
        <v>45462</v>
      </c>
      <c r="B79" t="s">
        <v>3262</v>
      </c>
      <c r="C79" t="s">
        <v>2252</v>
      </c>
      <c r="D79" t="s">
        <v>3307</v>
      </c>
      <c r="E79" t="s">
        <v>393</v>
      </c>
      <c r="F79" t="s">
        <v>3294</v>
      </c>
      <c r="G79" s="1">
        <v>2088</v>
      </c>
      <c r="H79">
        <v>24</v>
      </c>
      <c r="I79" t="b">
        <f>AND(COUNTIF(CO!A:A,A79)&gt;0,COUNTIF('NO2'!A:A,A79)&gt;0,COUNTIF('O3'!A:A,A79)&gt;0,COUNTIF('PM10'!A:A,A79)&gt;0,COUNTIF('SO2'!A:A,A79)&gt;0,COUNTIF(Kendaraan!A:A,A79)&gt;0)</f>
        <v>1</v>
      </c>
    </row>
    <row r="80" spans="1:9" x14ac:dyDescent="0.45">
      <c r="A80" s="4">
        <v>45463</v>
      </c>
      <c r="B80" t="s">
        <v>663</v>
      </c>
      <c r="C80" t="s">
        <v>2142</v>
      </c>
      <c r="D80" t="s">
        <v>3768</v>
      </c>
      <c r="E80" t="s">
        <v>393</v>
      </c>
      <c r="F80" t="s">
        <v>2863</v>
      </c>
      <c r="G80" s="1">
        <v>1926</v>
      </c>
      <c r="H80">
        <v>24</v>
      </c>
      <c r="I80" t="b">
        <f>AND(COUNTIF(CO!A:A,A80)&gt;0,COUNTIF('NO2'!A:A,A80)&gt;0,COUNTIF('O3'!A:A,A80)&gt;0,COUNTIF('PM10'!A:A,A80)&gt;0,COUNTIF('SO2'!A:A,A80)&gt;0,COUNTIF(Kendaraan!A:A,A80)&gt;0)</f>
        <v>1</v>
      </c>
    </row>
    <row r="81" spans="1:9" x14ac:dyDescent="0.45">
      <c r="A81" s="4">
        <v>45464</v>
      </c>
      <c r="B81" t="s">
        <v>1696</v>
      </c>
      <c r="C81" t="s">
        <v>634</v>
      </c>
      <c r="D81" t="s">
        <v>3135</v>
      </c>
      <c r="E81" t="s">
        <v>3769</v>
      </c>
      <c r="F81" t="s">
        <v>1924</v>
      </c>
      <c r="G81" s="1">
        <v>2172</v>
      </c>
      <c r="H81">
        <v>24</v>
      </c>
      <c r="I81" t="b">
        <f>AND(COUNTIF(CO!A:A,A81)&gt;0,COUNTIF('NO2'!A:A,A81)&gt;0,COUNTIF('O3'!A:A,A81)&gt;0,COUNTIF('PM10'!A:A,A81)&gt;0,COUNTIF('SO2'!A:A,A81)&gt;0,COUNTIF(Kendaraan!A:A,A81)&gt;0)</f>
        <v>1</v>
      </c>
    </row>
    <row r="82" spans="1:9" x14ac:dyDescent="0.45">
      <c r="A82" s="4">
        <v>45465</v>
      </c>
      <c r="B82" t="s">
        <v>1202</v>
      </c>
      <c r="C82" t="s">
        <v>3278</v>
      </c>
      <c r="D82" t="s">
        <v>3157</v>
      </c>
      <c r="E82" t="s">
        <v>1485</v>
      </c>
      <c r="F82" t="s">
        <v>1974</v>
      </c>
      <c r="G82" t="s">
        <v>3770</v>
      </c>
      <c r="H82">
        <v>24</v>
      </c>
      <c r="I82" t="b">
        <f>AND(COUNTIF(CO!A:A,A82)&gt;0,COUNTIF('NO2'!A:A,A82)&gt;0,COUNTIF('O3'!A:A,A82)&gt;0,COUNTIF('PM10'!A:A,A82)&gt;0,COUNTIF('SO2'!A:A,A82)&gt;0,COUNTIF(Kendaraan!A:A,A82)&gt;0)</f>
        <v>1</v>
      </c>
    </row>
    <row r="83" spans="1:9" x14ac:dyDescent="0.45">
      <c r="A83" s="4">
        <v>45466</v>
      </c>
      <c r="B83" t="s">
        <v>1149</v>
      </c>
      <c r="C83" t="s">
        <v>1161</v>
      </c>
      <c r="D83" t="s">
        <v>3771</v>
      </c>
      <c r="E83" t="s">
        <v>3772</v>
      </c>
      <c r="F83" t="s">
        <v>3057</v>
      </c>
      <c r="G83" t="s">
        <v>3689</v>
      </c>
      <c r="H83">
        <v>24</v>
      </c>
      <c r="I83" t="b">
        <f>AND(COUNTIF(CO!A:A,A83)&gt;0,COUNTIF('NO2'!A:A,A83)&gt;0,COUNTIF('O3'!A:A,A83)&gt;0,COUNTIF('PM10'!A:A,A83)&gt;0,COUNTIF('SO2'!A:A,A83)&gt;0,COUNTIF(Kendaraan!A:A,A83)&gt;0)</f>
        <v>1</v>
      </c>
    </row>
    <row r="84" spans="1:9" x14ac:dyDescent="0.45">
      <c r="A84" s="4">
        <v>45467</v>
      </c>
      <c r="B84" t="s">
        <v>1508</v>
      </c>
      <c r="C84" t="s">
        <v>1219</v>
      </c>
      <c r="D84" t="s">
        <v>3210</v>
      </c>
      <c r="E84" t="s">
        <v>1931</v>
      </c>
      <c r="F84" t="s">
        <v>3344</v>
      </c>
      <c r="G84" t="s">
        <v>19</v>
      </c>
      <c r="H84">
        <v>24</v>
      </c>
      <c r="I84" t="b">
        <f>AND(COUNTIF(CO!A:A,A84)&gt;0,COUNTIF('NO2'!A:A,A84)&gt;0,COUNTIF('O3'!A:A,A84)&gt;0,COUNTIF('PM10'!A:A,A84)&gt;0,COUNTIF('SO2'!A:A,A84)&gt;0,COUNTIF(Kendaraan!A:A,A84)&gt;0)</f>
        <v>1</v>
      </c>
    </row>
    <row r="85" spans="1:9" x14ac:dyDescent="0.45">
      <c r="A85" s="4">
        <v>45468</v>
      </c>
      <c r="B85" t="s">
        <v>1205</v>
      </c>
      <c r="C85" t="s">
        <v>446</v>
      </c>
      <c r="D85" t="s">
        <v>1254</v>
      </c>
      <c r="E85" t="s">
        <v>1201</v>
      </c>
      <c r="F85" t="s">
        <v>2594</v>
      </c>
      <c r="G85" t="s">
        <v>181</v>
      </c>
      <c r="H85">
        <v>24</v>
      </c>
      <c r="I85" t="b">
        <f>AND(COUNTIF(CO!A:A,A85)&gt;0,COUNTIF('NO2'!A:A,A85)&gt;0,COUNTIF('O3'!A:A,A85)&gt;0,COUNTIF('PM10'!A:A,A85)&gt;0,COUNTIF('SO2'!A:A,A85)&gt;0,COUNTIF(Kendaraan!A:A,A85)&gt;0)</f>
        <v>1</v>
      </c>
    </row>
    <row r="86" spans="1:9" x14ac:dyDescent="0.45">
      <c r="A86" s="4">
        <v>45469</v>
      </c>
      <c r="B86" t="s">
        <v>1213</v>
      </c>
      <c r="C86" t="s">
        <v>554</v>
      </c>
      <c r="D86" t="s">
        <v>3098</v>
      </c>
      <c r="E86" t="s">
        <v>1436</v>
      </c>
      <c r="F86" t="s">
        <v>555</v>
      </c>
      <c r="G86" s="1">
        <v>2187</v>
      </c>
      <c r="H86">
        <v>24</v>
      </c>
      <c r="I86" t="b">
        <f>AND(COUNTIF(CO!A:A,A86)&gt;0,COUNTIF('NO2'!A:A,A86)&gt;0,COUNTIF('O3'!A:A,A86)&gt;0,COUNTIF('PM10'!A:A,A86)&gt;0,COUNTIF('SO2'!A:A,A86)&gt;0,COUNTIF(Kendaraan!A:A,A86)&gt;0)</f>
        <v>1</v>
      </c>
    </row>
    <row r="87" spans="1:9" x14ac:dyDescent="0.45">
      <c r="A87" s="4">
        <v>45470</v>
      </c>
      <c r="B87" t="s">
        <v>1226</v>
      </c>
      <c r="C87" t="s">
        <v>366</v>
      </c>
      <c r="D87" t="s">
        <v>439</v>
      </c>
      <c r="E87" t="s">
        <v>1218</v>
      </c>
      <c r="F87" t="s">
        <v>900</v>
      </c>
      <c r="G87" s="1">
        <v>2017</v>
      </c>
      <c r="H87">
        <v>23</v>
      </c>
      <c r="I87" t="b">
        <f>AND(COUNTIF(CO!A:A,A87)&gt;0,COUNTIF('NO2'!A:A,A87)&gt;0,COUNTIF('O3'!A:A,A87)&gt;0,COUNTIF('PM10'!A:A,A87)&gt;0,COUNTIF('SO2'!A:A,A87)&gt;0,COUNTIF(Kendaraan!A:A,A87)&gt;0)</f>
        <v>1</v>
      </c>
    </row>
    <row r="88" spans="1:9" x14ac:dyDescent="0.45">
      <c r="A88" s="4">
        <v>45471</v>
      </c>
      <c r="B88" t="s">
        <v>2143</v>
      </c>
      <c r="C88" t="s">
        <v>1530</v>
      </c>
      <c r="D88" t="s">
        <v>643</v>
      </c>
      <c r="E88">
        <v>23</v>
      </c>
      <c r="F88" t="s">
        <v>468</v>
      </c>
      <c r="G88" t="s">
        <v>3773</v>
      </c>
      <c r="H88">
        <v>23</v>
      </c>
      <c r="I88" t="b">
        <f>AND(COUNTIF(CO!A:A,A88)&gt;0,COUNTIF('NO2'!A:A,A88)&gt;0,COUNTIF('O3'!A:A,A88)&gt;0,COUNTIF('PM10'!A:A,A88)&gt;0,COUNTIF('SO2'!A:A,A88)&gt;0,COUNTIF(Kendaraan!A:A,A88)&gt;0)</f>
        <v>1</v>
      </c>
    </row>
    <row r="89" spans="1:9" x14ac:dyDescent="0.45">
      <c r="A89" s="4">
        <v>45472</v>
      </c>
      <c r="B89" t="s">
        <v>892</v>
      </c>
      <c r="C89" t="s">
        <v>2816</v>
      </c>
      <c r="D89" t="s">
        <v>3368</v>
      </c>
      <c r="E89" t="s">
        <v>1991</v>
      </c>
      <c r="F89" t="s">
        <v>3713</v>
      </c>
      <c r="G89" s="1">
        <v>2704</v>
      </c>
      <c r="H89">
        <v>24</v>
      </c>
      <c r="I89" t="b">
        <f>AND(COUNTIF(CO!A:A,A89)&gt;0,COUNTIF('NO2'!A:A,A89)&gt;0,COUNTIF('O3'!A:A,A89)&gt;0,COUNTIF('PM10'!A:A,A89)&gt;0,COUNTIF('SO2'!A:A,A89)&gt;0,COUNTIF(Kendaraan!A:A,A89)&gt;0)</f>
        <v>1</v>
      </c>
    </row>
    <row r="90" spans="1:9" x14ac:dyDescent="0.45">
      <c r="A90" s="4">
        <v>45473</v>
      </c>
      <c r="B90" t="s">
        <v>1756</v>
      </c>
      <c r="C90" t="s">
        <v>1199</v>
      </c>
      <c r="D90" t="s">
        <v>1361</v>
      </c>
      <c r="E90" t="s">
        <v>690</v>
      </c>
      <c r="F90" t="s">
        <v>2376</v>
      </c>
      <c r="G90" s="1">
        <v>2344</v>
      </c>
      <c r="H90">
        <v>24</v>
      </c>
      <c r="I90" t="b">
        <f>AND(COUNTIF(CO!A:A,A90)&gt;0,COUNTIF('NO2'!A:A,A90)&gt;0,COUNTIF('O3'!A:A,A90)&gt;0,COUNTIF('PM10'!A:A,A90)&gt;0,COUNTIF('SO2'!A:A,A90)&gt;0,COUNTIF(Kendaraan!A:A,A90)&gt;0)</f>
        <v>1</v>
      </c>
    </row>
    <row r="91" spans="1:9" x14ac:dyDescent="0.45">
      <c r="A91" s="4">
        <v>45474</v>
      </c>
      <c r="B91" t="s">
        <v>1720</v>
      </c>
      <c r="C91" t="s">
        <v>1485</v>
      </c>
      <c r="D91" t="s">
        <v>1102</v>
      </c>
      <c r="E91" t="s">
        <v>2727</v>
      </c>
      <c r="F91" t="s">
        <v>1448</v>
      </c>
      <c r="G91" s="1">
        <v>2574</v>
      </c>
      <c r="H91">
        <v>24</v>
      </c>
      <c r="I91" t="b">
        <f>AND(COUNTIF(CO!A:A,A91)&gt;0,COUNTIF('NO2'!A:A,A91)&gt;0,COUNTIF('O3'!A:A,A91)&gt;0,COUNTIF('PM10'!A:A,A91)&gt;0,COUNTIF('SO2'!A:A,A91)&gt;0,COUNTIF(Kendaraan!A:A,A91)&gt;0)</f>
        <v>1</v>
      </c>
    </row>
    <row r="92" spans="1:9" x14ac:dyDescent="0.45">
      <c r="A92" s="4">
        <v>45475</v>
      </c>
      <c r="B92" t="s">
        <v>3201</v>
      </c>
      <c r="C92" t="s">
        <v>668</v>
      </c>
      <c r="D92" t="s">
        <v>3190</v>
      </c>
      <c r="E92" t="s">
        <v>913</v>
      </c>
      <c r="F92" t="s">
        <v>1992</v>
      </c>
      <c r="G92" s="1">
        <v>1325</v>
      </c>
      <c r="H92">
        <v>24</v>
      </c>
      <c r="I92" t="b">
        <f>AND(COUNTIF(CO!A:A,A92)&gt;0,COUNTIF('NO2'!A:A,A92)&gt;0,COUNTIF('O3'!A:A,A92)&gt;0,COUNTIF('PM10'!A:A,A92)&gt;0,COUNTIF('SO2'!A:A,A92)&gt;0,COUNTIF(Kendaraan!A:A,A92)&gt;0)</f>
        <v>1</v>
      </c>
    </row>
    <row r="93" spans="1:9" x14ac:dyDescent="0.45">
      <c r="A93" s="4">
        <v>45476</v>
      </c>
      <c r="B93" t="s">
        <v>2719</v>
      </c>
      <c r="C93" t="s">
        <v>1865</v>
      </c>
      <c r="D93" t="s">
        <v>1129</v>
      </c>
      <c r="E93" t="s">
        <v>2413</v>
      </c>
      <c r="F93" t="s">
        <v>1176</v>
      </c>
      <c r="G93" t="s">
        <v>3170</v>
      </c>
      <c r="H93">
        <v>23</v>
      </c>
      <c r="I93" t="b">
        <f>AND(COUNTIF(CO!A:A,A93)&gt;0,COUNTIF('NO2'!A:A,A93)&gt;0,COUNTIF('O3'!A:A,A93)&gt;0,COUNTIF('PM10'!A:A,A93)&gt;0,COUNTIF('SO2'!A:A,A93)&gt;0,COUNTIF(Kendaraan!A:A,A93)&gt;0)</f>
        <v>1</v>
      </c>
    </row>
    <row r="94" spans="1:9" x14ac:dyDescent="0.45">
      <c r="A94" s="4">
        <v>45477</v>
      </c>
      <c r="B94" t="s">
        <v>1343</v>
      </c>
      <c r="C94" t="s">
        <v>2406</v>
      </c>
      <c r="D94" t="s">
        <v>1857</v>
      </c>
      <c r="E94" t="s">
        <v>1845</v>
      </c>
      <c r="F94" t="s">
        <v>1125</v>
      </c>
      <c r="G94" t="s">
        <v>1886</v>
      </c>
      <c r="H94">
        <v>24</v>
      </c>
      <c r="I94" t="b">
        <f>AND(COUNTIF(CO!A:A,A94)&gt;0,COUNTIF('NO2'!A:A,A94)&gt;0,COUNTIF('O3'!A:A,A94)&gt;0,COUNTIF('PM10'!A:A,A94)&gt;0,COUNTIF('SO2'!A:A,A94)&gt;0,COUNTIF(Kendaraan!A:A,A94)&gt;0)</f>
        <v>1</v>
      </c>
    </row>
    <row r="95" spans="1:9" x14ac:dyDescent="0.45">
      <c r="A95" s="4">
        <v>45478</v>
      </c>
      <c r="B95" t="s">
        <v>1984</v>
      </c>
      <c r="C95" t="s">
        <v>2873</v>
      </c>
      <c r="D95" t="s">
        <v>1503</v>
      </c>
      <c r="E95" t="s">
        <v>3353</v>
      </c>
      <c r="F95" t="s">
        <v>3030</v>
      </c>
      <c r="G95" s="1">
        <v>4536</v>
      </c>
      <c r="H95">
        <v>24</v>
      </c>
      <c r="I95" t="b">
        <f>AND(COUNTIF(CO!A:A,A95)&gt;0,COUNTIF('NO2'!A:A,A95)&gt;0,COUNTIF('O3'!A:A,A95)&gt;0,COUNTIF('PM10'!A:A,A95)&gt;0,COUNTIF('SO2'!A:A,A95)&gt;0,COUNTIF(Kendaraan!A:A,A95)&gt;0)</f>
        <v>1</v>
      </c>
    </row>
    <row r="96" spans="1:9" x14ac:dyDescent="0.45">
      <c r="A96" s="4">
        <v>45479</v>
      </c>
      <c r="B96" t="s">
        <v>1866</v>
      </c>
      <c r="C96" t="s">
        <v>3774</v>
      </c>
      <c r="D96" t="s">
        <v>2862</v>
      </c>
      <c r="E96" t="s">
        <v>403</v>
      </c>
      <c r="F96" t="s">
        <v>3775</v>
      </c>
      <c r="G96" t="s">
        <v>3776</v>
      </c>
      <c r="H96">
        <v>24</v>
      </c>
      <c r="I96" t="b">
        <f>AND(COUNTIF(CO!A:A,A96)&gt;0,COUNTIF('NO2'!A:A,A96)&gt;0,COUNTIF('O3'!A:A,A96)&gt;0,COUNTIF('PM10'!A:A,A96)&gt;0,COUNTIF('SO2'!A:A,A96)&gt;0,COUNTIF(Kendaraan!A:A,A96)&gt;0)</f>
        <v>1</v>
      </c>
    </row>
    <row r="97" spans="1:9" x14ac:dyDescent="0.45">
      <c r="A97" s="4">
        <v>45480</v>
      </c>
      <c r="B97" t="s">
        <v>868</v>
      </c>
      <c r="C97" t="s">
        <v>2017</v>
      </c>
      <c r="D97" t="s">
        <v>643</v>
      </c>
      <c r="E97" t="s">
        <v>2949</v>
      </c>
      <c r="F97" t="s">
        <v>3495</v>
      </c>
      <c r="G97" s="1">
        <v>3542</v>
      </c>
      <c r="H97">
        <v>24</v>
      </c>
      <c r="I97" t="b">
        <f>AND(COUNTIF(CO!A:A,A97)&gt;0,COUNTIF('NO2'!A:A,A97)&gt;0,COUNTIF('O3'!A:A,A97)&gt;0,COUNTIF('PM10'!A:A,A97)&gt;0,COUNTIF('SO2'!A:A,A97)&gt;0,COUNTIF(Kendaraan!A:A,A97)&gt;0)</f>
        <v>1</v>
      </c>
    </row>
    <row r="98" spans="1:9" x14ac:dyDescent="0.45">
      <c r="A98" s="4">
        <v>45481</v>
      </c>
      <c r="B98" t="s">
        <v>595</v>
      </c>
      <c r="C98" t="s">
        <v>2882</v>
      </c>
      <c r="D98" t="s">
        <v>3777</v>
      </c>
      <c r="E98" t="s">
        <v>2322</v>
      </c>
      <c r="F98" t="s">
        <v>397</v>
      </c>
      <c r="G98" s="1">
        <v>2642</v>
      </c>
      <c r="H98">
        <v>24</v>
      </c>
      <c r="I98" t="b">
        <f>AND(COUNTIF(CO!A:A,A98)&gt;0,COUNTIF('NO2'!A:A,A98)&gt;0,COUNTIF('O3'!A:A,A98)&gt;0,COUNTIF('PM10'!A:A,A98)&gt;0,COUNTIF('SO2'!A:A,A98)&gt;0,COUNTIF(Kendaraan!A:A,A98)&gt;0)</f>
        <v>1</v>
      </c>
    </row>
    <row r="99" spans="1:9" x14ac:dyDescent="0.45">
      <c r="A99" s="4">
        <v>45482</v>
      </c>
      <c r="B99" t="s">
        <v>677</v>
      </c>
      <c r="C99" t="s">
        <v>2256</v>
      </c>
      <c r="D99" t="s">
        <v>2583</v>
      </c>
      <c r="E99" t="s">
        <v>1994</v>
      </c>
      <c r="F99" t="s">
        <v>2061</v>
      </c>
      <c r="G99" s="1">
        <v>4675</v>
      </c>
      <c r="H99">
        <v>24</v>
      </c>
      <c r="I99" t="b">
        <f>AND(COUNTIF(CO!A:A,A99)&gt;0,COUNTIF('NO2'!A:A,A99)&gt;0,COUNTIF('O3'!A:A,A99)&gt;0,COUNTIF('PM10'!A:A,A99)&gt;0,COUNTIF('SO2'!A:A,A99)&gt;0,COUNTIF(Kendaraan!A:A,A99)&gt;0)</f>
        <v>1</v>
      </c>
    </row>
    <row r="100" spans="1:9" x14ac:dyDescent="0.45">
      <c r="A100" s="4">
        <v>45483</v>
      </c>
      <c r="B100" t="s">
        <v>3778</v>
      </c>
      <c r="C100" t="s">
        <v>3328</v>
      </c>
      <c r="D100" t="s">
        <v>3779</v>
      </c>
      <c r="E100" t="s">
        <v>3780</v>
      </c>
      <c r="F100" t="s">
        <v>3781</v>
      </c>
      <c r="G100" s="1">
        <v>1824</v>
      </c>
      <c r="H100">
        <v>15</v>
      </c>
      <c r="I100" t="b">
        <f>AND(COUNTIF(CO!A:A,A100)&gt;0,COUNTIF('NO2'!A:A,A100)&gt;0,COUNTIF('O3'!A:A,A100)&gt;0,COUNTIF('PM10'!A:A,A100)&gt;0,COUNTIF('SO2'!A:A,A100)&gt;0,COUNTIF(Kendaraan!A:A,A100)&gt;0)</f>
        <v>1</v>
      </c>
    </row>
    <row r="101" spans="1:9" x14ac:dyDescent="0.45">
      <c r="A101" s="4">
        <v>45484</v>
      </c>
      <c r="B101" t="s">
        <v>1099</v>
      </c>
      <c r="C101" t="s">
        <v>1099</v>
      </c>
      <c r="D101" t="s">
        <v>1099</v>
      </c>
      <c r="E101" t="s">
        <v>1099</v>
      </c>
      <c r="F101" t="s">
        <v>1099</v>
      </c>
      <c r="G101">
        <v>0</v>
      </c>
      <c r="H101">
        <v>1</v>
      </c>
      <c r="I101" t="b">
        <f>AND(COUNTIF(CO!A:A,A101)&gt;0,COUNTIF('NO2'!A:A,A101)&gt;0,COUNTIF('O3'!A:A,A101)&gt;0,COUNTIF('PM10'!A:A,A101)&gt;0,COUNTIF('SO2'!A:A,A101)&gt;0,COUNTIF(Kendaraan!A:A,A101)&gt;0)</f>
        <v>1</v>
      </c>
    </row>
    <row r="102" spans="1:9" x14ac:dyDescent="0.45">
      <c r="A102" s="4">
        <v>45485</v>
      </c>
      <c r="B102" t="s">
        <v>1944</v>
      </c>
      <c r="C102" t="s">
        <v>3519</v>
      </c>
      <c r="D102" t="s">
        <v>3497</v>
      </c>
      <c r="E102" t="s">
        <v>1976</v>
      </c>
      <c r="F102" t="s">
        <v>1228</v>
      </c>
      <c r="G102" s="1">
        <v>1085</v>
      </c>
      <c r="H102">
        <v>24</v>
      </c>
      <c r="I102" t="b">
        <f>AND(COUNTIF(CO!A:A,A102)&gt;0,COUNTIF('NO2'!A:A,A102)&gt;0,COUNTIF('O3'!A:A,A102)&gt;0,COUNTIF('PM10'!A:A,A102)&gt;0,COUNTIF('SO2'!A:A,A102)&gt;0,COUNTIF(Kendaraan!A:A,A102)&gt;0)</f>
        <v>1</v>
      </c>
    </row>
    <row r="103" spans="1:9" x14ac:dyDescent="0.45">
      <c r="A103" s="4">
        <v>45486</v>
      </c>
      <c r="B103" t="s">
        <v>1347</v>
      </c>
      <c r="C103" t="s">
        <v>1251</v>
      </c>
      <c r="D103" t="s">
        <v>1508</v>
      </c>
      <c r="E103" t="s">
        <v>2608</v>
      </c>
      <c r="F103" t="s">
        <v>1850</v>
      </c>
      <c r="G103" s="1">
        <v>2557</v>
      </c>
      <c r="H103">
        <v>24</v>
      </c>
      <c r="I103" t="b">
        <f>AND(COUNTIF(CO!A:A,A103)&gt;0,COUNTIF('NO2'!A:A,A103)&gt;0,COUNTIF('O3'!A:A,A103)&gt;0,COUNTIF('PM10'!A:A,A103)&gt;0,COUNTIF('SO2'!A:A,A103)&gt;0,COUNTIF(Kendaraan!A:A,A103)&gt;0)</f>
        <v>1</v>
      </c>
    </row>
    <row r="104" spans="1:9" x14ac:dyDescent="0.45">
      <c r="A104" s="4">
        <v>45487</v>
      </c>
      <c r="B104" t="s">
        <v>2713</v>
      </c>
      <c r="C104" t="s">
        <v>1429</v>
      </c>
      <c r="D104" t="s">
        <v>946</v>
      </c>
      <c r="E104" t="s">
        <v>2709</v>
      </c>
      <c r="F104" t="s">
        <v>3782</v>
      </c>
      <c r="G104" s="1">
        <v>1158</v>
      </c>
      <c r="H104">
        <v>24</v>
      </c>
      <c r="I104" t="b">
        <f>AND(COUNTIF(CO!A:A,A104)&gt;0,COUNTIF('NO2'!A:A,A104)&gt;0,COUNTIF('O3'!A:A,A104)&gt;0,COUNTIF('PM10'!A:A,A104)&gt;0,COUNTIF('SO2'!A:A,A104)&gt;0,COUNTIF(Kendaraan!A:A,A104)&gt;0)</f>
        <v>1</v>
      </c>
    </row>
    <row r="105" spans="1:9" x14ac:dyDescent="0.45">
      <c r="A105" s="4">
        <v>45488</v>
      </c>
      <c r="B105" t="s">
        <v>1889</v>
      </c>
      <c r="C105" t="s">
        <v>1129</v>
      </c>
      <c r="D105" t="s">
        <v>1089</v>
      </c>
      <c r="E105" t="s">
        <v>1318</v>
      </c>
      <c r="F105" t="s">
        <v>1109</v>
      </c>
      <c r="G105" t="s">
        <v>3238</v>
      </c>
      <c r="H105">
        <v>24</v>
      </c>
      <c r="I105" t="b">
        <f>AND(COUNTIF(CO!A:A,A105)&gt;0,COUNTIF('NO2'!A:A,A105)&gt;0,COUNTIF('O3'!A:A,A105)&gt;0,COUNTIF('PM10'!A:A,A105)&gt;0,COUNTIF('SO2'!A:A,A105)&gt;0,COUNTIF(Kendaraan!A:A,A105)&gt;0)</f>
        <v>1</v>
      </c>
    </row>
    <row r="106" spans="1:9" x14ac:dyDescent="0.45">
      <c r="A106" s="4">
        <v>45489</v>
      </c>
      <c r="B106" t="s">
        <v>1313</v>
      </c>
      <c r="C106" t="s">
        <v>671</v>
      </c>
      <c r="D106" t="s">
        <v>922</v>
      </c>
      <c r="E106" t="s">
        <v>2728</v>
      </c>
      <c r="F106" t="s">
        <v>2588</v>
      </c>
      <c r="G106" s="1">
        <v>3455</v>
      </c>
      <c r="H106">
        <v>24</v>
      </c>
      <c r="I106" t="b">
        <f>AND(COUNTIF(CO!A:A,A106)&gt;0,COUNTIF('NO2'!A:A,A106)&gt;0,COUNTIF('O3'!A:A,A106)&gt;0,COUNTIF('PM10'!A:A,A106)&gt;0,COUNTIF('SO2'!A:A,A106)&gt;0,COUNTIF(Kendaraan!A:A,A106)&gt;0)</f>
        <v>1</v>
      </c>
    </row>
    <row r="107" spans="1:9" x14ac:dyDescent="0.45">
      <c r="A107" s="4">
        <v>45490</v>
      </c>
      <c r="B107" t="s">
        <v>677</v>
      </c>
      <c r="C107" t="s">
        <v>2566</v>
      </c>
      <c r="D107" t="s">
        <v>1427</v>
      </c>
      <c r="E107" t="s">
        <v>2586</v>
      </c>
      <c r="F107" t="s">
        <v>545</v>
      </c>
      <c r="G107" t="s">
        <v>121</v>
      </c>
      <c r="H107">
        <v>24</v>
      </c>
      <c r="I107" t="b">
        <f>AND(COUNTIF(CO!A:A,A107)&gt;0,COUNTIF('NO2'!A:A,A107)&gt;0,COUNTIF('O3'!A:A,A107)&gt;0,COUNTIF('PM10'!A:A,A107)&gt;0,COUNTIF('SO2'!A:A,A107)&gt;0,COUNTIF(Kendaraan!A:A,A107)&gt;0)</f>
        <v>1</v>
      </c>
    </row>
    <row r="108" spans="1:9" x14ac:dyDescent="0.45">
      <c r="A108" s="4">
        <v>45491</v>
      </c>
      <c r="B108" t="s">
        <v>2823</v>
      </c>
      <c r="C108" t="s">
        <v>3660</v>
      </c>
      <c r="D108" t="s">
        <v>3783</v>
      </c>
      <c r="E108" t="s">
        <v>2024</v>
      </c>
      <c r="F108" t="s">
        <v>3784</v>
      </c>
      <c r="G108" t="s">
        <v>43</v>
      </c>
      <c r="H108">
        <v>24</v>
      </c>
      <c r="I108" t="b">
        <f>AND(COUNTIF(CO!A:A,A108)&gt;0,COUNTIF('NO2'!A:A,A108)&gt;0,COUNTIF('O3'!A:A,A108)&gt;0,COUNTIF('PM10'!A:A,A108)&gt;0,COUNTIF('SO2'!A:A,A108)&gt;0,COUNTIF(Kendaraan!A:A,A108)&gt;0)</f>
        <v>1</v>
      </c>
    </row>
    <row r="109" spans="1:9" x14ac:dyDescent="0.45">
      <c r="A109" s="4">
        <v>45492</v>
      </c>
      <c r="B109" t="s">
        <v>2580</v>
      </c>
      <c r="C109" t="s">
        <v>2061</v>
      </c>
      <c r="D109" t="s">
        <v>2816</v>
      </c>
      <c r="E109" t="s">
        <v>484</v>
      </c>
      <c r="F109" t="s">
        <v>3785</v>
      </c>
      <c r="G109" s="1">
        <v>2939</v>
      </c>
      <c r="H109">
        <v>24</v>
      </c>
      <c r="I109" t="b">
        <f>AND(COUNTIF(CO!A:A,A109)&gt;0,COUNTIF('NO2'!A:A,A109)&gt;0,COUNTIF('O3'!A:A,A109)&gt;0,COUNTIF('PM10'!A:A,A109)&gt;0,COUNTIF('SO2'!A:A,A109)&gt;0,COUNTIF(Kendaraan!A:A,A109)&gt;0)</f>
        <v>1</v>
      </c>
    </row>
    <row r="110" spans="1:9" x14ac:dyDescent="0.45">
      <c r="A110" s="4">
        <v>45493</v>
      </c>
      <c r="B110" t="s">
        <v>1626</v>
      </c>
      <c r="C110" t="s">
        <v>3303</v>
      </c>
      <c r="D110" t="s">
        <v>2823</v>
      </c>
      <c r="E110" t="s">
        <v>3522</v>
      </c>
      <c r="F110" t="s">
        <v>3786</v>
      </c>
      <c r="G110" s="1">
        <v>5197</v>
      </c>
      <c r="H110">
        <v>24</v>
      </c>
      <c r="I110" t="b">
        <f>AND(COUNTIF(CO!A:A,A110)&gt;0,COUNTIF('NO2'!A:A,A110)&gt;0,COUNTIF('O3'!A:A,A110)&gt;0,COUNTIF('PM10'!A:A,A110)&gt;0,COUNTIF('SO2'!A:A,A110)&gt;0,COUNTIF(Kendaraan!A:A,A110)&gt;0)</f>
        <v>1</v>
      </c>
    </row>
    <row r="111" spans="1:9" x14ac:dyDescent="0.45">
      <c r="A111" s="4">
        <v>45494</v>
      </c>
      <c r="B111" t="s">
        <v>1128</v>
      </c>
      <c r="C111" t="s">
        <v>3371</v>
      </c>
      <c r="D111" t="s">
        <v>3035</v>
      </c>
      <c r="E111" t="s">
        <v>1164</v>
      </c>
      <c r="F111" t="s">
        <v>1067</v>
      </c>
      <c r="G111" t="s">
        <v>2008</v>
      </c>
      <c r="H111">
        <v>23</v>
      </c>
      <c r="I111" t="b">
        <f>AND(COUNTIF(CO!A:A,A111)&gt;0,COUNTIF('NO2'!A:A,A111)&gt;0,COUNTIF('O3'!A:A,A111)&gt;0,COUNTIF('PM10'!A:A,A111)&gt;0,COUNTIF('SO2'!A:A,A111)&gt;0,COUNTIF(Kendaraan!A:A,A111)&gt;0)</f>
        <v>1</v>
      </c>
    </row>
    <row r="112" spans="1:9" x14ac:dyDescent="0.45">
      <c r="A112" s="4">
        <v>45495</v>
      </c>
      <c r="B112" t="s">
        <v>1141</v>
      </c>
      <c r="C112" t="s">
        <v>868</v>
      </c>
      <c r="D112" t="s">
        <v>1194</v>
      </c>
      <c r="E112" t="s">
        <v>1071</v>
      </c>
      <c r="F112" t="s">
        <v>1469</v>
      </c>
      <c r="G112" s="1">
        <v>1899</v>
      </c>
      <c r="H112">
        <v>24</v>
      </c>
      <c r="I112" t="b">
        <f>AND(COUNTIF(CO!A:A,A112)&gt;0,COUNTIF('NO2'!A:A,A112)&gt;0,COUNTIF('O3'!A:A,A112)&gt;0,COUNTIF('PM10'!A:A,A112)&gt;0,COUNTIF('SO2'!A:A,A112)&gt;0,COUNTIF(Kendaraan!A:A,A112)&gt;0)</f>
        <v>1</v>
      </c>
    </row>
    <row r="113" spans="1:9" x14ac:dyDescent="0.45">
      <c r="A113" s="4">
        <v>45496</v>
      </c>
      <c r="B113" t="s">
        <v>1865</v>
      </c>
      <c r="C113" t="s">
        <v>1240</v>
      </c>
      <c r="D113" t="s">
        <v>1198</v>
      </c>
      <c r="E113" t="s">
        <v>1205</v>
      </c>
      <c r="F113" t="s">
        <v>1581</v>
      </c>
      <c r="G113" t="s">
        <v>3664</v>
      </c>
      <c r="H113">
        <v>24</v>
      </c>
      <c r="I113" t="b">
        <f>AND(COUNTIF(CO!A:A,A113)&gt;0,COUNTIF('NO2'!A:A,A113)&gt;0,COUNTIF('O3'!A:A,A113)&gt;0,COUNTIF('PM10'!A:A,A113)&gt;0,COUNTIF('SO2'!A:A,A113)&gt;0,COUNTIF(Kendaraan!A:A,A113)&gt;0)</f>
        <v>1</v>
      </c>
    </row>
    <row r="114" spans="1:9" x14ac:dyDescent="0.45">
      <c r="A114" s="4">
        <v>45497</v>
      </c>
      <c r="B114" t="s">
        <v>1111</v>
      </c>
      <c r="C114" t="s">
        <v>1999</v>
      </c>
      <c r="D114" t="s">
        <v>1632</v>
      </c>
      <c r="E114" t="s">
        <v>1096</v>
      </c>
      <c r="F114" t="s">
        <v>1651</v>
      </c>
      <c r="G114" t="s">
        <v>359</v>
      </c>
      <c r="H114">
        <v>24</v>
      </c>
      <c r="I114" t="b">
        <f>AND(COUNTIF(CO!A:A,A114)&gt;0,COUNTIF('NO2'!A:A,A114)&gt;0,COUNTIF('O3'!A:A,A114)&gt;0,COUNTIF('PM10'!A:A,A114)&gt;0,COUNTIF('SO2'!A:A,A114)&gt;0,COUNTIF(Kendaraan!A:A,A114)&gt;0)</f>
        <v>1</v>
      </c>
    </row>
    <row r="115" spans="1:9" x14ac:dyDescent="0.45">
      <c r="A115" s="4">
        <v>45498</v>
      </c>
      <c r="B115" t="s">
        <v>1149</v>
      </c>
      <c r="C115" t="s">
        <v>1041</v>
      </c>
      <c r="D115" t="s">
        <v>3787</v>
      </c>
      <c r="E115" t="s">
        <v>1144</v>
      </c>
      <c r="F115" t="s">
        <v>3463</v>
      </c>
      <c r="G115" t="s">
        <v>52</v>
      </c>
      <c r="H115">
        <v>24</v>
      </c>
      <c r="I115" t="b">
        <f>AND(COUNTIF(CO!A:A,A115)&gt;0,COUNTIF('NO2'!A:A,A115)&gt;0,COUNTIF('O3'!A:A,A115)&gt;0,COUNTIF('PM10'!A:A,A115)&gt;0,COUNTIF('SO2'!A:A,A115)&gt;0,COUNTIF(Kendaraan!A:A,A115)&gt;0)</f>
        <v>1</v>
      </c>
    </row>
    <row r="116" spans="1:9" x14ac:dyDescent="0.45">
      <c r="A116" s="4">
        <v>45499</v>
      </c>
      <c r="B116" t="s">
        <v>3645</v>
      </c>
      <c r="C116" t="s">
        <v>591</v>
      </c>
      <c r="D116" t="s">
        <v>1238</v>
      </c>
      <c r="E116" t="s">
        <v>889</v>
      </c>
      <c r="F116" t="s">
        <v>1996</v>
      </c>
      <c r="G116" s="1">
        <v>1903</v>
      </c>
      <c r="H116">
        <v>24</v>
      </c>
      <c r="I116" t="b">
        <f>AND(COUNTIF(CO!A:A,A116)&gt;0,COUNTIF('NO2'!A:A,A116)&gt;0,COUNTIF('O3'!A:A,A116)&gt;0,COUNTIF('PM10'!A:A,A116)&gt;0,COUNTIF('SO2'!A:A,A116)&gt;0,COUNTIF(Kendaraan!A:A,A116)&gt;0)</f>
        <v>1</v>
      </c>
    </row>
    <row r="117" spans="1:9" x14ac:dyDescent="0.45">
      <c r="A117" s="4">
        <v>45500</v>
      </c>
      <c r="B117" t="s">
        <v>897</v>
      </c>
      <c r="C117" t="s">
        <v>3667</v>
      </c>
      <c r="D117" t="s">
        <v>502</v>
      </c>
      <c r="E117" t="s">
        <v>3693</v>
      </c>
      <c r="F117" t="s">
        <v>3788</v>
      </c>
      <c r="G117" s="1">
        <v>1178</v>
      </c>
      <c r="H117">
        <v>24</v>
      </c>
      <c r="I117" t="b">
        <f>AND(COUNTIF(CO!A:A,A117)&gt;0,COUNTIF('NO2'!A:A,A117)&gt;0,COUNTIF('O3'!A:A,A117)&gt;0,COUNTIF('PM10'!A:A,A117)&gt;0,COUNTIF('SO2'!A:A,A117)&gt;0,COUNTIF(Kendaraan!A:A,A117)&gt;0)</f>
        <v>1</v>
      </c>
    </row>
    <row r="118" spans="1:9" x14ac:dyDescent="0.45">
      <c r="A118" s="4">
        <v>45501</v>
      </c>
      <c r="B118" t="s">
        <v>616</v>
      </c>
      <c r="C118" t="s">
        <v>1866</v>
      </c>
      <c r="D118" t="s">
        <v>867</v>
      </c>
      <c r="E118" t="s">
        <v>1687</v>
      </c>
      <c r="F118" t="s">
        <v>3789</v>
      </c>
      <c r="G118" t="s">
        <v>430</v>
      </c>
      <c r="H118">
        <v>24</v>
      </c>
      <c r="I118" t="b">
        <f>AND(COUNTIF(CO!A:A,A118)&gt;0,COUNTIF('NO2'!A:A,A118)&gt;0,COUNTIF('O3'!A:A,A118)&gt;0,COUNTIF('PM10'!A:A,A118)&gt;0,COUNTIF('SO2'!A:A,A118)&gt;0,COUNTIF(Kendaraan!A:A,A118)&gt;0)</f>
        <v>1</v>
      </c>
    </row>
    <row r="119" spans="1:9" x14ac:dyDescent="0.45">
      <c r="A119" s="4">
        <v>45502</v>
      </c>
      <c r="B119" t="s">
        <v>3112</v>
      </c>
      <c r="C119" t="s">
        <v>1211</v>
      </c>
      <c r="D119" t="s">
        <v>932</v>
      </c>
      <c r="E119" t="s">
        <v>1101</v>
      </c>
      <c r="F119" t="s">
        <v>1932</v>
      </c>
      <c r="G119" t="s">
        <v>30</v>
      </c>
      <c r="H119">
        <v>24</v>
      </c>
      <c r="I119" t="b">
        <f>AND(COUNTIF(CO!A:A,A119)&gt;0,COUNTIF('NO2'!A:A,A119)&gt;0,COUNTIF('O3'!A:A,A119)&gt;0,COUNTIF('PM10'!A:A,A119)&gt;0,COUNTIF('SO2'!A:A,A119)&gt;0,COUNTIF(Kendaraan!A:A,A119)&gt;0)</f>
        <v>1</v>
      </c>
    </row>
    <row r="120" spans="1:9" x14ac:dyDescent="0.45">
      <c r="A120" s="4">
        <v>45503</v>
      </c>
      <c r="B120" t="s">
        <v>2760</v>
      </c>
      <c r="C120" t="s">
        <v>3440</v>
      </c>
      <c r="D120" t="s">
        <v>3469</v>
      </c>
      <c r="E120" t="s">
        <v>2602</v>
      </c>
      <c r="F120" t="s">
        <v>2990</v>
      </c>
      <c r="G120" t="s">
        <v>3790</v>
      </c>
      <c r="H120">
        <v>24</v>
      </c>
      <c r="I120" t="b">
        <f>AND(COUNTIF(CO!A:A,A120)&gt;0,COUNTIF('NO2'!A:A,A120)&gt;0,COUNTIF('O3'!A:A,A120)&gt;0,COUNTIF('PM10'!A:A,A120)&gt;0,COUNTIF('SO2'!A:A,A120)&gt;0,COUNTIF(Kendaraan!A:A,A120)&gt;0)</f>
        <v>1</v>
      </c>
    </row>
    <row r="121" spans="1:9" x14ac:dyDescent="0.45">
      <c r="A121" s="4">
        <v>45504</v>
      </c>
      <c r="B121" t="s">
        <v>1148</v>
      </c>
      <c r="C121" t="s">
        <v>1199</v>
      </c>
      <c r="D121" t="s">
        <v>2004</v>
      </c>
      <c r="E121" t="s">
        <v>2059</v>
      </c>
      <c r="F121" t="s">
        <v>1467</v>
      </c>
      <c r="G121" s="1">
        <v>1176</v>
      </c>
      <c r="H121">
        <v>24</v>
      </c>
      <c r="I121" t="b">
        <f>AND(COUNTIF(CO!A:A,A121)&gt;0,COUNTIF('NO2'!A:A,A121)&gt;0,COUNTIF('O3'!A:A,A121)&gt;0,COUNTIF('PM10'!A:A,A121)&gt;0,COUNTIF('SO2'!A:A,A121)&gt;0,COUNTIF(Kendaraan!A:A,A121)&gt;0)</f>
        <v>1</v>
      </c>
    </row>
    <row r="122" spans="1:9" x14ac:dyDescent="0.45">
      <c r="A122" s="4">
        <v>45505</v>
      </c>
      <c r="B122" t="s">
        <v>1429</v>
      </c>
      <c r="C122" t="s">
        <v>3463</v>
      </c>
      <c r="D122" t="s">
        <v>1116</v>
      </c>
      <c r="E122" t="s">
        <v>1170</v>
      </c>
      <c r="F122" t="s">
        <v>922</v>
      </c>
      <c r="G122" s="1">
        <v>1463</v>
      </c>
      <c r="H122">
        <v>24</v>
      </c>
      <c r="I122" t="b">
        <f>AND(COUNTIF(CO!A:A,A122)&gt;0,COUNTIF('NO2'!A:A,A122)&gt;0,COUNTIF('O3'!A:A,A122)&gt;0,COUNTIF('PM10'!A:A,A122)&gt;0,COUNTIF('SO2'!A:A,A122)&gt;0,COUNTIF(Kendaraan!A:A,A122)&gt;0)</f>
        <v>1</v>
      </c>
    </row>
    <row r="123" spans="1:9" x14ac:dyDescent="0.45">
      <c r="A123" s="4">
        <v>45506</v>
      </c>
      <c r="B123" t="s">
        <v>2760</v>
      </c>
      <c r="C123" t="s">
        <v>1466</v>
      </c>
      <c r="D123" t="s">
        <v>3791</v>
      </c>
      <c r="E123" t="s">
        <v>1107</v>
      </c>
      <c r="F123" t="s">
        <v>3792</v>
      </c>
      <c r="G123" t="s">
        <v>763</v>
      </c>
      <c r="H123">
        <v>24</v>
      </c>
      <c r="I123" t="b">
        <f>AND(COUNTIF(CO!A:A,A123)&gt;0,COUNTIF('NO2'!A:A,A123)&gt;0,COUNTIF('O3'!A:A,A123)&gt;0,COUNTIF('PM10'!A:A,A123)&gt;0,COUNTIF('SO2'!A:A,A123)&gt;0,COUNTIF(Kendaraan!A:A,A123)&gt;0)</f>
        <v>1</v>
      </c>
    </row>
    <row r="124" spans="1:9" x14ac:dyDescent="0.45">
      <c r="A124" s="4">
        <v>45507</v>
      </c>
      <c r="B124" t="s">
        <v>1742</v>
      </c>
      <c r="C124" t="s">
        <v>443</v>
      </c>
      <c r="D124" t="s">
        <v>1194</v>
      </c>
      <c r="E124" t="s">
        <v>3200</v>
      </c>
      <c r="F124" t="s">
        <v>1997</v>
      </c>
      <c r="G124" s="1">
        <v>1092</v>
      </c>
      <c r="H124">
        <v>24</v>
      </c>
      <c r="I124" t="b">
        <f>AND(COUNTIF(CO!A:A,A124)&gt;0,COUNTIF('NO2'!A:A,A124)&gt;0,COUNTIF('O3'!A:A,A124)&gt;0,COUNTIF('PM10'!A:A,A124)&gt;0,COUNTIF('SO2'!A:A,A124)&gt;0,COUNTIF(Kendaraan!A:A,A124)&gt;0)</f>
        <v>1</v>
      </c>
    </row>
    <row r="125" spans="1:9" x14ac:dyDescent="0.45">
      <c r="A125" s="4">
        <v>45508</v>
      </c>
      <c r="B125" t="s">
        <v>1335</v>
      </c>
      <c r="C125" t="s">
        <v>1206</v>
      </c>
      <c r="D125" t="s">
        <v>3469</v>
      </c>
      <c r="E125" t="s">
        <v>2778</v>
      </c>
      <c r="F125" t="s">
        <v>3515</v>
      </c>
      <c r="G125" s="1">
        <v>2231</v>
      </c>
      <c r="H125">
        <v>24</v>
      </c>
      <c r="I125" t="b">
        <f>AND(COUNTIF(CO!A:A,A125)&gt;0,COUNTIF('NO2'!A:A,A125)&gt;0,COUNTIF('O3'!A:A,A125)&gt;0,COUNTIF('PM10'!A:A,A125)&gt;0,COUNTIF('SO2'!A:A,A125)&gt;0,COUNTIF(Kendaraan!A:A,A125)&gt;0)</f>
        <v>1</v>
      </c>
    </row>
    <row r="126" spans="1:9" x14ac:dyDescent="0.45">
      <c r="A126" s="4">
        <v>45509</v>
      </c>
      <c r="B126" t="s">
        <v>1779</v>
      </c>
      <c r="C126" t="s">
        <v>1100</v>
      </c>
      <c r="D126" t="s">
        <v>1777</v>
      </c>
      <c r="E126" t="s">
        <v>1494</v>
      </c>
      <c r="F126" t="s">
        <v>3211</v>
      </c>
      <c r="G126" s="1">
        <v>1598</v>
      </c>
      <c r="H126">
        <v>24</v>
      </c>
      <c r="I126" t="b">
        <f>AND(COUNTIF(CO!A:A,A126)&gt;0,COUNTIF('NO2'!A:A,A126)&gt;0,COUNTIF('O3'!A:A,A126)&gt;0,COUNTIF('PM10'!A:A,A126)&gt;0,COUNTIF('SO2'!A:A,A126)&gt;0,COUNTIF(Kendaraan!A:A,A126)&gt;0)</f>
        <v>1</v>
      </c>
    </row>
    <row r="127" spans="1:9" x14ac:dyDescent="0.45">
      <c r="A127" s="4">
        <v>45510</v>
      </c>
      <c r="B127" t="s">
        <v>1195</v>
      </c>
      <c r="C127" t="s">
        <v>424</v>
      </c>
      <c r="D127" t="s">
        <v>880</v>
      </c>
      <c r="E127" t="s">
        <v>1567</v>
      </c>
      <c r="F127" t="s">
        <v>869</v>
      </c>
      <c r="G127" s="1">
        <v>1403</v>
      </c>
      <c r="H127">
        <v>24</v>
      </c>
      <c r="I127" t="b">
        <f>AND(COUNTIF(CO!A:A,A127)&gt;0,COUNTIF('NO2'!A:A,A127)&gt;0,COUNTIF('O3'!A:A,A127)&gt;0,COUNTIF('PM10'!A:A,A127)&gt;0,COUNTIF('SO2'!A:A,A127)&gt;0,COUNTIF(Kendaraan!A:A,A127)&gt;0)</f>
        <v>1</v>
      </c>
    </row>
    <row r="128" spans="1:9" x14ac:dyDescent="0.45">
      <c r="A128" s="4">
        <v>45511</v>
      </c>
      <c r="B128" t="s">
        <v>1145</v>
      </c>
      <c r="C128" t="s">
        <v>3098</v>
      </c>
      <c r="D128" t="s">
        <v>1446</v>
      </c>
      <c r="E128" t="s">
        <v>1453</v>
      </c>
      <c r="F128" t="s">
        <v>1473</v>
      </c>
      <c r="G128" s="1">
        <v>1344</v>
      </c>
      <c r="H128">
        <v>24</v>
      </c>
      <c r="I128" t="b">
        <f>AND(COUNTIF(CO!A:A,A128)&gt;0,COUNTIF('NO2'!A:A,A128)&gt;0,COUNTIF('O3'!A:A,A128)&gt;0,COUNTIF('PM10'!A:A,A128)&gt;0,COUNTIF('SO2'!A:A,A128)&gt;0,COUNTIF(Kendaraan!A:A,A128)&gt;0)</f>
        <v>1</v>
      </c>
    </row>
    <row r="129" spans="1:9" x14ac:dyDescent="0.45">
      <c r="A129" s="4">
        <v>45512</v>
      </c>
      <c r="B129" t="s">
        <v>1586</v>
      </c>
      <c r="C129" t="s">
        <v>1259</v>
      </c>
      <c r="D129" t="s">
        <v>1239</v>
      </c>
      <c r="E129" t="s">
        <v>1219</v>
      </c>
      <c r="F129" t="s">
        <v>649</v>
      </c>
      <c r="G129" s="1">
        <v>1693</v>
      </c>
      <c r="H129">
        <v>24</v>
      </c>
      <c r="I129" t="b">
        <f>AND(COUNTIF(CO!A:A,A129)&gt;0,COUNTIF('NO2'!A:A,A129)&gt;0,COUNTIF('O3'!A:A,A129)&gt;0,COUNTIF('PM10'!A:A,A129)&gt;0,COUNTIF('SO2'!A:A,A129)&gt;0,COUNTIF(Kendaraan!A:A,A129)&gt;0)</f>
        <v>1</v>
      </c>
    </row>
    <row r="130" spans="1:9" x14ac:dyDescent="0.45">
      <c r="A130" s="4">
        <v>45513</v>
      </c>
      <c r="B130" t="s">
        <v>1151</v>
      </c>
      <c r="C130" t="s">
        <v>1491</v>
      </c>
      <c r="D130" t="s">
        <v>2762</v>
      </c>
      <c r="E130" t="s">
        <v>1502</v>
      </c>
      <c r="F130" t="s">
        <v>1208</v>
      </c>
      <c r="G130" t="s">
        <v>2805</v>
      </c>
      <c r="H130">
        <v>24</v>
      </c>
      <c r="I130" t="b">
        <f>AND(COUNTIF(CO!A:A,A130)&gt;0,COUNTIF('NO2'!A:A,A130)&gt;0,COUNTIF('O3'!A:A,A130)&gt;0,COUNTIF('PM10'!A:A,A130)&gt;0,COUNTIF('SO2'!A:A,A130)&gt;0,COUNTIF(Kendaraan!A:A,A130)&gt;0)</f>
        <v>1</v>
      </c>
    </row>
    <row r="131" spans="1:9" x14ac:dyDescent="0.45">
      <c r="A131" s="4">
        <v>45514</v>
      </c>
      <c r="B131" t="s">
        <v>1473</v>
      </c>
      <c r="C131" t="s">
        <v>660</v>
      </c>
      <c r="D131" t="s">
        <v>1951</v>
      </c>
      <c r="E131" t="s">
        <v>1974</v>
      </c>
      <c r="F131" t="s">
        <v>3496</v>
      </c>
      <c r="G131" s="1">
        <v>1503</v>
      </c>
      <c r="H131">
        <v>24</v>
      </c>
      <c r="I131" t="b">
        <f>AND(COUNTIF(CO!A:A,A131)&gt;0,COUNTIF('NO2'!A:A,A131)&gt;0,COUNTIF('O3'!A:A,A131)&gt;0,COUNTIF('PM10'!A:A,A131)&gt;0,COUNTIF('SO2'!A:A,A131)&gt;0,COUNTIF(Kendaraan!A:A,A131)&gt;0)</f>
        <v>1</v>
      </c>
    </row>
    <row r="132" spans="1:9" x14ac:dyDescent="0.45">
      <c r="A132" s="4">
        <v>45516</v>
      </c>
      <c r="B132" t="s">
        <v>3125</v>
      </c>
      <c r="C132">
        <v>26</v>
      </c>
      <c r="D132" t="s">
        <v>481</v>
      </c>
      <c r="E132" t="s">
        <v>3061</v>
      </c>
      <c r="F132">
        <v>26</v>
      </c>
      <c r="G132" t="s">
        <v>3793</v>
      </c>
      <c r="H132">
        <v>17</v>
      </c>
      <c r="I132" t="b">
        <f>AND(COUNTIF(CO!A:A,A132)&gt;0,COUNTIF('NO2'!A:A,A132)&gt;0,COUNTIF('O3'!A:A,A132)&gt;0,COUNTIF('PM10'!A:A,A132)&gt;0,COUNTIF('SO2'!A:A,A132)&gt;0,COUNTIF(Kendaraan!A:A,A132)&gt;0)</f>
        <v>1</v>
      </c>
    </row>
    <row r="133" spans="1:9" x14ac:dyDescent="0.45">
      <c r="A133" s="4">
        <v>45517</v>
      </c>
      <c r="B133" t="s">
        <v>3179</v>
      </c>
      <c r="C133" t="s">
        <v>415</v>
      </c>
      <c r="D133" t="s">
        <v>3046</v>
      </c>
      <c r="E133" t="s">
        <v>605</v>
      </c>
      <c r="F133" t="s">
        <v>823</v>
      </c>
      <c r="G133" t="s">
        <v>77</v>
      </c>
      <c r="H133">
        <v>5</v>
      </c>
      <c r="I133" t="b">
        <f>AND(COUNTIF(CO!A:A,A133)&gt;0,COUNTIF('NO2'!A:A,A133)&gt;0,COUNTIF('O3'!A:A,A133)&gt;0,COUNTIF('PM10'!A:A,A133)&gt;0,COUNTIF('SO2'!A:A,A133)&gt;0,COUNTIF(Kendaraan!A:A,A133)&gt;0)</f>
        <v>1</v>
      </c>
    </row>
    <row r="134" spans="1:9" x14ac:dyDescent="0.45">
      <c r="A134" s="4">
        <v>45518</v>
      </c>
      <c r="B134" t="s">
        <v>1219</v>
      </c>
      <c r="C134" t="s">
        <v>3155</v>
      </c>
      <c r="D134" t="s">
        <v>498</v>
      </c>
      <c r="E134" t="s">
        <v>3120</v>
      </c>
      <c r="F134" t="s">
        <v>3122</v>
      </c>
      <c r="G134" s="1">
        <v>1287</v>
      </c>
      <c r="H134">
        <v>24</v>
      </c>
      <c r="I134" t="b">
        <f>AND(COUNTIF(CO!A:A,A134)&gt;0,COUNTIF('NO2'!A:A,A134)&gt;0,COUNTIF('O3'!A:A,A134)&gt;0,COUNTIF('PM10'!A:A,A134)&gt;0,COUNTIF('SO2'!A:A,A134)&gt;0,COUNTIF(Kendaraan!A:A,A134)&gt;0)</f>
        <v>1</v>
      </c>
    </row>
    <row r="135" spans="1:9" x14ac:dyDescent="0.45">
      <c r="A135" s="4">
        <v>45519</v>
      </c>
      <c r="B135" t="s">
        <v>1083</v>
      </c>
      <c r="C135" t="s">
        <v>1205</v>
      </c>
      <c r="D135" t="s">
        <v>936</v>
      </c>
      <c r="E135" t="s">
        <v>1126</v>
      </c>
      <c r="F135" t="s">
        <v>1931</v>
      </c>
      <c r="G135" s="1">
        <v>1475</v>
      </c>
      <c r="H135">
        <v>15</v>
      </c>
      <c r="I135" t="b">
        <f>AND(COUNTIF(CO!A:A,A135)&gt;0,COUNTIF('NO2'!A:A,A135)&gt;0,COUNTIF('O3'!A:A,A135)&gt;0,COUNTIF('PM10'!A:A,A135)&gt;0,COUNTIF('SO2'!A:A,A135)&gt;0,COUNTIF(Kendaraan!A:A,A135)&gt;0)</f>
        <v>1</v>
      </c>
    </row>
    <row r="136" spans="1:9" x14ac:dyDescent="0.45">
      <c r="A136" s="4">
        <v>45521</v>
      </c>
      <c r="B136" t="s">
        <v>1193</v>
      </c>
      <c r="C136" t="s">
        <v>1627</v>
      </c>
      <c r="D136" t="s">
        <v>1962</v>
      </c>
      <c r="E136" t="s">
        <v>2719</v>
      </c>
      <c r="F136" t="s">
        <v>920</v>
      </c>
      <c r="G136" s="1">
        <v>1659</v>
      </c>
      <c r="H136">
        <v>24</v>
      </c>
      <c r="I136" t="b">
        <f>AND(COUNTIF(CO!A:A,A136)&gt;0,COUNTIF('NO2'!A:A,A136)&gt;0,COUNTIF('O3'!A:A,A136)&gt;0,COUNTIF('PM10'!A:A,A136)&gt;0,COUNTIF('SO2'!A:A,A136)&gt;0,COUNTIF(Kendaraan!A:A,A136)&gt;0)</f>
        <v>1</v>
      </c>
    </row>
    <row r="137" spans="1:9" x14ac:dyDescent="0.45">
      <c r="A137" s="4">
        <v>45522</v>
      </c>
      <c r="B137" t="s">
        <v>1964</v>
      </c>
      <c r="C137" t="s">
        <v>431</v>
      </c>
      <c r="D137" t="s">
        <v>2588</v>
      </c>
      <c r="E137" t="s">
        <v>3794</v>
      </c>
      <c r="F137" t="s">
        <v>1918</v>
      </c>
      <c r="G137" s="1">
        <v>2694</v>
      </c>
      <c r="H137">
        <v>24</v>
      </c>
      <c r="I137" t="b">
        <f>AND(COUNTIF(CO!A:A,A137)&gt;0,COUNTIF('NO2'!A:A,A137)&gt;0,COUNTIF('O3'!A:A,A137)&gt;0,COUNTIF('PM10'!A:A,A137)&gt;0,COUNTIF('SO2'!A:A,A137)&gt;0,COUNTIF(Kendaraan!A:A,A137)&gt;0)</f>
        <v>1</v>
      </c>
    </row>
    <row r="138" spans="1:9" x14ac:dyDescent="0.45">
      <c r="A138" s="4">
        <v>45523</v>
      </c>
      <c r="B138" t="s">
        <v>1360</v>
      </c>
      <c r="C138" t="s">
        <v>1984</v>
      </c>
      <c r="D138" t="s">
        <v>1718</v>
      </c>
      <c r="E138" t="s">
        <v>3795</v>
      </c>
      <c r="F138" t="s">
        <v>3204</v>
      </c>
      <c r="G138" t="s">
        <v>3680</v>
      </c>
      <c r="H138">
        <v>24</v>
      </c>
      <c r="I138" t="b">
        <f>AND(COUNTIF(CO!A:A,A138)&gt;0,COUNTIF('NO2'!A:A,A138)&gt;0,COUNTIF('O3'!A:A,A138)&gt;0,COUNTIF('PM10'!A:A,A138)&gt;0,COUNTIF('SO2'!A:A,A138)&gt;0,COUNTIF(Kendaraan!A:A,A138)&gt;0)</f>
        <v>1</v>
      </c>
    </row>
    <row r="139" spans="1:9" x14ac:dyDescent="0.45">
      <c r="A139" s="4">
        <v>45524</v>
      </c>
      <c r="B139" t="s">
        <v>1847</v>
      </c>
      <c r="C139" t="s">
        <v>1644</v>
      </c>
      <c r="D139" t="s">
        <v>1145</v>
      </c>
      <c r="E139" t="s">
        <v>2411</v>
      </c>
      <c r="F139" t="s">
        <v>2057</v>
      </c>
      <c r="G139" s="1">
        <v>1266</v>
      </c>
      <c r="H139">
        <v>22</v>
      </c>
      <c r="I139" t="b">
        <f>AND(COUNTIF(CO!A:A,A139)&gt;0,COUNTIF('NO2'!A:A,A139)&gt;0,COUNTIF('O3'!A:A,A139)&gt;0,COUNTIF('PM10'!A:A,A139)&gt;0,COUNTIF('SO2'!A:A,A139)&gt;0,COUNTIF(Kendaraan!A:A,A139)&gt;0)</f>
        <v>1</v>
      </c>
    </row>
    <row r="140" spans="1:9" x14ac:dyDescent="0.45">
      <c r="A140" s="4">
        <v>45525</v>
      </c>
      <c r="B140" t="s">
        <v>2058</v>
      </c>
      <c r="C140" t="s">
        <v>3182</v>
      </c>
      <c r="D140" t="s">
        <v>1212</v>
      </c>
      <c r="E140" t="s">
        <v>3796</v>
      </c>
      <c r="F140" t="s">
        <v>1258</v>
      </c>
      <c r="G140" s="1">
        <v>1795</v>
      </c>
      <c r="H140">
        <v>24</v>
      </c>
      <c r="I140" t="b">
        <f>AND(COUNTIF(CO!A:A,A140)&gt;0,COUNTIF('NO2'!A:A,A140)&gt;0,COUNTIF('O3'!A:A,A140)&gt;0,COUNTIF('PM10'!A:A,A140)&gt;0,COUNTIF('SO2'!A:A,A140)&gt;0,COUNTIF(Kendaraan!A:A,A140)&gt;0)</f>
        <v>1</v>
      </c>
    </row>
    <row r="141" spans="1:9" x14ac:dyDescent="0.45">
      <c r="A141" s="4">
        <v>45526</v>
      </c>
      <c r="B141" t="s">
        <v>3540</v>
      </c>
      <c r="C141" t="s">
        <v>2033</v>
      </c>
      <c r="D141" t="s">
        <v>581</v>
      </c>
      <c r="E141" t="s">
        <v>3484</v>
      </c>
      <c r="F141" t="s">
        <v>3797</v>
      </c>
      <c r="G141" s="1">
        <v>1257</v>
      </c>
      <c r="H141">
        <v>24</v>
      </c>
      <c r="I141" t="b">
        <f>AND(COUNTIF(CO!A:A,A141)&gt;0,COUNTIF('NO2'!A:A,A141)&gt;0,COUNTIF('O3'!A:A,A141)&gt;0,COUNTIF('PM10'!A:A,A141)&gt;0,COUNTIF('SO2'!A:A,A141)&gt;0,COUNTIF(Kendaraan!A:A,A141)&gt;0)</f>
        <v>1</v>
      </c>
    </row>
    <row r="142" spans="1:9" x14ac:dyDescent="0.45">
      <c r="A142" s="4">
        <v>45527</v>
      </c>
      <c r="B142" t="s">
        <v>1999</v>
      </c>
      <c r="C142" t="s">
        <v>681</v>
      </c>
      <c r="D142" t="s">
        <v>1411</v>
      </c>
      <c r="E142" t="s">
        <v>1208</v>
      </c>
      <c r="F142" t="s">
        <v>869</v>
      </c>
      <c r="G142" s="1">
        <v>1476</v>
      </c>
      <c r="H142">
        <v>24</v>
      </c>
      <c r="I142" t="b">
        <f>AND(COUNTIF(CO!A:A,A142)&gt;0,COUNTIF('NO2'!A:A,A142)&gt;0,COUNTIF('O3'!A:A,A142)&gt;0,COUNTIF('PM10'!A:A,A142)&gt;0,COUNTIF('SO2'!A:A,A142)&gt;0,COUNTIF(Kendaraan!A:A,A142)&gt;0)</f>
        <v>1</v>
      </c>
    </row>
    <row r="143" spans="1:9" x14ac:dyDescent="0.45">
      <c r="A143" s="4">
        <v>45528</v>
      </c>
      <c r="B143" t="s">
        <v>1293</v>
      </c>
      <c r="C143" t="s">
        <v>3463</v>
      </c>
      <c r="D143" t="s">
        <v>1377</v>
      </c>
      <c r="E143" t="s">
        <v>3217</v>
      </c>
      <c r="F143" t="s">
        <v>3209</v>
      </c>
      <c r="G143" s="1">
        <v>2971</v>
      </c>
      <c r="H143">
        <v>24</v>
      </c>
      <c r="I143" t="b">
        <f>AND(COUNTIF(CO!A:A,A143)&gt;0,COUNTIF('NO2'!A:A,A143)&gt;0,COUNTIF('O3'!A:A,A143)&gt;0,COUNTIF('PM10'!A:A,A143)&gt;0,COUNTIF('SO2'!A:A,A143)&gt;0,COUNTIF(Kendaraan!A:A,A143)&gt;0)</f>
        <v>1</v>
      </c>
    </row>
    <row r="144" spans="1:9" x14ac:dyDescent="0.45">
      <c r="A144" s="4">
        <v>45529</v>
      </c>
      <c r="B144" t="s">
        <v>1062</v>
      </c>
      <c r="C144" t="s">
        <v>1136</v>
      </c>
      <c r="D144" t="s">
        <v>1345</v>
      </c>
      <c r="E144" t="s">
        <v>1891</v>
      </c>
      <c r="F144" t="s">
        <v>1871</v>
      </c>
      <c r="G144" t="s">
        <v>1820</v>
      </c>
      <c r="H144">
        <v>24</v>
      </c>
      <c r="I144" t="b">
        <f>AND(COUNTIF(CO!A:A,A144)&gt;0,COUNTIF('NO2'!A:A,A144)&gt;0,COUNTIF('O3'!A:A,A144)&gt;0,COUNTIF('PM10'!A:A,A144)&gt;0,COUNTIF('SO2'!A:A,A144)&gt;0,COUNTIF(Kendaraan!A:A,A144)&gt;0)</f>
        <v>1</v>
      </c>
    </row>
    <row r="145" spans="1:9" x14ac:dyDescent="0.45">
      <c r="A145" s="4">
        <v>45530</v>
      </c>
      <c r="B145" t="s">
        <v>2711</v>
      </c>
      <c r="C145">
        <v>16</v>
      </c>
      <c r="D145" t="s">
        <v>1326</v>
      </c>
      <c r="E145" t="s">
        <v>3089</v>
      </c>
      <c r="F145" t="s">
        <v>1842</v>
      </c>
      <c r="G145" s="1">
        <v>1364</v>
      </c>
      <c r="H145">
        <v>24</v>
      </c>
      <c r="I145" t="b">
        <f>AND(COUNTIF(CO!A:A,A145)&gt;0,COUNTIF('NO2'!A:A,A145)&gt;0,COUNTIF('O3'!A:A,A145)&gt;0,COUNTIF('PM10'!A:A,A145)&gt;0,COUNTIF('SO2'!A:A,A145)&gt;0,COUNTIF(Kendaraan!A:A,A145)&gt;0)</f>
        <v>1</v>
      </c>
    </row>
    <row r="146" spans="1:9" x14ac:dyDescent="0.45">
      <c r="A146" s="4">
        <v>45531</v>
      </c>
      <c r="B146" t="s">
        <v>731</v>
      </c>
      <c r="C146" t="s">
        <v>1724</v>
      </c>
      <c r="D146" t="s">
        <v>3206</v>
      </c>
      <c r="E146" t="s">
        <v>1061</v>
      </c>
      <c r="F146" t="s">
        <v>2709</v>
      </c>
      <c r="G146" t="s">
        <v>1012</v>
      </c>
      <c r="H146">
        <v>24</v>
      </c>
      <c r="I146" t="b">
        <f>AND(COUNTIF(CO!A:A,A146)&gt;0,COUNTIF('NO2'!A:A,A146)&gt;0,COUNTIF('O3'!A:A,A146)&gt;0,COUNTIF('PM10'!A:A,A146)&gt;0,COUNTIF('SO2'!A:A,A146)&gt;0,COUNTIF(Kendaraan!A:A,A146)&gt;0)</f>
        <v>1</v>
      </c>
    </row>
    <row r="147" spans="1:9" x14ac:dyDescent="0.45">
      <c r="A147" s="4">
        <v>45532</v>
      </c>
      <c r="B147" t="s">
        <v>3050</v>
      </c>
      <c r="C147" t="s">
        <v>1363</v>
      </c>
      <c r="D147" t="s">
        <v>1659</v>
      </c>
      <c r="E147" t="s">
        <v>3652</v>
      </c>
      <c r="F147" t="s">
        <v>1885</v>
      </c>
      <c r="G147" t="s">
        <v>2651</v>
      </c>
      <c r="H147">
        <v>24</v>
      </c>
      <c r="I147" t="b">
        <f>AND(COUNTIF(CO!A:A,A147)&gt;0,COUNTIF('NO2'!A:A,A147)&gt;0,COUNTIF('O3'!A:A,A147)&gt;0,COUNTIF('PM10'!A:A,A147)&gt;0,COUNTIF('SO2'!A:A,A147)&gt;0,COUNTIF(Kendaraan!A:A,A147)&gt;0)</f>
        <v>1</v>
      </c>
    </row>
    <row r="148" spans="1:9" x14ac:dyDescent="0.45">
      <c r="A148" s="4">
        <v>45533</v>
      </c>
      <c r="B148" t="s">
        <v>696</v>
      </c>
      <c r="C148" t="s">
        <v>1303</v>
      </c>
      <c r="D148" t="s">
        <v>1707</v>
      </c>
      <c r="E148" t="s">
        <v>3221</v>
      </c>
      <c r="F148" t="s">
        <v>1382</v>
      </c>
      <c r="G148" t="s">
        <v>3798</v>
      </c>
      <c r="H148">
        <v>24</v>
      </c>
      <c r="I148" t="b">
        <f>AND(COUNTIF(CO!A:A,A148)&gt;0,COUNTIF('NO2'!A:A,A148)&gt;0,COUNTIF('O3'!A:A,A148)&gt;0,COUNTIF('PM10'!A:A,A148)&gt;0,COUNTIF('SO2'!A:A,A148)&gt;0,COUNTIF(Kendaraan!A:A,A148)&gt;0)</f>
        <v>1</v>
      </c>
    </row>
    <row r="149" spans="1:9" x14ac:dyDescent="0.45">
      <c r="A149" s="4">
        <v>45534</v>
      </c>
      <c r="B149" t="s">
        <v>3351</v>
      </c>
      <c r="C149" t="s">
        <v>1073</v>
      </c>
      <c r="D149" t="s">
        <v>2696</v>
      </c>
      <c r="E149" t="s">
        <v>3799</v>
      </c>
      <c r="F149" t="s">
        <v>3795</v>
      </c>
      <c r="G149" s="1">
        <v>1002</v>
      </c>
      <c r="H149">
        <v>24</v>
      </c>
      <c r="I149" t="b">
        <f>AND(COUNTIF(CO!A:A,A149)&gt;0,COUNTIF('NO2'!A:A,A149)&gt;0,COUNTIF('O3'!A:A,A149)&gt;0,COUNTIF('PM10'!A:A,A149)&gt;0,COUNTIF('SO2'!A:A,A149)&gt;0,COUNTIF(Kendaraan!A:A,A149)&gt;0)</f>
        <v>1</v>
      </c>
    </row>
    <row r="150" spans="1:9" x14ac:dyDescent="0.45">
      <c r="A150" s="4">
        <v>45535</v>
      </c>
      <c r="B150" t="s">
        <v>3094</v>
      </c>
      <c r="C150">
        <v>18</v>
      </c>
      <c r="D150">
        <v>18</v>
      </c>
      <c r="E150" t="s">
        <v>1113</v>
      </c>
      <c r="F150">
        <v>18</v>
      </c>
      <c r="G150" t="s">
        <v>3622</v>
      </c>
      <c r="H150">
        <v>24</v>
      </c>
      <c r="I150" t="b">
        <f>AND(COUNTIF(CO!A:A,A150)&gt;0,COUNTIF('NO2'!A:A,A150)&gt;0,COUNTIF('O3'!A:A,A150)&gt;0,COUNTIF('PM10'!A:A,A150)&gt;0,COUNTIF('SO2'!A:A,A150)&gt;0,COUNTIF(Kendaraan!A:A,A150)&gt;0)</f>
        <v>1</v>
      </c>
    </row>
    <row r="151" spans="1:9" x14ac:dyDescent="0.45">
      <c r="A151" s="4">
        <v>45536</v>
      </c>
      <c r="B151">
        <v>18</v>
      </c>
      <c r="C151">
        <v>18</v>
      </c>
      <c r="D151">
        <v>18</v>
      </c>
      <c r="E151">
        <v>18</v>
      </c>
      <c r="F151">
        <v>18</v>
      </c>
      <c r="G151">
        <v>0</v>
      </c>
      <c r="H151">
        <v>24</v>
      </c>
      <c r="I151" t="b">
        <f>AND(COUNTIF(CO!A:A,A151)&gt;0,COUNTIF('NO2'!A:A,A151)&gt;0,COUNTIF('O3'!A:A,A151)&gt;0,COUNTIF('PM10'!A:A,A151)&gt;0,COUNTIF('SO2'!A:A,A151)&gt;0,COUNTIF(Kendaraan!A:A,A151)&gt;0)</f>
        <v>1</v>
      </c>
    </row>
    <row r="152" spans="1:9" x14ac:dyDescent="0.45">
      <c r="A152" s="4">
        <v>45537</v>
      </c>
      <c r="B152" t="s">
        <v>3800</v>
      </c>
      <c r="C152" t="s">
        <v>3258</v>
      </c>
      <c r="D152" t="s">
        <v>1632</v>
      </c>
      <c r="E152" t="s">
        <v>1784</v>
      </c>
      <c r="F152">
        <v>18</v>
      </c>
      <c r="G152" s="1">
        <v>1494</v>
      </c>
      <c r="H152">
        <v>24</v>
      </c>
      <c r="I152" t="b">
        <f>AND(COUNTIF(CO!A:A,A152)&gt;0,COUNTIF('NO2'!A:A,A152)&gt;0,COUNTIF('O3'!A:A,A152)&gt;0,COUNTIF('PM10'!A:A,A152)&gt;0,COUNTIF('SO2'!A:A,A152)&gt;0,COUNTIF(Kendaraan!A:A,A152)&gt;0)</f>
        <v>1</v>
      </c>
    </row>
    <row r="153" spans="1:9" x14ac:dyDescent="0.45">
      <c r="A153" s="4">
        <v>45538</v>
      </c>
      <c r="B153" t="s">
        <v>1383</v>
      </c>
      <c r="C153" t="s">
        <v>1496</v>
      </c>
      <c r="D153" t="s">
        <v>3087</v>
      </c>
      <c r="E153" t="s">
        <v>1638</v>
      </c>
      <c r="F153" t="s">
        <v>1379</v>
      </c>
      <c r="G153" t="s">
        <v>3218</v>
      </c>
      <c r="H153">
        <v>24</v>
      </c>
      <c r="I153" t="b">
        <f>AND(COUNTIF(CO!A:A,A153)&gt;0,COUNTIF('NO2'!A:A,A153)&gt;0,COUNTIF('O3'!A:A,A153)&gt;0,COUNTIF('PM10'!A:A,A153)&gt;0,COUNTIF('SO2'!A:A,A153)&gt;0,COUNTIF(Kendaraan!A:A,A153)&gt;0)</f>
        <v>1</v>
      </c>
    </row>
    <row r="154" spans="1:9" x14ac:dyDescent="0.45">
      <c r="A154" s="4">
        <v>45539</v>
      </c>
      <c r="B154" t="s">
        <v>2397</v>
      </c>
      <c r="C154" t="s">
        <v>1725</v>
      </c>
      <c r="D154" t="s">
        <v>1429</v>
      </c>
      <c r="E154" t="s">
        <v>3632</v>
      </c>
      <c r="F154" t="s">
        <v>2745</v>
      </c>
      <c r="G154" t="s">
        <v>2815</v>
      </c>
      <c r="H154">
        <v>24</v>
      </c>
      <c r="I154" t="b">
        <f>AND(COUNTIF(CO!A:A,A154)&gt;0,COUNTIF('NO2'!A:A,A154)&gt;0,COUNTIF('O3'!A:A,A154)&gt;0,COUNTIF('PM10'!A:A,A154)&gt;0,COUNTIF('SO2'!A:A,A154)&gt;0,COUNTIF(Kendaraan!A:A,A154)&gt;0)</f>
        <v>1</v>
      </c>
    </row>
    <row r="155" spans="1:9" x14ac:dyDescent="0.45">
      <c r="A155" s="4">
        <v>45540</v>
      </c>
      <c r="B155" t="s">
        <v>1717</v>
      </c>
      <c r="C155" t="s">
        <v>1120</v>
      </c>
      <c r="D155">
        <v>14</v>
      </c>
      <c r="E155" t="s">
        <v>1718</v>
      </c>
      <c r="F155" t="s">
        <v>1495</v>
      </c>
      <c r="G155" t="s">
        <v>3801</v>
      </c>
      <c r="H155">
        <v>24</v>
      </c>
      <c r="I155" t="b">
        <f>AND(COUNTIF(CO!A:A,A155)&gt;0,COUNTIF('NO2'!A:A,A155)&gt;0,COUNTIF('O3'!A:A,A155)&gt;0,COUNTIF('PM10'!A:A,A155)&gt;0,COUNTIF('SO2'!A:A,A155)&gt;0,COUNTIF(Kendaraan!A:A,A155)&gt;0)</f>
        <v>1</v>
      </c>
    </row>
    <row r="156" spans="1:9" x14ac:dyDescent="0.45">
      <c r="A156" s="4">
        <v>45541</v>
      </c>
      <c r="B156" t="s">
        <v>1639</v>
      </c>
      <c r="C156" t="s">
        <v>1163</v>
      </c>
      <c r="D156" t="s">
        <v>2766</v>
      </c>
      <c r="E156" t="s">
        <v>1843</v>
      </c>
      <c r="F156" t="s">
        <v>1138</v>
      </c>
      <c r="G156" t="s">
        <v>3214</v>
      </c>
      <c r="H156">
        <v>24</v>
      </c>
      <c r="I156" t="b">
        <f>AND(COUNTIF(CO!A:A,A156)&gt;0,COUNTIF('NO2'!A:A,A156)&gt;0,COUNTIF('O3'!A:A,A156)&gt;0,COUNTIF('PM10'!A:A,A156)&gt;0,COUNTIF('SO2'!A:A,A156)&gt;0,COUNTIF(Kendaraan!A:A,A156)&gt;0)</f>
        <v>1</v>
      </c>
    </row>
    <row r="157" spans="1:9" x14ac:dyDescent="0.45">
      <c r="A157" s="4">
        <v>45542</v>
      </c>
      <c r="B157" t="s">
        <v>2729</v>
      </c>
      <c r="C157" t="s">
        <v>3096</v>
      </c>
      <c r="D157" t="s">
        <v>1091</v>
      </c>
      <c r="E157" t="s">
        <v>1125</v>
      </c>
      <c r="F157" t="s">
        <v>3114</v>
      </c>
      <c r="G157" t="s">
        <v>1710</v>
      </c>
      <c r="H157">
        <v>22</v>
      </c>
      <c r="I157" t="b">
        <f>AND(COUNTIF(CO!A:A,A157)&gt;0,COUNTIF('NO2'!A:A,A157)&gt;0,COUNTIF('O3'!A:A,A157)&gt;0,COUNTIF('PM10'!A:A,A157)&gt;0,COUNTIF('SO2'!A:A,A157)&gt;0,COUNTIF(Kendaraan!A:A,A157)&gt;0)</f>
        <v>1</v>
      </c>
    </row>
    <row r="158" spans="1:9" x14ac:dyDescent="0.45">
      <c r="A158" s="4">
        <v>45543</v>
      </c>
      <c r="B158" t="s">
        <v>1321</v>
      </c>
      <c r="C158" t="s">
        <v>1118</v>
      </c>
      <c r="D158" t="s">
        <v>1068</v>
      </c>
      <c r="E158" t="s">
        <v>1957</v>
      </c>
      <c r="F158" t="s">
        <v>1148</v>
      </c>
      <c r="G158" s="1">
        <v>1184</v>
      </c>
      <c r="H158">
        <v>24</v>
      </c>
      <c r="I158" t="b">
        <f>AND(COUNTIF(CO!A:A,A158)&gt;0,COUNTIF('NO2'!A:A,A158)&gt;0,COUNTIF('O3'!A:A,A158)&gt;0,COUNTIF('PM10'!A:A,A158)&gt;0,COUNTIF('SO2'!A:A,A158)&gt;0,COUNTIF(Kendaraan!A:A,A158)&gt;0)</f>
        <v>1</v>
      </c>
    </row>
    <row r="159" spans="1:9" x14ac:dyDescent="0.45">
      <c r="A159" s="4">
        <v>45544</v>
      </c>
      <c r="B159" t="s">
        <v>1325</v>
      </c>
      <c r="C159" t="s">
        <v>3145</v>
      </c>
      <c r="D159" t="s">
        <v>1374</v>
      </c>
      <c r="E159" t="s">
        <v>3802</v>
      </c>
      <c r="F159" t="s">
        <v>1499</v>
      </c>
      <c r="G159" s="1">
        <v>2408</v>
      </c>
      <c r="H159">
        <v>24</v>
      </c>
      <c r="I159" t="b">
        <f>AND(COUNTIF(CO!A:A,A159)&gt;0,COUNTIF('NO2'!A:A,A159)&gt;0,COUNTIF('O3'!A:A,A159)&gt;0,COUNTIF('PM10'!A:A,A159)&gt;0,COUNTIF('SO2'!A:A,A159)&gt;0,COUNTIF(Kendaraan!A:A,A159)&gt;0)</f>
        <v>1</v>
      </c>
    </row>
    <row r="160" spans="1:9" x14ac:dyDescent="0.45">
      <c r="A160" s="4">
        <v>45545</v>
      </c>
      <c r="B160" t="s">
        <v>2596</v>
      </c>
      <c r="C160" t="s">
        <v>415</v>
      </c>
      <c r="D160" t="s">
        <v>1415</v>
      </c>
      <c r="E160" t="s">
        <v>617</v>
      </c>
      <c r="F160" t="s">
        <v>630</v>
      </c>
      <c r="G160" s="1">
        <v>1795</v>
      </c>
      <c r="H160">
        <v>24</v>
      </c>
      <c r="I160" t="b">
        <f>AND(COUNTIF(CO!A:A,A160)&gt;0,COUNTIF('NO2'!A:A,A160)&gt;0,COUNTIF('O3'!A:A,A160)&gt;0,COUNTIF('PM10'!A:A,A160)&gt;0,COUNTIF('SO2'!A:A,A160)&gt;0,COUNTIF(Kendaraan!A:A,A160)&gt;0)</f>
        <v>1</v>
      </c>
    </row>
    <row r="161" spans="1:9" x14ac:dyDescent="0.45">
      <c r="A161" s="4">
        <v>45546</v>
      </c>
      <c r="B161" t="s">
        <v>1504</v>
      </c>
      <c r="C161" t="s">
        <v>1545</v>
      </c>
      <c r="D161" t="s">
        <v>462</v>
      </c>
      <c r="E161" t="s">
        <v>1197</v>
      </c>
      <c r="F161" t="s">
        <v>3350</v>
      </c>
      <c r="G161" s="1">
        <v>2636</v>
      </c>
      <c r="H161">
        <v>24</v>
      </c>
      <c r="I161" t="b">
        <f>AND(COUNTIF(CO!A:A,A161)&gt;0,COUNTIF('NO2'!A:A,A161)&gt;0,COUNTIF('O3'!A:A,A161)&gt;0,COUNTIF('PM10'!A:A,A161)&gt;0,COUNTIF('SO2'!A:A,A161)&gt;0,COUNTIF(Kendaraan!A:A,A161)&gt;0)</f>
        <v>1</v>
      </c>
    </row>
    <row r="162" spans="1:9" x14ac:dyDescent="0.45">
      <c r="A162" s="4">
        <v>45547</v>
      </c>
      <c r="B162" t="s">
        <v>2723</v>
      </c>
      <c r="C162" t="s">
        <v>1981</v>
      </c>
      <c r="D162" t="s">
        <v>1188</v>
      </c>
      <c r="E162" t="s">
        <v>1173</v>
      </c>
      <c r="F162" t="s">
        <v>1129</v>
      </c>
      <c r="G162" t="s">
        <v>3803</v>
      </c>
      <c r="H162">
        <v>24</v>
      </c>
      <c r="I162" t="b">
        <f>AND(COUNTIF(CO!A:A,A162)&gt;0,COUNTIF('NO2'!A:A,A162)&gt;0,COUNTIF('O3'!A:A,A162)&gt;0,COUNTIF('PM10'!A:A,A162)&gt;0,COUNTIF('SO2'!A:A,A162)&gt;0,COUNTIF(Kendaraan!A:A,A162)&gt;0)</f>
        <v>1</v>
      </c>
    </row>
    <row r="163" spans="1:9" x14ac:dyDescent="0.45">
      <c r="A163" s="4">
        <v>45548</v>
      </c>
      <c r="B163" t="s">
        <v>1274</v>
      </c>
      <c r="C163" t="s">
        <v>1863</v>
      </c>
      <c r="D163" t="s">
        <v>1381</v>
      </c>
      <c r="E163" t="s">
        <v>1811</v>
      </c>
      <c r="F163" t="s">
        <v>1353</v>
      </c>
      <c r="G163" s="1">
        <v>1234</v>
      </c>
      <c r="H163">
        <v>24</v>
      </c>
      <c r="I163" t="b">
        <f>AND(COUNTIF(CO!A:A,A163)&gt;0,COUNTIF('NO2'!A:A,A163)&gt;0,COUNTIF('O3'!A:A,A163)&gt;0,COUNTIF('PM10'!A:A,A163)&gt;0,COUNTIF('SO2'!A:A,A163)&gt;0,COUNTIF(Kendaraan!A:A,A163)&gt;0)</f>
        <v>1</v>
      </c>
    </row>
    <row r="164" spans="1:9" x14ac:dyDescent="0.45">
      <c r="A164" s="4">
        <v>45549</v>
      </c>
      <c r="B164" t="s">
        <v>1700</v>
      </c>
      <c r="C164" t="s">
        <v>1789</v>
      </c>
      <c r="D164" t="s">
        <v>1818</v>
      </c>
      <c r="E164" t="s">
        <v>2067</v>
      </c>
      <c r="F164" t="s">
        <v>1749</v>
      </c>
      <c r="G164" t="s">
        <v>3687</v>
      </c>
      <c r="H164">
        <v>24</v>
      </c>
      <c r="I164" t="b">
        <f>AND(COUNTIF(CO!A:A,A164)&gt;0,COUNTIF('NO2'!A:A,A164)&gt;0,COUNTIF('O3'!A:A,A164)&gt;0,COUNTIF('PM10'!A:A,A164)&gt;0,COUNTIF('SO2'!A:A,A164)&gt;0,COUNTIF(Kendaraan!A:A,A164)&gt;0)</f>
        <v>1</v>
      </c>
    </row>
    <row r="165" spans="1:9" x14ac:dyDescent="0.45">
      <c r="A165" s="4">
        <v>45550</v>
      </c>
      <c r="B165" t="s">
        <v>1274</v>
      </c>
      <c r="C165" t="s">
        <v>1756</v>
      </c>
      <c r="D165" t="s">
        <v>2992</v>
      </c>
      <c r="E165">
        <v>11</v>
      </c>
      <c r="F165" t="s">
        <v>1638</v>
      </c>
      <c r="G165" t="s">
        <v>3804</v>
      </c>
      <c r="H165">
        <v>24</v>
      </c>
      <c r="I165" t="b">
        <f>AND(COUNTIF(CO!A:A,A165)&gt;0,COUNTIF('NO2'!A:A,A165)&gt;0,COUNTIF('O3'!A:A,A165)&gt;0,COUNTIF('PM10'!A:A,A165)&gt;0,COUNTIF('SO2'!A:A,A165)&gt;0,COUNTIF(Kendaraan!A:A,A165)&gt;0)</f>
        <v>1</v>
      </c>
    </row>
    <row r="166" spans="1:9" x14ac:dyDescent="0.45">
      <c r="A166" s="4">
        <v>45551</v>
      </c>
      <c r="B166" t="s">
        <v>1062</v>
      </c>
      <c r="C166" t="s">
        <v>2711</v>
      </c>
      <c r="D166" t="s">
        <v>1909</v>
      </c>
      <c r="E166" t="s">
        <v>1054</v>
      </c>
      <c r="F166" t="s">
        <v>1822</v>
      </c>
      <c r="G166" t="s">
        <v>1018</v>
      </c>
      <c r="H166">
        <v>24</v>
      </c>
      <c r="I166" t="b">
        <f>AND(COUNTIF(CO!A:A,A166)&gt;0,COUNTIF('NO2'!A:A,A166)&gt;0,COUNTIF('O3'!A:A,A166)&gt;0,COUNTIF('PM10'!A:A,A166)&gt;0,COUNTIF('SO2'!A:A,A166)&gt;0,COUNTIF(Kendaraan!A:A,A166)&gt;0)</f>
        <v>1</v>
      </c>
    </row>
    <row r="167" spans="1:9" x14ac:dyDescent="0.45">
      <c r="A167" s="4">
        <v>45552</v>
      </c>
      <c r="B167" t="s">
        <v>1054</v>
      </c>
      <c r="C167" t="s">
        <v>1290</v>
      </c>
      <c r="D167" t="s">
        <v>1286</v>
      </c>
      <c r="E167" t="s">
        <v>3215</v>
      </c>
      <c r="F167" t="s">
        <v>1277</v>
      </c>
      <c r="G167" t="s">
        <v>3220</v>
      </c>
      <c r="H167">
        <v>24</v>
      </c>
      <c r="I167" t="b">
        <f>AND(COUNTIF(CO!A:A,A167)&gt;0,COUNTIF('NO2'!A:A,A167)&gt;0,COUNTIF('O3'!A:A,A167)&gt;0,COUNTIF('PM10'!A:A,A167)&gt;0,COUNTIF('SO2'!A:A,A167)&gt;0,COUNTIF(Kendaraan!A:A,A167)&gt;0)</f>
        <v>1</v>
      </c>
    </row>
    <row r="168" spans="1:9" x14ac:dyDescent="0.45">
      <c r="A168" s="4">
        <v>45553</v>
      </c>
      <c r="B168" t="s">
        <v>947</v>
      </c>
      <c r="C168" t="s">
        <v>364</v>
      </c>
      <c r="D168" t="s">
        <v>1835</v>
      </c>
      <c r="E168" t="s">
        <v>1854</v>
      </c>
      <c r="F168" t="s">
        <v>3077</v>
      </c>
      <c r="G168" t="s">
        <v>3805</v>
      </c>
      <c r="H168">
        <v>24</v>
      </c>
      <c r="I168" t="b">
        <f>AND(COUNTIF(CO!A:A,A168)&gt;0,COUNTIF('NO2'!A:A,A168)&gt;0,COUNTIF('O3'!A:A,A168)&gt;0,COUNTIF('PM10'!A:A,A168)&gt;0,COUNTIF('SO2'!A:A,A168)&gt;0,COUNTIF(Kendaraan!A:A,A168)&gt;0)</f>
        <v>1</v>
      </c>
    </row>
    <row r="169" spans="1:9" x14ac:dyDescent="0.45">
      <c r="A169" s="4">
        <v>45554</v>
      </c>
      <c r="B169" t="s">
        <v>950</v>
      </c>
      <c r="C169" t="s">
        <v>1884</v>
      </c>
      <c r="D169" t="s">
        <v>3077</v>
      </c>
      <c r="E169" t="s">
        <v>3479</v>
      </c>
      <c r="F169" t="s">
        <v>2718</v>
      </c>
      <c r="G169" t="s">
        <v>3806</v>
      </c>
      <c r="H169">
        <v>24</v>
      </c>
      <c r="I169" t="b">
        <f>AND(COUNTIF(CO!A:A,A169)&gt;0,COUNTIF('NO2'!A:A,A169)&gt;0,COUNTIF('O3'!A:A,A169)&gt;0,COUNTIF('PM10'!A:A,A169)&gt;0,COUNTIF('SO2'!A:A,A169)&gt;0,COUNTIF(Kendaraan!A:A,A169)&gt;0)</f>
        <v>1</v>
      </c>
    </row>
    <row r="170" spans="1:9" x14ac:dyDescent="0.45">
      <c r="A170" s="4">
        <v>45555</v>
      </c>
      <c r="B170" t="s">
        <v>941</v>
      </c>
      <c r="C170" t="s">
        <v>1449</v>
      </c>
      <c r="D170" t="s">
        <v>2963</v>
      </c>
      <c r="E170" t="s">
        <v>1348</v>
      </c>
      <c r="F170" t="s">
        <v>1121</v>
      </c>
      <c r="G170" s="1">
        <v>2646</v>
      </c>
      <c r="H170">
        <v>24</v>
      </c>
      <c r="I170" t="b">
        <f>AND(COUNTIF(CO!A:A,A170)&gt;0,COUNTIF('NO2'!A:A,A170)&gt;0,COUNTIF('O3'!A:A,A170)&gt;0,COUNTIF('PM10'!A:A,A170)&gt;0,COUNTIF('SO2'!A:A,A170)&gt;0,COUNTIF(Kendaraan!A:A,A170)&gt;0)</f>
        <v>1</v>
      </c>
    </row>
    <row r="171" spans="1:9" x14ac:dyDescent="0.45">
      <c r="A171" s="4">
        <v>45556</v>
      </c>
      <c r="B171" t="s">
        <v>613</v>
      </c>
      <c r="C171" t="s">
        <v>545</v>
      </c>
      <c r="D171" t="s">
        <v>525</v>
      </c>
      <c r="E171" t="s">
        <v>1925</v>
      </c>
      <c r="F171" t="s">
        <v>3807</v>
      </c>
      <c r="G171" s="1">
        <v>2576</v>
      </c>
      <c r="H171">
        <v>24</v>
      </c>
      <c r="I171" t="b">
        <f>AND(COUNTIF(CO!A:A,A171)&gt;0,COUNTIF('NO2'!A:A,A171)&gt;0,COUNTIF('O3'!A:A,A171)&gt;0,COUNTIF('PM10'!A:A,A171)&gt;0,COUNTIF('SO2'!A:A,A171)&gt;0,COUNTIF(Kendaraan!A:A,A171)&gt;0)</f>
        <v>1</v>
      </c>
    </row>
    <row r="172" spans="1:9" x14ac:dyDescent="0.45">
      <c r="A172" s="4">
        <v>45557</v>
      </c>
      <c r="B172" t="s">
        <v>537</v>
      </c>
      <c r="C172">
        <v>31</v>
      </c>
      <c r="D172" t="s">
        <v>2566</v>
      </c>
      <c r="E172" t="s">
        <v>2033</v>
      </c>
      <c r="F172" t="s">
        <v>3808</v>
      </c>
      <c r="G172" t="s">
        <v>3809</v>
      </c>
      <c r="H172">
        <v>24</v>
      </c>
      <c r="I172" t="b">
        <f>AND(COUNTIF(CO!A:A,A172)&gt;0,COUNTIF('NO2'!A:A,A172)&gt;0,COUNTIF('O3'!A:A,A172)&gt;0,COUNTIF('PM10'!A:A,A172)&gt;0,COUNTIF('SO2'!A:A,A172)&gt;0,COUNTIF(Kendaraan!A:A,A172)&gt;0)</f>
        <v>1</v>
      </c>
    </row>
    <row r="173" spans="1:9" x14ac:dyDescent="0.45">
      <c r="A173" s="4">
        <v>45558</v>
      </c>
      <c r="B173" t="s">
        <v>2571</v>
      </c>
      <c r="C173" t="s">
        <v>2266</v>
      </c>
      <c r="D173" t="s">
        <v>3747</v>
      </c>
      <c r="E173" t="s">
        <v>1525</v>
      </c>
      <c r="F173" t="s">
        <v>3660</v>
      </c>
      <c r="G173" s="1">
        <v>1382</v>
      </c>
      <c r="H173">
        <v>24</v>
      </c>
      <c r="I173" t="b">
        <f>AND(COUNTIF(CO!A:A,A173)&gt;0,COUNTIF('NO2'!A:A,A173)&gt;0,COUNTIF('O3'!A:A,A173)&gt;0,COUNTIF('PM10'!A:A,A173)&gt;0,COUNTIF('SO2'!A:A,A173)&gt;0,COUNTIF(Kendaraan!A:A,A173)&gt;0)</f>
        <v>1</v>
      </c>
    </row>
    <row r="174" spans="1:9" x14ac:dyDescent="0.45">
      <c r="A174" s="4">
        <v>45559</v>
      </c>
      <c r="B174" t="s">
        <v>1990</v>
      </c>
      <c r="C174" t="s">
        <v>3810</v>
      </c>
      <c r="D174" t="s">
        <v>2377</v>
      </c>
      <c r="E174" t="s">
        <v>3416</v>
      </c>
      <c r="F174" t="s">
        <v>3339</v>
      </c>
      <c r="G174" s="1">
        <v>1028</v>
      </c>
      <c r="H174">
        <v>24</v>
      </c>
      <c r="I174" t="b">
        <f>AND(COUNTIF(CO!A:A,A174)&gt;0,COUNTIF('NO2'!A:A,A174)&gt;0,COUNTIF('O3'!A:A,A174)&gt;0,COUNTIF('PM10'!A:A,A174)&gt;0,COUNTIF('SO2'!A:A,A174)&gt;0,COUNTIF(Kendaraan!A:A,A174)&gt;0)</f>
        <v>1</v>
      </c>
    </row>
    <row r="175" spans="1:9" x14ac:dyDescent="0.45">
      <c r="A175" s="4">
        <v>45560</v>
      </c>
      <c r="B175" t="s">
        <v>1067</v>
      </c>
      <c r="C175" t="s">
        <v>2034</v>
      </c>
      <c r="D175" t="s">
        <v>1239</v>
      </c>
      <c r="E175" t="s">
        <v>1931</v>
      </c>
      <c r="F175" t="s">
        <v>627</v>
      </c>
      <c r="G175" s="1">
        <v>3642</v>
      </c>
      <c r="H175">
        <v>24</v>
      </c>
      <c r="I175" t="b">
        <f>AND(COUNTIF(CO!A:A,A175)&gt;0,COUNTIF('NO2'!A:A,A175)&gt;0,COUNTIF('O3'!A:A,A175)&gt;0,COUNTIF('PM10'!A:A,A175)&gt;0,COUNTIF('SO2'!A:A,A175)&gt;0,COUNTIF(Kendaraan!A:A,A175)&gt;0)</f>
        <v>1</v>
      </c>
    </row>
    <row r="176" spans="1:9" x14ac:dyDescent="0.45">
      <c r="A176" s="4">
        <v>45561</v>
      </c>
      <c r="B176" t="s">
        <v>1225</v>
      </c>
      <c r="C176" t="s">
        <v>3811</v>
      </c>
      <c r="D176" t="s">
        <v>584</v>
      </c>
      <c r="E176" t="s">
        <v>3172</v>
      </c>
      <c r="F176" t="s">
        <v>1534</v>
      </c>
      <c r="G176" s="1">
        <v>3316</v>
      </c>
      <c r="H176">
        <v>24</v>
      </c>
      <c r="I176" t="b">
        <f>AND(COUNTIF(CO!A:A,A176)&gt;0,COUNTIF('NO2'!A:A,A176)&gt;0,COUNTIF('O3'!A:A,A176)&gt;0,COUNTIF('PM10'!A:A,A176)&gt;0,COUNTIF('SO2'!A:A,A176)&gt;0,COUNTIF(Kendaraan!A:A,A176)&gt;0)</f>
        <v>1</v>
      </c>
    </row>
    <row r="177" spans="1:9" x14ac:dyDescent="0.45">
      <c r="A177" s="4">
        <v>45562</v>
      </c>
      <c r="B177" t="s">
        <v>1267</v>
      </c>
      <c r="C177" t="s">
        <v>1543</v>
      </c>
      <c r="D177" t="s">
        <v>1924</v>
      </c>
      <c r="E177" t="s">
        <v>3812</v>
      </c>
      <c r="F177" t="s">
        <v>475</v>
      </c>
      <c r="G177" s="1">
        <v>1326</v>
      </c>
      <c r="H177">
        <v>24</v>
      </c>
      <c r="I177" t="b">
        <f>AND(COUNTIF(CO!A:A,A177)&gt;0,COUNTIF('NO2'!A:A,A177)&gt;0,COUNTIF('O3'!A:A,A177)&gt;0,COUNTIF('PM10'!A:A,A177)&gt;0,COUNTIF('SO2'!A:A,A177)&gt;0,COUNTIF(Kendaraan!A:A,A177)&gt;0)</f>
        <v>1</v>
      </c>
    </row>
    <row r="178" spans="1:9" x14ac:dyDescent="0.45">
      <c r="A178" s="4">
        <v>45563</v>
      </c>
      <c r="B178" t="s">
        <v>667</v>
      </c>
      <c r="C178" t="s">
        <v>509</v>
      </c>
      <c r="D178" t="s">
        <v>1263</v>
      </c>
      <c r="E178" t="s">
        <v>3813</v>
      </c>
      <c r="F178" t="s">
        <v>3124</v>
      </c>
      <c r="G178" t="s">
        <v>3696</v>
      </c>
      <c r="H178">
        <v>24</v>
      </c>
      <c r="I178" t="b">
        <f>AND(COUNTIF(CO!A:A,A178)&gt;0,COUNTIF('NO2'!A:A,A178)&gt;0,COUNTIF('O3'!A:A,A178)&gt;0,COUNTIF('PM10'!A:A,A178)&gt;0,COUNTIF('SO2'!A:A,A178)&gt;0,COUNTIF(Kendaraan!A:A,A178)&gt;0)</f>
        <v>1</v>
      </c>
    </row>
    <row r="179" spans="1:9" x14ac:dyDescent="0.45">
      <c r="A179" s="4">
        <v>45564</v>
      </c>
      <c r="B179" t="s">
        <v>1251</v>
      </c>
      <c r="C179" t="s">
        <v>1892</v>
      </c>
      <c r="D179" t="s">
        <v>3174</v>
      </c>
      <c r="E179" t="s">
        <v>442</v>
      </c>
      <c r="F179" t="s">
        <v>916</v>
      </c>
      <c r="G179" t="s">
        <v>1813</v>
      </c>
      <c r="H179">
        <v>24</v>
      </c>
      <c r="I179" t="b">
        <f>AND(COUNTIF(CO!A:A,A179)&gt;0,COUNTIF('NO2'!A:A,A179)&gt;0,COUNTIF('O3'!A:A,A179)&gt;0,COUNTIF('PM10'!A:A,A179)&gt;0,COUNTIF('SO2'!A:A,A179)&gt;0,COUNTIF(Kendaraan!A:A,A179)&gt;0)</f>
        <v>1</v>
      </c>
    </row>
    <row r="180" spans="1:9" x14ac:dyDescent="0.45">
      <c r="A180" s="4">
        <v>45565</v>
      </c>
      <c r="B180" t="s">
        <v>437</v>
      </c>
      <c r="C180" t="s">
        <v>650</v>
      </c>
      <c r="D180" t="s">
        <v>3640</v>
      </c>
      <c r="E180" t="s">
        <v>626</v>
      </c>
      <c r="F180" t="s">
        <v>2972</v>
      </c>
      <c r="G180" t="s">
        <v>19</v>
      </c>
      <c r="H180">
        <v>24</v>
      </c>
      <c r="I180" t="b">
        <f>AND(COUNTIF(CO!A:A,A180)&gt;0,COUNTIF('NO2'!A:A,A180)&gt;0,COUNTIF('O3'!A:A,A180)&gt;0,COUNTIF('PM10'!A:A,A180)&gt;0,COUNTIF('SO2'!A:A,A180)&gt;0,COUNTIF(Kendaraan!A:A,A180)&gt;0)</f>
        <v>1</v>
      </c>
    </row>
    <row r="181" spans="1:9" x14ac:dyDescent="0.45">
      <c r="A181" s="4">
        <v>45566</v>
      </c>
      <c r="B181" t="s">
        <v>1092</v>
      </c>
      <c r="C181" t="s">
        <v>1995</v>
      </c>
      <c r="D181" t="s">
        <v>2050</v>
      </c>
      <c r="E181" t="s">
        <v>3497</v>
      </c>
      <c r="F181" t="s">
        <v>1974</v>
      </c>
      <c r="G181" s="1">
        <v>2358</v>
      </c>
      <c r="H181">
        <v>24</v>
      </c>
      <c r="I181" t="b">
        <f>AND(COUNTIF(CO!A:A,A181)&gt;0,COUNTIF('NO2'!A:A,A181)&gt;0,COUNTIF('O3'!A:A,A181)&gt;0,COUNTIF('PM10'!A:A,A181)&gt;0,COUNTIF('SO2'!A:A,A181)&gt;0,COUNTIF(Kendaraan!A:A,A181)&gt;0)</f>
        <v>1</v>
      </c>
    </row>
    <row r="182" spans="1:9" x14ac:dyDescent="0.45">
      <c r="A182" s="4">
        <v>45567</v>
      </c>
      <c r="B182" t="s">
        <v>1313</v>
      </c>
      <c r="C182" t="s">
        <v>1088</v>
      </c>
      <c r="D182" t="s">
        <v>2725</v>
      </c>
      <c r="E182" t="s">
        <v>1334</v>
      </c>
      <c r="F182" t="s">
        <v>1140</v>
      </c>
      <c r="G182" t="s">
        <v>3679</v>
      </c>
      <c r="H182">
        <v>24</v>
      </c>
      <c r="I182" t="b">
        <f>AND(COUNTIF(CO!A:A,A182)&gt;0,COUNTIF('NO2'!A:A,A182)&gt;0,COUNTIF('O3'!A:A,A182)&gt;0,COUNTIF('PM10'!A:A,A182)&gt;0,COUNTIF('SO2'!A:A,A182)&gt;0,COUNTIF(Kendaraan!A:A,A182)&gt;0)</f>
        <v>1</v>
      </c>
    </row>
    <row r="183" spans="1:9" x14ac:dyDescent="0.45">
      <c r="A183" s="4">
        <v>45568</v>
      </c>
      <c r="B183" t="s">
        <v>1091</v>
      </c>
      <c r="C183" t="s">
        <v>1449</v>
      </c>
      <c r="D183" t="s">
        <v>1999</v>
      </c>
      <c r="E183" t="s">
        <v>1102</v>
      </c>
      <c r="F183" t="s">
        <v>1161</v>
      </c>
      <c r="G183" s="1">
        <v>1249</v>
      </c>
      <c r="H183">
        <v>24</v>
      </c>
      <c r="I183" t="b">
        <f>AND(COUNTIF(CO!A:A,A183)&gt;0,COUNTIF('NO2'!A:A,A183)&gt;0,COUNTIF('O3'!A:A,A183)&gt;0,COUNTIF('PM10'!A:A,A183)&gt;0,COUNTIF('SO2'!A:A,A183)&gt;0,COUNTIF(Kendaraan!A:A,A183)&gt;0)</f>
        <v>1</v>
      </c>
    </row>
    <row r="184" spans="1:9" x14ac:dyDescent="0.45">
      <c r="A184" s="4">
        <v>45569</v>
      </c>
      <c r="B184" t="s">
        <v>1942</v>
      </c>
      <c r="C184" t="s">
        <v>1467</v>
      </c>
      <c r="D184" t="s">
        <v>1932</v>
      </c>
      <c r="E184" t="s">
        <v>1696</v>
      </c>
      <c r="F184" t="s">
        <v>3697</v>
      </c>
      <c r="G184" t="s">
        <v>3814</v>
      </c>
      <c r="H184">
        <v>24</v>
      </c>
      <c r="I184" t="b">
        <f>AND(COUNTIF(CO!A:A,A184)&gt;0,COUNTIF('NO2'!A:A,A184)&gt;0,COUNTIF('O3'!A:A,A184)&gt;0,COUNTIF('PM10'!A:A,A184)&gt;0,COUNTIF('SO2'!A:A,A184)&gt;0,COUNTIF(Kendaraan!A:A,A184)&gt;0)</f>
        <v>1</v>
      </c>
    </row>
    <row r="185" spans="1:9" x14ac:dyDescent="0.45">
      <c r="A185" s="4">
        <v>45570</v>
      </c>
      <c r="B185" t="s">
        <v>1742</v>
      </c>
      <c r="C185" t="s">
        <v>1405</v>
      </c>
      <c r="D185" t="s">
        <v>1867</v>
      </c>
      <c r="E185" t="s">
        <v>1999</v>
      </c>
      <c r="F185" t="s">
        <v>1585</v>
      </c>
      <c r="G185" s="1">
        <v>1433</v>
      </c>
      <c r="H185">
        <v>24</v>
      </c>
      <c r="I185" t="b">
        <f>AND(COUNTIF(CO!A:A,A185)&gt;0,COUNTIF('NO2'!A:A,A185)&gt;0,COUNTIF('O3'!A:A,A185)&gt;0,COUNTIF('PM10'!A:A,A185)&gt;0,COUNTIF('SO2'!A:A,A185)&gt;0,COUNTIF(Kendaraan!A:A,A185)&gt;0)</f>
        <v>1</v>
      </c>
    </row>
    <row r="186" spans="1:9" x14ac:dyDescent="0.45">
      <c r="A186" s="4">
        <v>45571</v>
      </c>
      <c r="B186" t="s">
        <v>429</v>
      </c>
      <c r="C186" t="s">
        <v>435</v>
      </c>
      <c r="D186" t="s">
        <v>3675</v>
      </c>
      <c r="E186" t="s">
        <v>3278</v>
      </c>
      <c r="F186" t="s">
        <v>1400</v>
      </c>
      <c r="G186" t="s">
        <v>3677</v>
      </c>
      <c r="H186">
        <v>14</v>
      </c>
      <c r="I186" t="b">
        <f>AND(COUNTIF(CO!A:A,A186)&gt;0,COUNTIF('NO2'!A:A,A186)&gt;0,COUNTIF('O3'!A:A,A186)&gt;0,COUNTIF('PM10'!A:A,A186)&gt;0,COUNTIF('SO2'!A:A,A186)&gt;0,COUNTIF(Kendaraan!A:A,A186)&gt;0)</f>
        <v>1</v>
      </c>
    </row>
    <row r="187" spans="1:9" x14ac:dyDescent="0.45">
      <c r="A187" s="4">
        <v>45572</v>
      </c>
      <c r="B187" t="s">
        <v>2400</v>
      </c>
      <c r="C187" t="s">
        <v>3121</v>
      </c>
      <c r="D187" t="s">
        <v>3464</v>
      </c>
      <c r="E187" t="s">
        <v>1759</v>
      </c>
      <c r="F187" t="s">
        <v>1080</v>
      </c>
      <c r="G187" t="s">
        <v>425</v>
      </c>
      <c r="H187">
        <v>5</v>
      </c>
      <c r="I187" t="b">
        <f>AND(COUNTIF(CO!A:A,A187)&gt;0,COUNTIF('NO2'!A:A,A187)&gt;0,COUNTIF('O3'!A:A,A187)&gt;0,COUNTIF('PM10'!A:A,A187)&gt;0,COUNTIF('SO2'!A:A,A187)&gt;0,COUNTIF(Kendaraan!A:A,A187)&gt;0)</f>
        <v>1</v>
      </c>
    </row>
    <row r="188" spans="1:9" x14ac:dyDescent="0.45">
      <c r="A188" s="4">
        <v>45573</v>
      </c>
      <c r="B188" t="s">
        <v>1804</v>
      </c>
      <c r="C188" t="s">
        <v>1138</v>
      </c>
      <c r="D188" t="s">
        <v>1660</v>
      </c>
      <c r="E188" t="s">
        <v>3607</v>
      </c>
      <c r="F188" t="s">
        <v>350</v>
      </c>
      <c r="G188" t="s">
        <v>2952</v>
      </c>
      <c r="H188">
        <v>24</v>
      </c>
      <c r="I188" t="b">
        <f>AND(COUNTIF(CO!A:A,A188)&gt;0,COUNTIF('NO2'!A:A,A188)&gt;0,COUNTIF('O3'!A:A,A188)&gt;0,COUNTIF('PM10'!A:A,A188)&gt;0,COUNTIF('SO2'!A:A,A188)&gt;0,COUNTIF(Kendaraan!A:A,A188)&gt;0)</f>
        <v>1</v>
      </c>
    </row>
    <row r="189" spans="1:9" x14ac:dyDescent="0.45">
      <c r="A189" s="4">
        <v>45574</v>
      </c>
      <c r="B189" t="s">
        <v>1377</v>
      </c>
      <c r="C189" t="s">
        <v>1187</v>
      </c>
      <c r="D189" t="s">
        <v>1736</v>
      </c>
      <c r="E189" t="s">
        <v>2390</v>
      </c>
      <c r="F189" t="s">
        <v>693</v>
      </c>
      <c r="G189" t="s">
        <v>3815</v>
      </c>
      <c r="H189">
        <v>24</v>
      </c>
      <c r="I189" t="b">
        <f>AND(COUNTIF(CO!A:A,A189)&gt;0,COUNTIF('NO2'!A:A,A189)&gt;0,COUNTIF('O3'!A:A,A189)&gt;0,COUNTIF('PM10'!A:A,A189)&gt;0,COUNTIF('SO2'!A:A,A189)&gt;0,COUNTIF(Kendaraan!A:A,A189)&gt;0)</f>
        <v>1</v>
      </c>
    </row>
    <row r="190" spans="1:9" x14ac:dyDescent="0.45">
      <c r="A190" s="4">
        <v>45575</v>
      </c>
      <c r="B190">
        <v>12</v>
      </c>
      <c r="C190" t="s">
        <v>1786</v>
      </c>
      <c r="D190">
        <v>12</v>
      </c>
      <c r="E190">
        <v>12</v>
      </c>
      <c r="F190">
        <v>12</v>
      </c>
      <c r="G190" t="s">
        <v>155</v>
      </c>
      <c r="H190">
        <v>24</v>
      </c>
      <c r="I190" t="b">
        <f>AND(COUNTIF(CO!A:A,A190)&gt;0,COUNTIF('NO2'!A:A,A190)&gt;0,COUNTIF('O3'!A:A,A190)&gt;0,COUNTIF('PM10'!A:A,A190)&gt;0,COUNTIF('SO2'!A:A,A190)&gt;0,COUNTIF(Kendaraan!A:A,A190)&gt;0)</f>
        <v>1</v>
      </c>
    </row>
    <row r="191" spans="1:9" x14ac:dyDescent="0.45">
      <c r="A191" s="4">
        <v>45576</v>
      </c>
      <c r="B191">
        <v>12</v>
      </c>
      <c r="C191">
        <v>12</v>
      </c>
      <c r="D191">
        <v>12</v>
      </c>
      <c r="E191">
        <v>12</v>
      </c>
      <c r="F191">
        <v>12</v>
      </c>
      <c r="G191">
        <v>0</v>
      </c>
      <c r="H191">
        <v>24</v>
      </c>
      <c r="I191" t="b">
        <f>AND(COUNTIF(CO!A:A,A191)&gt;0,COUNTIF('NO2'!A:A,A191)&gt;0,COUNTIF('O3'!A:A,A191)&gt;0,COUNTIF('PM10'!A:A,A191)&gt;0,COUNTIF('SO2'!A:A,A191)&gt;0,COUNTIF(Kendaraan!A:A,A191)&gt;0)</f>
        <v>1</v>
      </c>
    </row>
    <row r="192" spans="1:9" x14ac:dyDescent="0.45">
      <c r="A192" s="4">
        <v>45577</v>
      </c>
      <c r="B192">
        <v>12</v>
      </c>
      <c r="C192">
        <v>12</v>
      </c>
      <c r="D192">
        <v>12</v>
      </c>
      <c r="E192">
        <v>12</v>
      </c>
      <c r="F192">
        <v>12</v>
      </c>
      <c r="G192">
        <v>0</v>
      </c>
      <c r="H192">
        <v>24</v>
      </c>
      <c r="I192" t="b">
        <f>AND(COUNTIF(CO!A:A,A192)&gt;0,COUNTIF('NO2'!A:A,A192)&gt;0,COUNTIF('O3'!A:A,A192)&gt;0,COUNTIF('PM10'!A:A,A192)&gt;0,COUNTIF('SO2'!A:A,A192)&gt;0,COUNTIF(Kendaraan!A:A,A192)&gt;0)</f>
        <v>1</v>
      </c>
    </row>
    <row r="193" spans="1:9" x14ac:dyDescent="0.45">
      <c r="A193" s="4">
        <v>45578</v>
      </c>
      <c r="B193">
        <v>12</v>
      </c>
      <c r="C193">
        <v>12</v>
      </c>
      <c r="D193">
        <v>12</v>
      </c>
      <c r="E193">
        <v>12</v>
      </c>
      <c r="F193">
        <v>12</v>
      </c>
      <c r="G193">
        <v>0</v>
      </c>
      <c r="H193">
        <v>24</v>
      </c>
      <c r="I193" t="b">
        <f>AND(COUNTIF(CO!A:A,A193)&gt;0,COUNTIF('NO2'!A:A,A193)&gt;0,COUNTIF('O3'!A:A,A193)&gt;0,COUNTIF('PM10'!A:A,A193)&gt;0,COUNTIF('SO2'!A:A,A193)&gt;0,COUNTIF(Kendaraan!A:A,A193)&gt;0)</f>
        <v>1</v>
      </c>
    </row>
    <row r="194" spans="1:9" x14ac:dyDescent="0.45">
      <c r="A194" s="4">
        <v>45579</v>
      </c>
      <c r="B194">
        <v>12</v>
      </c>
      <c r="C194">
        <v>12</v>
      </c>
      <c r="D194">
        <v>12</v>
      </c>
      <c r="E194">
        <v>12</v>
      </c>
      <c r="F194">
        <v>12</v>
      </c>
      <c r="G194">
        <v>0</v>
      </c>
      <c r="H194">
        <v>24</v>
      </c>
      <c r="I194" t="b">
        <f>AND(COUNTIF(CO!A:A,A194)&gt;0,COUNTIF('NO2'!A:A,A194)&gt;0,COUNTIF('O3'!A:A,A194)&gt;0,COUNTIF('PM10'!A:A,A194)&gt;0,COUNTIF('SO2'!A:A,A194)&gt;0,COUNTIF(Kendaraan!A:A,A194)&gt;0)</f>
        <v>1</v>
      </c>
    </row>
    <row r="195" spans="1:9" x14ac:dyDescent="0.45">
      <c r="A195" s="4">
        <v>45580</v>
      </c>
      <c r="B195" t="s">
        <v>1890</v>
      </c>
      <c r="C195" t="s">
        <v>1863</v>
      </c>
      <c r="D195" t="s">
        <v>3087</v>
      </c>
      <c r="E195">
        <v>12</v>
      </c>
      <c r="F195" t="s">
        <v>3682</v>
      </c>
      <c r="G195" s="1">
        <v>1098</v>
      </c>
      <c r="H195">
        <v>24</v>
      </c>
      <c r="I195" t="b">
        <f>AND(COUNTIF(CO!A:A,A195)&gt;0,COUNTIF('NO2'!A:A,A195)&gt;0,COUNTIF('O3'!A:A,A195)&gt;0,COUNTIF('PM10'!A:A,A195)&gt;0,COUNTIF('SO2'!A:A,A195)&gt;0,COUNTIF(Kendaraan!A:A,A195)&gt;0)</f>
        <v>1</v>
      </c>
    </row>
    <row r="196" spans="1:9" x14ac:dyDescent="0.45">
      <c r="A196" s="4">
        <v>45581</v>
      </c>
      <c r="B196" t="s">
        <v>698</v>
      </c>
      <c r="C196" t="s">
        <v>1375</v>
      </c>
      <c r="D196" t="s">
        <v>2699</v>
      </c>
      <c r="E196" t="s">
        <v>728</v>
      </c>
      <c r="F196" t="s">
        <v>2397</v>
      </c>
      <c r="G196" s="1">
        <v>1891</v>
      </c>
      <c r="H196">
        <v>24</v>
      </c>
      <c r="I196" t="b">
        <f>AND(COUNTIF(CO!A:A,A196)&gt;0,COUNTIF('NO2'!A:A,A196)&gt;0,COUNTIF('O3'!A:A,A196)&gt;0,COUNTIF('PM10'!A:A,A196)&gt;0,COUNTIF('SO2'!A:A,A196)&gt;0,COUNTIF(Kendaraan!A:A,A196)&gt;0)</f>
        <v>1</v>
      </c>
    </row>
    <row r="197" spans="1:9" x14ac:dyDescent="0.45">
      <c r="A197" s="4">
        <v>45582</v>
      </c>
      <c r="B197" t="s">
        <v>721</v>
      </c>
      <c r="C197" t="s">
        <v>1288</v>
      </c>
      <c r="D197" t="s">
        <v>725</v>
      </c>
      <c r="E197" t="s">
        <v>3685</v>
      </c>
      <c r="F197" t="s">
        <v>1047</v>
      </c>
      <c r="G197" t="s">
        <v>3184</v>
      </c>
      <c r="H197">
        <v>24</v>
      </c>
      <c r="I197" t="b">
        <f>AND(COUNTIF(CO!A:A,A197)&gt;0,COUNTIF('NO2'!A:A,A197)&gt;0,COUNTIF('O3'!A:A,A197)&gt;0,COUNTIF('PM10'!A:A,A197)&gt;0,COUNTIF('SO2'!A:A,A197)&gt;0,COUNTIF(Kendaraan!A:A,A197)&gt;0)</f>
        <v>1</v>
      </c>
    </row>
    <row r="198" spans="1:9" x14ac:dyDescent="0.45">
      <c r="A198" s="4">
        <v>45583</v>
      </c>
      <c r="B198" t="s">
        <v>1796</v>
      </c>
      <c r="C198" t="s">
        <v>2767</v>
      </c>
      <c r="D198" t="s">
        <v>2381</v>
      </c>
      <c r="E198" t="s">
        <v>3647</v>
      </c>
      <c r="F198" t="s">
        <v>1874</v>
      </c>
      <c r="G198" s="1">
        <v>1187</v>
      </c>
      <c r="H198">
        <v>24</v>
      </c>
      <c r="I198" t="b">
        <f>AND(COUNTIF(CO!A:A,A198)&gt;0,COUNTIF('NO2'!A:A,A198)&gt;0,COUNTIF('O3'!A:A,A198)&gt;0,COUNTIF('PM10'!A:A,A198)&gt;0,COUNTIF('SO2'!A:A,A198)&gt;0,COUNTIF(Kendaraan!A:A,A198)&gt;0)</f>
        <v>1</v>
      </c>
    </row>
    <row r="199" spans="1:9" x14ac:dyDescent="0.45">
      <c r="A199" s="4">
        <v>45584</v>
      </c>
      <c r="B199" t="s">
        <v>1964</v>
      </c>
      <c r="C199" t="s">
        <v>634</v>
      </c>
      <c r="D199" t="s">
        <v>1589</v>
      </c>
      <c r="E199" t="s">
        <v>939</v>
      </c>
      <c r="F199" t="s">
        <v>3358</v>
      </c>
      <c r="G199" s="1">
        <v>3381</v>
      </c>
      <c r="H199">
        <v>21</v>
      </c>
      <c r="I199" t="b">
        <f>AND(COUNTIF(CO!A:A,A199)&gt;0,COUNTIF('NO2'!A:A,A199)&gt;0,COUNTIF('O3'!A:A,A199)&gt;0,COUNTIF('PM10'!A:A,A199)&gt;0,COUNTIF('SO2'!A:A,A199)&gt;0,COUNTIF(Kendaraan!A:A,A199)&gt;0)</f>
        <v>1</v>
      </c>
    </row>
    <row r="200" spans="1:9" x14ac:dyDescent="0.45">
      <c r="A200" s="4">
        <v>45585</v>
      </c>
      <c r="B200" t="s">
        <v>1456</v>
      </c>
      <c r="C200" t="s">
        <v>1544</v>
      </c>
      <c r="D200" t="s">
        <v>1411</v>
      </c>
      <c r="E200" t="s">
        <v>692</v>
      </c>
      <c r="F200" t="s">
        <v>677</v>
      </c>
      <c r="G200" t="s">
        <v>3816</v>
      </c>
      <c r="H200">
        <v>24</v>
      </c>
      <c r="I200" t="b">
        <f>AND(COUNTIF(CO!A:A,A200)&gt;0,COUNTIF('NO2'!A:A,A200)&gt;0,COUNTIF('O3'!A:A,A200)&gt;0,COUNTIF('PM10'!A:A,A200)&gt;0,COUNTIF('SO2'!A:A,A200)&gt;0,COUNTIF(Kendaraan!A:A,A200)&gt;0)</f>
        <v>1</v>
      </c>
    </row>
    <row r="201" spans="1:9" x14ac:dyDescent="0.45">
      <c r="A201" s="4">
        <v>45586</v>
      </c>
      <c r="B201" t="s">
        <v>1500</v>
      </c>
      <c r="C201" t="s">
        <v>1544</v>
      </c>
      <c r="D201" t="s">
        <v>606</v>
      </c>
      <c r="E201" t="s">
        <v>1407</v>
      </c>
      <c r="F201" t="s">
        <v>3123</v>
      </c>
      <c r="G201" s="1">
        <v>2336</v>
      </c>
      <c r="H201">
        <v>24</v>
      </c>
      <c r="I201" t="b">
        <f>AND(COUNTIF(CO!A:A,A201)&gt;0,COUNTIF('NO2'!A:A,A201)&gt;0,COUNTIF('O3'!A:A,A201)&gt;0,COUNTIF('PM10'!A:A,A201)&gt;0,COUNTIF('SO2'!A:A,A201)&gt;0,COUNTIF(Kendaraan!A:A,A201)&gt;0)</f>
        <v>1</v>
      </c>
    </row>
    <row r="202" spans="1:9" x14ac:dyDescent="0.45">
      <c r="A202" s="4">
        <v>45587</v>
      </c>
      <c r="B202">
        <v>14</v>
      </c>
      <c r="C202" t="s">
        <v>2760</v>
      </c>
      <c r="D202" t="s">
        <v>1084</v>
      </c>
      <c r="E202" t="s">
        <v>3624</v>
      </c>
      <c r="F202" t="s">
        <v>1127</v>
      </c>
      <c r="G202" t="s">
        <v>3683</v>
      </c>
      <c r="H202">
        <v>24</v>
      </c>
      <c r="I202" t="b">
        <f>AND(COUNTIF(CO!A:A,A202)&gt;0,COUNTIF('NO2'!A:A,A202)&gt;0,COUNTIF('O3'!A:A,A202)&gt;0,COUNTIF('PM10'!A:A,A202)&gt;0,COUNTIF('SO2'!A:A,A202)&gt;0,COUNTIF(Kendaraan!A:A,A202)&gt;0)</f>
        <v>1</v>
      </c>
    </row>
    <row r="203" spans="1:9" x14ac:dyDescent="0.45">
      <c r="A203" s="4">
        <v>45588</v>
      </c>
      <c r="B203" t="s">
        <v>3817</v>
      </c>
      <c r="C203" t="s">
        <v>1718</v>
      </c>
      <c r="D203" t="s">
        <v>1852</v>
      </c>
      <c r="E203" t="s">
        <v>3090</v>
      </c>
      <c r="F203" t="s">
        <v>1339</v>
      </c>
      <c r="G203" t="s">
        <v>3818</v>
      </c>
      <c r="H203">
        <v>24</v>
      </c>
      <c r="I203" t="b">
        <f>AND(COUNTIF(CO!A:A,A203)&gt;0,COUNTIF('NO2'!A:A,A203)&gt;0,COUNTIF('O3'!A:A,A203)&gt;0,COUNTIF('PM10'!A:A,A203)&gt;0,COUNTIF('SO2'!A:A,A203)&gt;0,COUNTIF(Kendaraan!A:A,A203)&gt;0)</f>
        <v>1</v>
      </c>
    </row>
    <row r="204" spans="1:9" x14ac:dyDescent="0.45">
      <c r="A204" s="4">
        <v>45589</v>
      </c>
      <c r="B204" t="s">
        <v>2699</v>
      </c>
      <c r="C204" t="s">
        <v>2785</v>
      </c>
      <c r="D204" t="s">
        <v>1717</v>
      </c>
      <c r="E204" t="s">
        <v>1752</v>
      </c>
      <c r="F204" t="s">
        <v>1805</v>
      </c>
      <c r="G204" t="s">
        <v>13</v>
      </c>
      <c r="H204">
        <v>24</v>
      </c>
      <c r="I204" t="b">
        <f>AND(COUNTIF(CO!A:A,A204)&gt;0,COUNTIF('NO2'!A:A,A204)&gt;0,COUNTIF('O3'!A:A,A204)&gt;0,COUNTIF('PM10'!A:A,A204)&gt;0,COUNTIF('SO2'!A:A,A204)&gt;0,COUNTIF(Kendaraan!A:A,A204)&gt;0)</f>
        <v>1</v>
      </c>
    </row>
    <row r="205" spans="1:9" x14ac:dyDescent="0.45">
      <c r="A205" s="4">
        <v>45590</v>
      </c>
      <c r="B205" t="s">
        <v>946</v>
      </c>
      <c r="C205">
        <v>13</v>
      </c>
      <c r="D205" t="s">
        <v>1786</v>
      </c>
      <c r="E205" t="s">
        <v>1815</v>
      </c>
      <c r="F205" t="s">
        <v>1779</v>
      </c>
      <c r="G205" t="s">
        <v>3819</v>
      </c>
      <c r="H205">
        <v>24</v>
      </c>
      <c r="I205" t="b">
        <f>AND(COUNTIF(CO!A:A,A205)&gt;0,COUNTIF('NO2'!A:A,A205)&gt;0,COUNTIF('O3'!A:A,A205)&gt;0,COUNTIF('PM10'!A:A,A205)&gt;0,COUNTIF('SO2'!A:A,A205)&gt;0,COUNTIF(Kendaraan!A:A,A205)&gt;0)</f>
        <v>1</v>
      </c>
    </row>
    <row r="206" spans="1:9" x14ac:dyDescent="0.45">
      <c r="A206" s="4">
        <v>45591</v>
      </c>
      <c r="B206" t="s">
        <v>1306</v>
      </c>
      <c r="C206" t="s">
        <v>1193</v>
      </c>
      <c r="D206" t="s">
        <v>1313</v>
      </c>
      <c r="E206" t="s">
        <v>3795</v>
      </c>
      <c r="F206" t="s">
        <v>2385</v>
      </c>
      <c r="G206" t="s">
        <v>3382</v>
      </c>
      <c r="H206">
        <v>24</v>
      </c>
      <c r="I206" t="b">
        <f>AND(COUNTIF(CO!A:A,A206)&gt;0,COUNTIF('NO2'!A:A,A206)&gt;0,COUNTIF('O3'!A:A,A206)&gt;0,COUNTIF('PM10'!A:A,A206)&gt;0,COUNTIF('SO2'!A:A,A206)&gt;0,COUNTIF(Kendaraan!A:A,A206)&gt;0)</f>
        <v>1</v>
      </c>
    </row>
    <row r="207" spans="1:9" x14ac:dyDescent="0.45">
      <c r="A207" s="4">
        <v>45592</v>
      </c>
      <c r="B207" t="s">
        <v>1363</v>
      </c>
      <c r="C207" t="s">
        <v>2724</v>
      </c>
      <c r="D207" t="s">
        <v>1957</v>
      </c>
      <c r="E207" t="s">
        <v>1861</v>
      </c>
      <c r="F207" t="s">
        <v>2787</v>
      </c>
      <c r="G207" t="s">
        <v>1838</v>
      </c>
      <c r="H207">
        <v>24</v>
      </c>
      <c r="I207" t="b">
        <f>AND(COUNTIF(CO!A:A,A207)&gt;0,COUNTIF('NO2'!A:A,A207)&gt;0,COUNTIF('O3'!A:A,A207)&gt;0,COUNTIF('PM10'!A:A,A207)&gt;0,COUNTIF('SO2'!A:A,A207)&gt;0,COUNTIF(Kendaraan!A:A,A207)&gt;0)</f>
        <v>1</v>
      </c>
    </row>
    <row r="208" spans="1:9" x14ac:dyDescent="0.45">
      <c r="A208" s="4">
        <v>45593</v>
      </c>
      <c r="B208" t="s">
        <v>1301</v>
      </c>
      <c r="C208" t="s">
        <v>1186</v>
      </c>
      <c r="D208" t="s">
        <v>1977</v>
      </c>
      <c r="E208" t="s">
        <v>1374</v>
      </c>
      <c r="F208" t="s">
        <v>1961</v>
      </c>
      <c r="G208" t="s">
        <v>3820</v>
      </c>
      <c r="H208">
        <v>24</v>
      </c>
      <c r="I208" t="b">
        <f>AND(COUNTIF(CO!A:A,A208)&gt;0,COUNTIF('NO2'!A:A,A208)&gt;0,COUNTIF('O3'!A:A,A208)&gt;0,COUNTIF('PM10'!A:A,A208)&gt;0,COUNTIF('SO2'!A:A,A208)&gt;0,COUNTIF(Kendaraan!A:A,A208)&gt;0)</f>
        <v>1</v>
      </c>
    </row>
    <row r="209" spans="1:9" x14ac:dyDescent="0.45">
      <c r="A209" s="4">
        <v>45594</v>
      </c>
      <c r="B209" t="s">
        <v>1639</v>
      </c>
      <c r="C209" t="s">
        <v>1643</v>
      </c>
      <c r="D209" t="s">
        <v>1316</v>
      </c>
      <c r="E209" t="s">
        <v>2726</v>
      </c>
      <c r="F209" t="s">
        <v>1660</v>
      </c>
      <c r="G209" t="s">
        <v>206</v>
      </c>
      <c r="H209">
        <v>24</v>
      </c>
      <c r="I209" t="b">
        <f>AND(COUNTIF(CO!A:A,A209)&gt;0,COUNTIF('NO2'!A:A,A209)&gt;0,COUNTIF('O3'!A:A,A209)&gt;0,COUNTIF('PM10'!A:A,A209)&gt;0,COUNTIF('SO2'!A:A,A209)&gt;0,COUNTIF(Kendaraan!A:A,A209)&gt;0)</f>
        <v>1</v>
      </c>
    </row>
    <row r="210" spans="1:9" x14ac:dyDescent="0.45">
      <c r="A210" s="4">
        <v>45595</v>
      </c>
      <c r="B210" t="s">
        <v>1848</v>
      </c>
      <c r="C210" t="s">
        <v>1085</v>
      </c>
      <c r="D210" t="s">
        <v>2776</v>
      </c>
      <c r="E210" t="s">
        <v>2788</v>
      </c>
      <c r="F210" t="s">
        <v>2400</v>
      </c>
      <c r="G210" t="s">
        <v>2342</v>
      </c>
      <c r="H210">
        <v>24</v>
      </c>
      <c r="I210" t="b">
        <f>AND(COUNTIF(CO!A:A,A210)&gt;0,COUNTIF('NO2'!A:A,A210)&gt;0,COUNTIF('O3'!A:A,A210)&gt;0,COUNTIF('PM10'!A:A,A210)&gt;0,COUNTIF('SO2'!A:A,A210)&gt;0,COUNTIF(Kendaraan!A:A,A210)&gt;0)</f>
        <v>1</v>
      </c>
    </row>
    <row r="211" spans="1:9" x14ac:dyDescent="0.45">
      <c r="A211" s="4">
        <v>45596</v>
      </c>
      <c r="B211" t="s">
        <v>1136</v>
      </c>
      <c r="C211" t="s">
        <v>3025</v>
      </c>
      <c r="D211" t="s">
        <v>1180</v>
      </c>
      <c r="E211" t="s">
        <v>1090</v>
      </c>
      <c r="F211" t="s">
        <v>1128</v>
      </c>
      <c r="G211" t="s">
        <v>3207</v>
      </c>
      <c r="H211">
        <v>24</v>
      </c>
      <c r="I211" t="b">
        <f>AND(COUNTIF(CO!A:A,A211)&gt;0,COUNTIF('NO2'!A:A,A211)&gt;0,COUNTIF('O3'!A:A,A211)&gt;0,COUNTIF('PM10'!A:A,A211)&gt;0,COUNTIF('SO2'!A:A,A211)&gt;0,COUNTIF(Kendaraan!A:A,A211)&gt;0)</f>
        <v>1</v>
      </c>
    </row>
    <row r="212" spans="1:9" x14ac:dyDescent="0.45">
      <c r="A212" s="4">
        <v>45597</v>
      </c>
      <c r="B212" t="s">
        <v>1977</v>
      </c>
      <c r="C212" t="s">
        <v>3821</v>
      </c>
      <c r="D212" t="s">
        <v>1739</v>
      </c>
      <c r="E212" t="s">
        <v>1111</v>
      </c>
      <c r="F212" t="s">
        <v>3822</v>
      </c>
      <c r="G212" s="1">
        <v>7042</v>
      </c>
      <c r="H212">
        <v>24</v>
      </c>
      <c r="I212" t="b">
        <f>AND(COUNTIF(CO!A:A,A212)&gt;0,COUNTIF('NO2'!A:A,A212)&gt;0,COUNTIF('O3'!A:A,A212)&gt;0,COUNTIF('PM10'!A:A,A212)&gt;0,COUNTIF('SO2'!A:A,A212)&gt;0,COUNTIF(Kendaraan!A:A,A212)&gt;0)</f>
        <v>1</v>
      </c>
    </row>
    <row r="213" spans="1:9" x14ac:dyDescent="0.45">
      <c r="A213" s="4">
        <v>45598</v>
      </c>
      <c r="B213" t="s">
        <v>1589</v>
      </c>
      <c r="C213" t="s">
        <v>3823</v>
      </c>
      <c r="D213" t="s">
        <v>3663</v>
      </c>
      <c r="E213" t="s">
        <v>1415</v>
      </c>
      <c r="F213" t="s">
        <v>3824</v>
      </c>
      <c r="G213" s="1">
        <v>6296</v>
      </c>
      <c r="H213">
        <v>24</v>
      </c>
      <c r="I213" t="b">
        <f>AND(COUNTIF(CO!A:A,A213)&gt;0,COUNTIF('NO2'!A:A,A213)&gt;0,COUNTIF('O3'!A:A,A213)&gt;0,COUNTIF('PM10'!A:A,A213)&gt;0,COUNTIF('SO2'!A:A,A213)&gt;0,COUNTIF(Kendaraan!A:A,A213)&gt;0)</f>
        <v>1</v>
      </c>
    </row>
    <row r="214" spans="1:9" x14ac:dyDescent="0.45">
      <c r="A214" s="4">
        <v>45599</v>
      </c>
      <c r="B214" t="s">
        <v>1448</v>
      </c>
      <c r="C214" t="s">
        <v>1572</v>
      </c>
      <c r="D214" t="s">
        <v>3825</v>
      </c>
      <c r="E214" t="s">
        <v>3519</v>
      </c>
      <c r="F214" t="s">
        <v>3504</v>
      </c>
      <c r="G214" s="1">
        <v>1145</v>
      </c>
      <c r="H214">
        <v>24</v>
      </c>
      <c r="I214" t="b">
        <f>AND(COUNTIF(CO!A:A,A214)&gt;0,COUNTIF('NO2'!A:A,A214)&gt;0,COUNTIF('O3'!A:A,A214)&gt;0,COUNTIF('PM10'!A:A,A214)&gt;0,COUNTIF('SO2'!A:A,A214)&gt;0,COUNTIF(Kendaraan!A:A,A214)&gt;0)</f>
        <v>1</v>
      </c>
    </row>
    <row r="215" spans="1:9" x14ac:dyDescent="0.45">
      <c r="A215" s="4">
        <v>45600</v>
      </c>
      <c r="B215" t="s">
        <v>1246</v>
      </c>
      <c r="C215" t="s">
        <v>1406</v>
      </c>
      <c r="D215" t="s">
        <v>1623</v>
      </c>
      <c r="E215" t="s">
        <v>1487</v>
      </c>
      <c r="F215" t="s">
        <v>676</v>
      </c>
      <c r="G215" t="s">
        <v>89</v>
      </c>
      <c r="H215">
        <v>24</v>
      </c>
      <c r="I215" t="b">
        <f>AND(COUNTIF(CO!A:A,A215)&gt;0,COUNTIF('NO2'!A:A,A215)&gt;0,COUNTIF('O3'!A:A,A215)&gt;0,COUNTIF('PM10'!A:A,A215)&gt;0,COUNTIF('SO2'!A:A,A215)&gt;0,COUNTIF(Kendaraan!A:A,A215)&gt;0)</f>
        <v>1</v>
      </c>
    </row>
    <row r="216" spans="1:9" x14ac:dyDescent="0.45">
      <c r="A216" s="4">
        <v>45601</v>
      </c>
      <c r="B216" t="s">
        <v>1936</v>
      </c>
      <c r="C216" t="s">
        <v>1241</v>
      </c>
      <c r="D216" t="s">
        <v>3467</v>
      </c>
      <c r="E216" t="s">
        <v>3144</v>
      </c>
      <c r="F216" t="s">
        <v>1251</v>
      </c>
      <c r="G216" t="s">
        <v>3184</v>
      </c>
      <c r="H216">
        <v>24</v>
      </c>
      <c r="I216" t="b">
        <f>AND(COUNTIF(CO!A:A,A216)&gt;0,COUNTIF('NO2'!A:A,A216)&gt;0,COUNTIF('O3'!A:A,A216)&gt;0,COUNTIF('PM10'!A:A,A216)&gt;0,COUNTIF('SO2'!A:A,A216)&gt;0,COUNTIF(Kendaraan!A:A,A216)&gt;0)</f>
        <v>1</v>
      </c>
    </row>
    <row r="217" spans="1:9" x14ac:dyDescent="0.45">
      <c r="A217" s="4">
        <v>45602</v>
      </c>
      <c r="B217" t="s">
        <v>1239</v>
      </c>
      <c r="C217" t="s">
        <v>3662</v>
      </c>
      <c r="D217" t="s">
        <v>2975</v>
      </c>
      <c r="E217" t="s">
        <v>3122</v>
      </c>
      <c r="F217" t="s">
        <v>2025</v>
      </c>
      <c r="G217" s="1">
        <v>4251</v>
      </c>
      <c r="H217">
        <v>24</v>
      </c>
      <c r="I217" t="b">
        <f>AND(COUNTIF(CO!A:A,A217)&gt;0,COUNTIF('NO2'!A:A,A217)&gt;0,COUNTIF('O3'!A:A,A217)&gt;0,COUNTIF('PM10'!A:A,A217)&gt;0,COUNTIF('SO2'!A:A,A217)&gt;0,COUNTIF(Kendaraan!A:A,A217)&gt;0)</f>
        <v>1</v>
      </c>
    </row>
    <row r="218" spans="1:9" x14ac:dyDescent="0.45">
      <c r="A218" s="4">
        <v>45603</v>
      </c>
      <c r="B218" t="s">
        <v>2561</v>
      </c>
      <c r="C218" t="s">
        <v>3826</v>
      </c>
      <c r="D218" t="s">
        <v>3827</v>
      </c>
      <c r="E218" t="s">
        <v>3309</v>
      </c>
      <c r="F218" t="s">
        <v>3828</v>
      </c>
      <c r="G218" s="1">
        <v>2726</v>
      </c>
      <c r="H218">
        <v>24</v>
      </c>
      <c r="I218" t="b">
        <f>AND(COUNTIF(CO!A:A,A218)&gt;0,COUNTIF('NO2'!A:A,A218)&gt;0,COUNTIF('O3'!A:A,A218)&gt;0,COUNTIF('PM10'!A:A,A218)&gt;0,COUNTIF('SO2'!A:A,A218)&gt;0,COUNTIF(Kendaraan!A:A,A218)&gt;0)</f>
        <v>1</v>
      </c>
    </row>
    <row r="219" spans="1:9" x14ac:dyDescent="0.45">
      <c r="A219" s="4">
        <v>45604</v>
      </c>
      <c r="B219" t="s">
        <v>482</v>
      </c>
      <c r="C219" t="s">
        <v>3668</v>
      </c>
      <c r="D219" t="s">
        <v>836</v>
      </c>
      <c r="E219" t="s">
        <v>864</v>
      </c>
      <c r="F219" t="s">
        <v>3319</v>
      </c>
      <c r="G219" s="1">
        <v>1279</v>
      </c>
      <c r="H219">
        <v>24</v>
      </c>
      <c r="I219" t="b">
        <f>AND(COUNTIF(CO!A:A,A219)&gt;0,COUNTIF('NO2'!A:A,A219)&gt;0,COUNTIF('O3'!A:A,A219)&gt;0,COUNTIF('PM10'!A:A,A219)&gt;0,COUNTIF('SO2'!A:A,A219)&gt;0,COUNTIF(Kendaraan!A:A,A219)&gt;0)</f>
        <v>1</v>
      </c>
    </row>
    <row r="220" spans="1:9" x14ac:dyDescent="0.45">
      <c r="A220" s="4">
        <v>45605</v>
      </c>
      <c r="B220" t="s">
        <v>1510</v>
      </c>
      <c r="C220" t="s">
        <v>657</v>
      </c>
      <c r="D220" t="s">
        <v>3243</v>
      </c>
      <c r="E220" t="s">
        <v>932</v>
      </c>
      <c r="F220" t="s">
        <v>869</v>
      </c>
      <c r="G220" s="1">
        <v>2176</v>
      </c>
      <c r="H220">
        <v>24</v>
      </c>
      <c r="I220" t="b">
        <f>AND(COUNTIF(CO!A:A,A220)&gt;0,COUNTIF('NO2'!A:A,A220)&gt;0,COUNTIF('O3'!A:A,A220)&gt;0,COUNTIF('PM10'!A:A,A220)&gt;0,COUNTIF('SO2'!A:A,A220)&gt;0,COUNTIF(Kendaraan!A:A,A220)&gt;0)</f>
        <v>1</v>
      </c>
    </row>
    <row r="221" spans="1:9" x14ac:dyDescent="0.45">
      <c r="A221" s="4">
        <v>45606</v>
      </c>
      <c r="B221" t="s">
        <v>1725</v>
      </c>
      <c r="C221" t="s">
        <v>1225</v>
      </c>
      <c r="D221" t="s">
        <v>1127</v>
      </c>
      <c r="E221" t="s">
        <v>2758</v>
      </c>
      <c r="F221" t="s">
        <v>1628</v>
      </c>
      <c r="G221" t="s">
        <v>796</v>
      </c>
      <c r="H221">
        <v>24</v>
      </c>
      <c r="I221" t="b">
        <f>AND(COUNTIF(CO!A:A,A221)&gt;0,COUNTIF('NO2'!A:A,A221)&gt;0,COUNTIF('O3'!A:A,A221)&gt;0,COUNTIF('PM10'!A:A,A221)&gt;0,COUNTIF('SO2'!A:A,A221)&gt;0,COUNTIF(Kendaraan!A:A,A221)&gt;0)</f>
        <v>1</v>
      </c>
    </row>
    <row r="222" spans="1:9" x14ac:dyDescent="0.45">
      <c r="A222" s="4">
        <v>45607</v>
      </c>
      <c r="B222" t="s">
        <v>1240</v>
      </c>
      <c r="C222" t="s">
        <v>2879</v>
      </c>
      <c r="D222" t="s">
        <v>1978</v>
      </c>
      <c r="E222" t="s">
        <v>3829</v>
      </c>
      <c r="F222" t="s">
        <v>3742</v>
      </c>
      <c r="G222" s="1">
        <v>2031</v>
      </c>
      <c r="H222">
        <v>24</v>
      </c>
      <c r="I222" t="b">
        <f>AND(COUNTIF(CO!A:A,A222)&gt;0,COUNTIF('NO2'!A:A,A222)&gt;0,COUNTIF('O3'!A:A,A222)&gt;0,COUNTIF('PM10'!A:A,A222)&gt;0,COUNTIF('SO2'!A:A,A222)&gt;0,COUNTIF(Kendaraan!A:A,A222)&gt;0)</f>
        <v>1</v>
      </c>
    </row>
    <row r="223" spans="1:9" x14ac:dyDescent="0.45">
      <c r="A223" s="4">
        <v>45608</v>
      </c>
      <c r="B223" t="s">
        <v>1557</v>
      </c>
      <c r="C223" t="s">
        <v>3830</v>
      </c>
      <c r="D223" t="s">
        <v>3545</v>
      </c>
      <c r="E223" t="s">
        <v>3831</v>
      </c>
      <c r="F223" t="s">
        <v>3832</v>
      </c>
      <c r="G223" s="1">
        <v>8605</v>
      </c>
      <c r="H223">
        <v>24</v>
      </c>
      <c r="I223" t="b">
        <f>AND(COUNTIF(CO!A:A,A223)&gt;0,COUNTIF('NO2'!A:A,A223)&gt;0,COUNTIF('O3'!A:A,A223)&gt;0,COUNTIF('PM10'!A:A,A223)&gt;0,COUNTIF('SO2'!A:A,A223)&gt;0,COUNTIF(Kendaraan!A:A,A223)&gt;0)</f>
        <v>1</v>
      </c>
    </row>
    <row r="224" spans="1:9" x14ac:dyDescent="0.45">
      <c r="A224" s="4">
        <v>45609</v>
      </c>
      <c r="B224" t="s">
        <v>3833</v>
      </c>
      <c r="C224" t="s">
        <v>3834</v>
      </c>
      <c r="D224" t="s">
        <v>3835</v>
      </c>
      <c r="E224" t="s">
        <v>3836</v>
      </c>
      <c r="F224" t="s">
        <v>3837</v>
      </c>
      <c r="G224" s="1">
        <v>2853</v>
      </c>
      <c r="H224">
        <v>24</v>
      </c>
      <c r="I224" t="b">
        <f>AND(COUNTIF(CO!A:A,A224)&gt;0,COUNTIF('NO2'!A:A,A224)&gt;0,COUNTIF('O3'!A:A,A224)&gt;0,COUNTIF('PM10'!A:A,A224)&gt;0,COUNTIF('SO2'!A:A,A224)&gt;0,COUNTIF(Kendaraan!A:A,A224)&gt;0)</f>
        <v>1</v>
      </c>
    </row>
    <row r="225" spans="1:9" x14ac:dyDescent="0.45">
      <c r="A225" s="4">
        <v>45610</v>
      </c>
      <c r="B225" t="s">
        <v>3838</v>
      </c>
      <c r="C225" t="s">
        <v>3839</v>
      </c>
      <c r="D225" t="s">
        <v>3840</v>
      </c>
      <c r="E225" t="s">
        <v>3841</v>
      </c>
      <c r="F225" t="s">
        <v>2114</v>
      </c>
      <c r="G225" s="1">
        <v>1501</v>
      </c>
      <c r="H225">
        <v>24</v>
      </c>
      <c r="I225" t="b">
        <f>AND(COUNTIF(CO!A:A,A225)&gt;0,COUNTIF('NO2'!A:A,A225)&gt;0,COUNTIF('O3'!A:A,A225)&gt;0,COUNTIF('PM10'!A:A,A225)&gt;0,COUNTIF('SO2'!A:A,A225)&gt;0,COUNTIF(Kendaraan!A:A,A225)&gt;0)</f>
        <v>1</v>
      </c>
    </row>
    <row r="226" spans="1:9" x14ac:dyDescent="0.45">
      <c r="A226" s="4">
        <v>45611</v>
      </c>
      <c r="B226" t="s">
        <v>3842</v>
      </c>
      <c r="C226" t="s">
        <v>2103</v>
      </c>
      <c r="D226" t="s">
        <v>3843</v>
      </c>
      <c r="E226" t="s">
        <v>3844</v>
      </c>
      <c r="F226" t="s">
        <v>3845</v>
      </c>
      <c r="G226" s="1">
        <v>2822</v>
      </c>
      <c r="H226">
        <v>24</v>
      </c>
      <c r="I226" t="b">
        <f>AND(COUNTIF(CO!A:A,A226)&gt;0,COUNTIF('NO2'!A:A,A226)&gt;0,COUNTIF('O3'!A:A,A226)&gt;0,COUNTIF('PM10'!A:A,A226)&gt;0,COUNTIF('SO2'!A:A,A226)&gt;0,COUNTIF(Kendaraan!A:A,A226)&gt;0)</f>
        <v>1</v>
      </c>
    </row>
    <row r="227" spans="1:9" x14ac:dyDescent="0.45">
      <c r="A227" s="4">
        <v>45612</v>
      </c>
      <c r="B227">
        <v>54</v>
      </c>
      <c r="C227" t="s">
        <v>3846</v>
      </c>
      <c r="D227" t="s">
        <v>3847</v>
      </c>
      <c r="E227" t="s">
        <v>3848</v>
      </c>
      <c r="F227" t="s">
        <v>3849</v>
      </c>
      <c r="G227" s="1">
        <v>5641</v>
      </c>
      <c r="H227">
        <v>24</v>
      </c>
      <c r="I227" t="b">
        <f>AND(COUNTIF(CO!A:A,A227)&gt;0,COUNTIF('NO2'!A:A,A227)&gt;0,COUNTIF('O3'!A:A,A227)&gt;0,COUNTIF('PM10'!A:A,A227)&gt;0,COUNTIF('SO2'!A:A,A227)&gt;0,COUNTIF(Kendaraan!A:A,A227)&gt;0)</f>
        <v>1</v>
      </c>
    </row>
    <row r="228" spans="1:9" x14ac:dyDescent="0.45">
      <c r="A228" s="4">
        <v>45613</v>
      </c>
      <c r="B228" t="s">
        <v>3850</v>
      </c>
      <c r="C228" t="s">
        <v>3851</v>
      </c>
      <c r="D228" t="s">
        <v>3852</v>
      </c>
      <c r="E228" t="s">
        <v>3853</v>
      </c>
      <c r="F228" t="s">
        <v>3854</v>
      </c>
      <c r="G228" s="1">
        <v>8189</v>
      </c>
      <c r="H228">
        <v>24</v>
      </c>
      <c r="I228" t="b">
        <f>AND(COUNTIF(CO!A:A,A228)&gt;0,COUNTIF('NO2'!A:A,A228)&gt;0,COUNTIF('O3'!A:A,A228)&gt;0,COUNTIF('PM10'!A:A,A228)&gt;0,COUNTIF('SO2'!A:A,A228)&gt;0,COUNTIF(Kendaraan!A:A,A228)&gt;0)</f>
        <v>1</v>
      </c>
    </row>
    <row r="229" spans="1:9" x14ac:dyDescent="0.45">
      <c r="A229" s="4">
        <v>45614</v>
      </c>
      <c r="B229" t="s">
        <v>1199</v>
      </c>
      <c r="C229" t="s">
        <v>3656</v>
      </c>
      <c r="D229" t="s">
        <v>851</v>
      </c>
      <c r="E229" t="s">
        <v>876</v>
      </c>
      <c r="F229" t="s">
        <v>2037</v>
      </c>
      <c r="G229" t="s">
        <v>3855</v>
      </c>
      <c r="H229">
        <v>24</v>
      </c>
      <c r="I229" t="b">
        <f>AND(COUNTIF(CO!A:A,A229)&gt;0,COUNTIF('NO2'!A:A,A229)&gt;0,COUNTIF('O3'!A:A,A229)&gt;0,COUNTIF('PM10'!A:A,A229)&gt;0,COUNTIF('SO2'!A:A,A229)&gt;0,COUNTIF(Kendaraan!A:A,A229)&gt;0)</f>
        <v>1</v>
      </c>
    </row>
    <row r="230" spans="1:9" x14ac:dyDescent="0.45">
      <c r="A230" s="4">
        <v>45615</v>
      </c>
      <c r="B230" t="s">
        <v>1146</v>
      </c>
      <c r="C230" t="s">
        <v>3522</v>
      </c>
      <c r="D230" t="s">
        <v>3224</v>
      </c>
      <c r="E230" t="s">
        <v>1630</v>
      </c>
      <c r="F230" t="s">
        <v>1041</v>
      </c>
      <c r="G230" t="s">
        <v>3529</v>
      </c>
      <c r="H230">
        <v>24</v>
      </c>
      <c r="I230" t="b">
        <f>AND(COUNTIF(CO!A:A,A230)&gt;0,COUNTIF('NO2'!A:A,A230)&gt;0,COUNTIF('O3'!A:A,A230)&gt;0,COUNTIF('PM10'!A:A,A230)&gt;0,COUNTIF('SO2'!A:A,A230)&gt;0,COUNTIF(Kendaraan!A:A,A230)&gt;0)</f>
        <v>1</v>
      </c>
    </row>
    <row r="231" spans="1:9" x14ac:dyDescent="0.45">
      <c r="A231" s="4">
        <v>45616</v>
      </c>
      <c r="B231" t="s">
        <v>2782</v>
      </c>
      <c r="C231" t="s">
        <v>1131</v>
      </c>
      <c r="D231" t="s">
        <v>1140</v>
      </c>
      <c r="E231" t="s">
        <v>1431</v>
      </c>
      <c r="F231" t="s">
        <v>2408</v>
      </c>
      <c r="G231" t="s">
        <v>2891</v>
      </c>
      <c r="H231">
        <v>24</v>
      </c>
      <c r="I231" t="b">
        <f>AND(COUNTIF(CO!A:A,A231)&gt;0,COUNTIF('NO2'!A:A,A231)&gt;0,COUNTIF('O3'!A:A,A231)&gt;0,COUNTIF('PM10'!A:A,A231)&gt;0,COUNTIF('SO2'!A:A,A231)&gt;0,COUNTIF(Kendaraan!A:A,A231)&gt;0)</f>
        <v>1</v>
      </c>
    </row>
    <row r="232" spans="1:9" x14ac:dyDescent="0.45">
      <c r="A232" s="4">
        <v>45617</v>
      </c>
      <c r="B232">
        <v>14</v>
      </c>
      <c r="C232" t="s">
        <v>1627</v>
      </c>
      <c r="D232">
        <v>16</v>
      </c>
      <c r="E232" t="s">
        <v>1730</v>
      </c>
      <c r="F232" t="s">
        <v>930</v>
      </c>
      <c r="G232" s="1">
        <v>2057</v>
      </c>
      <c r="H232">
        <v>24</v>
      </c>
      <c r="I232" t="b">
        <f>AND(COUNTIF(CO!A:A,A232)&gt;0,COUNTIF('NO2'!A:A,A232)&gt;0,COUNTIF('O3'!A:A,A232)&gt;0,COUNTIF('PM10'!A:A,A232)&gt;0,COUNTIF('SO2'!A:A,A232)&gt;0,COUNTIF(Kendaraan!A:A,A232)&gt;0)</f>
        <v>1</v>
      </c>
    </row>
    <row r="233" spans="1:9" x14ac:dyDescent="0.45">
      <c r="A233" s="4">
        <v>45618</v>
      </c>
      <c r="B233" t="s">
        <v>2382</v>
      </c>
      <c r="C233" t="s">
        <v>665</v>
      </c>
      <c r="D233" t="s">
        <v>1995</v>
      </c>
      <c r="E233" t="s">
        <v>3856</v>
      </c>
      <c r="F233" t="s">
        <v>1417</v>
      </c>
      <c r="G233" s="1">
        <v>1246</v>
      </c>
      <c r="H233">
        <v>24</v>
      </c>
      <c r="I233" t="b">
        <f>AND(COUNTIF(CO!A:A,A233)&gt;0,COUNTIF('NO2'!A:A,A233)&gt;0,COUNTIF('O3'!A:A,A233)&gt;0,COUNTIF('PM10'!A:A,A233)&gt;0,COUNTIF('SO2'!A:A,A233)&gt;0,COUNTIF(Kendaraan!A:A,A233)&gt;0)</f>
        <v>1</v>
      </c>
    </row>
    <row r="234" spans="1:9" x14ac:dyDescent="0.45">
      <c r="A234" s="4">
        <v>45619</v>
      </c>
      <c r="B234" t="s">
        <v>673</v>
      </c>
      <c r="C234" t="s">
        <v>570</v>
      </c>
      <c r="D234" t="s">
        <v>3153</v>
      </c>
      <c r="E234" t="s">
        <v>433</v>
      </c>
      <c r="F234">
        <v>26</v>
      </c>
      <c r="G234" s="1">
        <v>1171</v>
      </c>
      <c r="H234">
        <v>24</v>
      </c>
      <c r="I234" t="b">
        <f>AND(COUNTIF(CO!A:A,A234)&gt;0,COUNTIF('NO2'!A:A,A234)&gt;0,COUNTIF('O3'!A:A,A234)&gt;0,COUNTIF('PM10'!A:A,A234)&gt;0,COUNTIF('SO2'!A:A,A234)&gt;0,COUNTIF(Kendaraan!A:A,A234)&gt;0)</f>
        <v>1</v>
      </c>
    </row>
    <row r="235" spans="1:9" x14ac:dyDescent="0.45">
      <c r="A235" s="4">
        <v>45620</v>
      </c>
      <c r="B235" t="s">
        <v>572</v>
      </c>
      <c r="C235" t="s">
        <v>2884</v>
      </c>
      <c r="D235" t="s">
        <v>2831</v>
      </c>
      <c r="E235" t="s">
        <v>3857</v>
      </c>
      <c r="F235" t="s">
        <v>3858</v>
      </c>
      <c r="G235" s="1">
        <v>2182</v>
      </c>
      <c r="H235">
        <v>24</v>
      </c>
      <c r="I235" t="b">
        <f>AND(COUNTIF(CO!A:A,A235)&gt;0,COUNTIF('NO2'!A:A,A235)&gt;0,COUNTIF('O3'!A:A,A235)&gt;0,COUNTIF('PM10'!A:A,A235)&gt;0,COUNTIF('SO2'!A:A,A235)&gt;0,COUNTIF(Kendaraan!A:A,A235)&gt;0)</f>
        <v>1</v>
      </c>
    </row>
    <row r="236" spans="1:9" x14ac:dyDescent="0.45">
      <c r="A236" s="4">
        <v>45621</v>
      </c>
      <c r="B236" t="s">
        <v>1573</v>
      </c>
      <c r="C236" t="s">
        <v>2330</v>
      </c>
      <c r="D236" t="s">
        <v>2970</v>
      </c>
      <c r="E236" t="s">
        <v>3275</v>
      </c>
      <c r="F236" t="s">
        <v>3273</v>
      </c>
      <c r="G236" s="1">
        <v>2386</v>
      </c>
      <c r="H236">
        <v>21</v>
      </c>
      <c r="I236" t="b">
        <f>AND(COUNTIF(CO!A:A,A236)&gt;0,COUNTIF('NO2'!A:A,A236)&gt;0,COUNTIF('O3'!A:A,A236)&gt;0,COUNTIF('PM10'!A:A,A236)&gt;0,COUNTIF('SO2'!A:A,A236)&gt;0,COUNTIF(Kendaraan!A:A,A236)&gt;0)</f>
        <v>1</v>
      </c>
    </row>
    <row r="237" spans="1:9" x14ac:dyDescent="0.45">
      <c r="A237" s="4">
        <v>45622</v>
      </c>
      <c r="B237" t="s">
        <v>1708</v>
      </c>
      <c r="C237" t="s">
        <v>521</v>
      </c>
      <c r="D237" t="s">
        <v>3169</v>
      </c>
      <c r="E237" t="s">
        <v>2779</v>
      </c>
      <c r="F237" t="s">
        <v>3641</v>
      </c>
      <c r="G237" s="1">
        <v>3998</v>
      </c>
      <c r="H237">
        <v>24</v>
      </c>
      <c r="I237" t="b">
        <f>AND(COUNTIF(CO!A:A,A237)&gt;0,COUNTIF('NO2'!A:A,A237)&gt;0,COUNTIF('O3'!A:A,A237)&gt;0,COUNTIF('PM10'!A:A,A237)&gt;0,COUNTIF('SO2'!A:A,A237)&gt;0,COUNTIF(Kendaraan!A:A,A237)&gt;0)</f>
        <v>1</v>
      </c>
    </row>
    <row r="238" spans="1:9" x14ac:dyDescent="0.45">
      <c r="A238" s="4">
        <v>45623</v>
      </c>
      <c r="B238" t="s">
        <v>943</v>
      </c>
      <c r="C238" t="s">
        <v>1780</v>
      </c>
      <c r="D238" t="s">
        <v>739</v>
      </c>
      <c r="E238" t="s">
        <v>701</v>
      </c>
      <c r="F238" t="s">
        <v>752</v>
      </c>
      <c r="G238" s="1">
        <v>1315</v>
      </c>
      <c r="H238">
        <v>24</v>
      </c>
      <c r="I238" t="b">
        <f>AND(COUNTIF(CO!A:A,A238)&gt;0,COUNTIF('NO2'!A:A,A238)&gt;0,COUNTIF('O3'!A:A,A238)&gt;0,COUNTIF('PM10'!A:A,A238)&gt;0,COUNTIF('SO2'!A:A,A238)&gt;0,COUNTIF(Kendaraan!A:A,A238)&gt;0)</f>
        <v>1</v>
      </c>
    </row>
    <row r="239" spans="1:9" x14ac:dyDescent="0.45">
      <c r="A239" s="4">
        <v>45624</v>
      </c>
      <c r="B239" t="s">
        <v>1691</v>
      </c>
      <c r="C239" t="s">
        <v>3646</v>
      </c>
      <c r="D239" t="s">
        <v>3859</v>
      </c>
      <c r="E239" t="s">
        <v>2085</v>
      </c>
      <c r="F239" t="s">
        <v>3860</v>
      </c>
      <c r="G239" s="1">
        <v>1416</v>
      </c>
      <c r="H239">
        <v>24</v>
      </c>
      <c r="I239" t="b">
        <f>AND(COUNTIF(CO!A:A,A239)&gt;0,COUNTIF('NO2'!A:A,A239)&gt;0,COUNTIF('O3'!A:A,A239)&gt;0,COUNTIF('PM10'!A:A,A239)&gt;0,COUNTIF('SO2'!A:A,A239)&gt;0,COUNTIF(Kendaraan!A:A,A239)&gt;0)</f>
        <v>1</v>
      </c>
    </row>
    <row r="240" spans="1:9" x14ac:dyDescent="0.45">
      <c r="A240" s="4">
        <v>45625</v>
      </c>
      <c r="B240" t="s">
        <v>3629</v>
      </c>
      <c r="C240" t="s">
        <v>357</v>
      </c>
      <c r="D240" t="s">
        <v>1916</v>
      </c>
      <c r="E240" t="s">
        <v>1814</v>
      </c>
      <c r="F240" t="s">
        <v>1763</v>
      </c>
      <c r="G240" s="1">
        <v>1032</v>
      </c>
      <c r="H240">
        <v>24</v>
      </c>
      <c r="I240" t="b">
        <f>AND(COUNTIF(CO!A:A,A240)&gt;0,COUNTIF('NO2'!A:A,A240)&gt;0,COUNTIF('O3'!A:A,A240)&gt;0,COUNTIF('PM10'!A:A,A240)&gt;0,COUNTIF('SO2'!A:A,A240)&gt;0,COUNTIF(Kendaraan!A:A,A240)&gt;0)</f>
        <v>1</v>
      </c>
    </row>
    <row r="241" spans="1:9" x14ac:dyDescent="0.45">
      <c r="A241" s="4">
        <v>45626</v>
      </c>
      <c r="B241" t="s">
        <v>1794</v>
      </c>
      <c r="C241" t="s">
        <v>1826</v>
      </c>
      <c r="D241" t="s">
        <v>3861</v>
      </c>
      <c r="E241" t="s">
        <v>1967</v>
      </c>
      <c r="F241" t="s">
        <v>3862</v>
      </c>
      <c r="G241" t="s">
        <v>3863</v>
      </c>
      <c r="H241">
        <v>24</v>
      </c>
      <c r="I241" t="b">
        <f>AND(COUNTIF(CO!A:A,A241)&gt;0,COUNTIF('NO2'!A:A,A241)&gt;0,COUNTIF('O3'!A:A,A241)&gt;0,COUNTIF('PM10'!A:A,A241)&gt;0,COUNTIF('SO2'!A:A,A241)&gt;0,COUNTIF(Kendaraan!A:A,A241)&gt;0)</f>
        <v>1</v>
      </c>
    </row>
    <row r="242" spans="1:9" x14ac:dyDescent="0.45">
      <c r="A242" s="4">
        <v>45627</v>
      </c>
      <c r="B242" t="s">
        <v>3626</v>
      </c>
      <c r="C242" t="s">
        <v>3084</v>
      </c>
      <c r="D242" t="s">
        <v>2080</v>
      </c>
      <c r="E242" t="s">
        <v>3864</v>
      </c>
      <c r="F242">
        <v>6</v>
      </c>
      <c r="G242" t="s">
        <v>3865</v>
      </c>
      <c r="H242">
        <v>24</v>
      </c>
      <c r="I242" t="b">
        <f>AND(COUNTIF(CO!A:A,A242)&gt;0,COUNTIF('NO2'!A:A,A242)&gt;0,COUNTIF('O3'!A:A,A242)&gt;0,COUNTIF('PM10'!A:A,A242)&gt;0,COUNTIF('SO2'!A:A,A242)&gt;0,COUNTIF(Kendaraan!A:A,A242)&gt;0)</f>
        <v>1</v>
      </c>
    </row>
    <row r="243" spans="1:9" x14ac:dyDescent="0.45">
      <c r="A243" s="4">
        <v>45628</v>
      </c>
      <c r="B243" t="s">
        <v>1766</v>
      </c>
      <c r="C243" t="s">
        <v>1915</v>
      </c>
      <c r="D243" t="s">
        <v>1969</v>
      </c>
      <c r="E243" t="s">
        <v>1821</v>
      </c>
      <c r="F243" t="s">
        <v>1591</v>
      </c>
      <c r="G243" t="s">
        <v>3866</v>
      </c>
      <c r="H243">
        <v>24</v>
      </c>
      <c r="I243" t="b">
        <f>AND(COUNTIF(CO!A:A,A243)&gt;0,COUNTIF('NO2'!A:A,A243)&gt;0,COUNTIF('O3'!A:A,A243)&gt;0,COUNTIF('PM10'!A:A,A243)&gt;0,COUNTIF('SO2'!A:A,A243)&gt;0,COUNTIF(Kendaraan!A:A,A243)&gt;0)</f>
        <v>1</v>
      </c>
    </row>
    <row r="244" spans="1:9" x14ac:dyDescent="0.45">
      <c r="A244" s="4">
        <v>45629</v>
      </c>
      <c r="B244" t="s">
        <v>1757</v>
      </c>
      <c r="C244" t="s">
        <v>3867</v>
      </c>
      <c r="D244" t="s">
        <v>3128</v>
      </c>
      <c r="E244" t="s">
        <v>1907</v>
      </c>
      <c r="F244" t="s">
        <v>3039</v>
      </c>
      <c r="G244" t="s">
        <v>3868</v>
      </c>
      <c r="H244">
        <v>24</v>
      </c>
      <c r="I244" t="b">
        <f>AND(COUNTIF(CO!A:A,A244)&gt;0,COUNTIF('NO2'!A:A,A244)&gt;0,COUNTIF('O3'!A:A,A244)&gt;0,COUNTIF('PM10'!A:A,A244)&gt;0,COUNTIF('SO2'!A:A,A244)&gt;0,COUNTIF(Kendaraan!A:A,A244)&gt;0)</f>
        <v>1</v>
      </c>
    </row>
    <row r="245" spans="1:9" x14ac:dyDescent="0.45">
      <c r="A245" s="4">
        <v>45630</v>
      </c>
      <c r="B245" t="s">
        <v>2151</v>
      </c>
      <c r="C245" t="s">
        <v>1183</v>
      </c>
      <c r="D245" t="s">
        <v>1322</v>
      </c>
      <c r="E245" t="s">
        <v>3397</v>
      </c>
      <c r="F245" t="s">
        <v>2737</v>
      </c>
      <c r="G245" s="1">
        <v>3033</v>
      </c>
      <c r="H245">
        <v>24</v>
      </c>
      <c r="I245" t="b">
        <f>AND(COUNTIF(CO!A:A,A245)&gt;0,COUNTIF('NO2'!A:A,A245)&gt;0,COUNTIF('O3'!A:A,A245)&gt;0,COUNTIF('PM10'!A:A,A245)&gt;0,COUNTIF('SO2'!A:A,A245)&gt;0,COUNTIF(Kendaraan!A:A,A245)&gt;0)</f>
        <v>1</v>
      </c>
    </row>
    <row r="246" spans="1:9" x14ac:dyDescent="0.45">
      <c r="A246" s="4">
        <v>45631</v>
      </c>
      <c r="B246" t="s">
        <v>1299</v>
      </c>
      <c r="C246" t="s">
        <v>867</v>
      </c>
      <c r="D246" t="s">
        <v>1092</v>
      </c>
      <c r="E246" t="s">
        <v>1330</v>
      </c>
      <c r="F246" t="s">
        <v>1118</v>
      </c>
      <c r="G246" s="1">
        <v>1951</v>
      </c>
      <c r="H246">
        <v>24</v>
      </c>
      <c r="I246" t="b">
        <f>AND(COUNTIF(CO!A:A,A246)&gt;0,COUNTIF('NO2'!A:A,A246)&gt;0,COUNTIF('O3'!A:A,A246)&gt;0,COUNTIF('PM10'!A:A,A246)&gt;0,COUNTIF('SO2'!A:A,A246)&gt;0,COUNTIF(Kendaraan!A:A,A246)&gt;0)</f>
        <v>1</v>
      </c>
    </row>
    <row r="247" spans="1:9" x14ac:dyDescent="0.45">
      <c r="A247" s="4">
        <v>45632</v>
      </c>
      <c r="B247" t="s">
        <v>434</v>
      </c>
      <c r="C247" t="s">
        <v>3869</v>
      </c>
      <c r="D247" t="s">
        <v>3870</v>
      </c>
      <c r="E247" t="s">
        <v>2306</v>
      </c>
      <c r="F247" t="s">
        <v>3871</v>
      </c>
      <c r="G247" s="1">
        <v>3987</v>
      </c>
      <c r="H247">
        <v>24</v>
      </c>
      <c r="I247" t="b">
        <f>AND(COUNTIF(CO!A:A,A247)&gt;0,COUNTIF('NO2'!A:A,A247)&gt;0,COUNTIF('O3'!A:A,A247)&gt;0,COUNTIF('PM10'!A:A,A247)&gt;0,COUNTIF('SO2'!A:A,A247)&gt;0,COUNTIF(Kendaraan!A:A,A247)&gt;0)</f>
        <v>1</v>
      </c>
    </row>
    <row r="248" spans="1:9" x14ac:dyDescent="0.45">
      <c r="A248" s="4">
        <v>45633</v>
      </c>
      <c r="B248" t="s">
        <v>1329</v>
      </c>
      <c r="C248" t="s">
        <v>532</v>
      </c>
      <c r="D248" t="s">
        <v>1084</v>
      </c>
      <c r="E248" t="s">
        <v>1163</v>
      </c>
      <c r="F248" t="s">
        <v>1145</v>
      </c>
      <c r="G248" s="1">
        <v>3242</v>
      </c>
      <c r="H248">
        <v>24</v>
      </c>
      <c r="I248" t="b">
        <f>AND(COUNTIF(CO!A:A,A248)&gt;0,COUNTIF('NO2'!A:A,A248)&gt;0,COUNTIF('O3'!A:A,A248)&gt;0,COUNTIF('PM10'!A:A,A248)&gt;0,COUNTIF('SO2'!A:A,A248)&gt;0,COUNTIF(Kendaraan!A:A,A248)&gt;0)</f>
        <v>1</v>
      </c>
    </row>
    <row r="249" spans="1:9" x14ac:dyDescent="0.45">
      <c r="A249" s="4">
        <v>45634</v>
      </c>
      <c r="B249" t="s">
        <v>1739</v>
      </c>
      <c r="C249" t="s">
        <v>463</v>
      </c>
      <c r="D249" t="s">
        <v>3172</v>
      </c>
      <c r="E249" t="s">
        <v>2574</v>
      </c>
      <c r="F249" t="s">
        <v>464</v>
      </c>
      <c r="G249" s="1">
        <v>1395</v>
      </c>
      <c r="H249">
        <v>24</v>
      </c>
      <c r="I249" t="b">
        <f>AND(COUNTIF(CO!A:A,A249)&gt;0,COUNTIF('NO2'!A:A,A249)&gt;0,COUNTIF('O3'!A:A,A249)&gt;0,COUNTIF('PM10'!A:A,A249)&gt;0,COUNTIF('SO2'!A:A,A249)&gt;0,COUNTIF(Kendaraan!A:A,A249)&gt;0)</f>
        <v>1</v>
      </c>
    </row>
    <row r="250" spans="1:9" x14ac:dyDescent="0.45">
      <c r="A250" s="4">
        <v>45635</v>
      </c>
      <c r="B250" t="s">
        <v>1829</v>
      </c>
      <c r="C250" t="s">
        <v>2059</v>
      </c>
      <c r="D250" t="s">
        <v>1851</v>
      </c>
      <c r="E250" t="s">
        <v>2994</v>
      </c>
      <c r="F250" t="s">
        <v>1345</v>
      </c>
      <c r="G250" t="s">
        <v>239</v>
      </c>
      <c r="H250">
        <v>24</v>
      </c>
      <c r="I250" t="b">
        <f>AND(COUNTIF(CO!A:A,A250)&gt;0,COUNTIF('NO2'!A:A,A250)&gt;0,COUNTIF('O3'!A:A,A250)&gt;0,COUNTIF('PM10'!A:A,A250)&gt;0,COUNTIF('SO2'!A:A,A250)&gt;0,COUNTIF(Kendaraan!A:A,A250)&gt;0)</f>
        <v>1</v>
      </c>
    </row>
    <row r="251" spans="1:9" x14ac:dyDescent="0.45">
      <c r="A251" s="4">
        <v>45636</v>
      </c>
      <c r="B251" t="s">
        <v>355</v>
      </c>
      <c r="C251" t="s">
        <v>1494</v>
      </c>
      <c r="D251" t="s">
        <v>3069</v>
      </c>
      <c r="E251" t="s">
        <v>3107</v>
      </c>
      <c r="F251" t="s">
        <v>361</v>
      </c>
      <c r="G251" s="1">
        <v>2518</v>
      </c>
      <c r="H251">
        <v>24</v>
      </c>
      <c r="I251" t="b">
        <f>AND(COUNTIF(CO!A:A,A251)&gt;0,COUNTIF('NO2'!A:A,A251)&gt;0,COUNTIF('O3'!A:A,A251)&gt;0,COUNTIF('PM10'!A:A,A251)&gt;0,COUNTIF('SO2'!A:A,A251)&gt;0,COUNTIF(Kendaraan!A:A,A251)&gt;0)</f>
        <v>1</v>
      </c>
    </row>
    <row r="252" spans="1:9" x14ac:dyDescent="0.45">
      <c r="A252" s="4">
        <v>45637</v>
      </c>
      <c r="B252" t="s">
        <v>1808</v>
      </c>
      <c r="C252" t="s">
        <v>2064</v>
      </c>
      <c r="D252" t="s">
        <v>1658</v>
      </c>
      <c r="E252" t="s">
        <v>3872</v>
      </c>
      <c r="F252" t="s">
        <v>351</v>
      </c>
      <c r="G252" s="1">
        <v>1709</v>
      </c>
      <c r="H252">
        <v>24</v>
      </c>
      <c r="I252" t="b">
        <f>AND(COUNTIF(CO!A:A,A252)&gt;0,COUNTIF('NO2'!A:A,A252)&gt;0,COUNTIF('O3'!A:A,A252)&gt;0,COUNTIF('PM10'!A:A,A252)&gt;0,COUNTIF('SO2'!A:A,A252)&gt;0,COUNTIF(Kendaraan!A:A,A252)&gt;0)</f>
        <v>1</v>
      </c>
    </row>
    <row r="253" spans="1:9" x14ac:dyDescent="0.45">
      <c r="A253" s="4">
        <v>45638</v>
      </c>
      <c r="B253" t="s">
        <v>1786</v>
      </c>
      <c r="C253" t="s">
        <v>3165</v>
      </c>
      <c r="D253" t="s">
        <v>693</v>
      </c>
      <c r="E253" t="s">
        <v>1762</v>
      </c>
      <c r="F253" t="s">
        <v>1320</v>
      </c>
      <c r="G253" s="1">
        <v>2206</v>
      </c>
      <c r="H253">
        <v>24</v>
      </c>
      <c r="I253" t="b">
        <f>AND(COUNTIF(CO!A:A,A253)&gt;0,COUNTIF('NO2'!A:A,A253)&gt;0,COUNTIF('O3'!A:A,A253)&gt;0,COUNTIF('PM10'!A:A,A253)&gt;0,COUNTIF('SO2'!A:A,A253)&gt;0,COUNTIF(Kendaraan!A:A,A253)&gt;0)</f>
        <v>1</v>
      </c>
    </row>
    <row r="254" spans="1:9" x14ac:dyDescent="0.45">
      <c r="A254" s="4">
        <v>45639</v>
      </c>
      <c r="B254" t="s">
        <v>3497</v>
      </c>
      <c r="C254" t="s">
        <v>3456</v>
      </c>
      <c r="D254" t="s">
        <v>1240</v>
      </c>
      <c r="E254" t="s">
        <v>3562</v>
      </c>
      <c r="F254" t="s">
        <v>3346</v>
      </c>
      <c r="G254" s="1">
        <v>1332</v>
      </c>
      <c r="H254">
        <v>24</v>
      </c>
      <c r="I254" t="b">
        <f>AND(COUNTIF(CO!A:A,A254)&gt;0,COUNTIF('NO2'!A:A,A254)&gt;0,COUNTIF('O3'!A:A,A254)&gt;0,COUNTIF('PM10'!A:A,A254)&gt;0,COUNTIF('SO2'!A:A,A254)&gt;0,COUNTIF(Kendaraan!A:A,A254)&gt;0)</f>
        <v>1</v>
      </c>
    </row>
    <row r="255" spans="1:9" x14ac:dyDescent="0.45">
      <c r="A255" s="4">
        <v>45640</v>
      </c>
      <c r="B255" t="s">
        <v>1877</v>
      </c>
      <c r="C255" t="s">
        <v>1493</v>
      </c>
      <c r="D255" t="s">
        <v>1576</v>
      </c>
      <c r="E255" t="s">
        <v>2386</v>
      </c>
      <c r="F255" t="s">
        <v>1932</v>
      </c>
      <c r="G255" s="1">
        <v>3352</v>
      </c>
      <c r="H255">
        <v>24</v>
      </c>
      <c r="I255" t="b">
        <f>AND(COUNTIF(CO!A:A,A255)&gt;0,COUNTIF('NO2'!A:A,A255)&gt;0,COUNTIF('O3'!A:A,A255)&gt;0,COUNTIF('PM10'!A:A,A255)&gt;0,COUNTIF('SO2'!A:A,A255)&gt;0,COUNTIF(Kendaraan!A:A,A255)&gt;0)</f>
        <v>1</v>
      </c>
    </row>
    <row r="256" spans="1:9" x14ac:dyDescent="0.45">
      <c r="A256" s="4">
        <v>45641</v>
      </c>
      <c r="B256" t="s">
        <v>1724</v>
      </c>
      <c r="C256" t="s">
        <v>1131</v>
      </c>
      <c r="D256" t="s">
        <v>2745</v>
      </c>
      <c r="E256" t="s">
        <v>1718</v>
      </c>
      <c r="F256" t="s">
        <v>1180</v>
      </c>
      <c r="G256" t="s">
        <v>121</v>
      </c>
      <c r="H256">
        <v>24</v>
      </c>
      <c r="I256" t="b">
        <f>AND(COUNTIF(CO!A:A,A256)&gt;0,COUNTIF('NO2'!A:A,A256)&gt;0,COUNTIF('O3'!A:A,A256)&gt;0,COUNTIF('PM10'!A:A,A256)&gt;0,COUNTIF('SO2'!A:A,A256)&gt;0,COUNTIF(Kendaraan!A:A,A256)&gt;0)</f>
        <v>1</v>
      </c>
    </row>
    <row r="257" spans="1:9" x14ac:dyDescent="0.45">
      <c r="A257" s="4">
        <v>45642</v>
      </c>
      <c r="B257" t="s">
        <v>740</v>
      </c>
      <c r="C257" t="s">
        <v>2958</v>
      </c>
      <c r="D257" t="s">
        <v>1853</v>
      </c>
      <c r="E257" t="s">
        <v>3490</v>
      </c>
      <c r="F257" t="s">
        <v>2720</v>
      </c>
      <c r="G257" s="1">
        <v>1998</v>
      </c>
      <c r="H257">
        <v>24</v>
      </c>
      <c r="I257" t="b">
        <f>AND(COUNTIF(CO!A:A,A257)&gt;0,COUNTIF('NO2'!A:A,A257)&gt;0,COUNTIF('O3'!A:A,A257)&gt;0,COUNTIF('PM10'!A:A,A257)&gt;0,COUNTIF('SO2'!A:A,A257)&gt;0,COUNTIF(Kendaraan!A:A,A257)&gt;0)</f>
        <v>1</v>
      </c>
    </row>
    <row r="258" spans="1:9" x14ac:dyDescent="0.45">
      <c r="A258" s="4">
        <v>45643</v>
      </c>
      <c r="B258" t="s">
        <v>1348</v>
      </c>
      <c r="C258" t="s">
        <v>1084</v>
      </c>
      <c r="D258" t="s">
        <v>1065</v>
      </c>
      <c r="E258" t="s">
        <v>3045</v>
      </c>
      <c r="F258" t="s">
        <v>1092</v>
      </c>
      <c r="G258" s="1">
        <v>1095</v>
      </c>
      <c r="H258">
        <v>20</v>
      </c>
      <c r="I258" t="b">
        <f>AND(COUNTIF(CO!A:A,A258)&gt;0,COUNTIF('NO2'!A:A,A258)&gt;0,COUNTIF('O3'!A:A,A258)&gt;0,COUNTIF('PM10'!A:A,A258)&gt;0,COUNTIF('SO2'!A:A,A258)&gt;0,COUNTIF(Kendaraan!A:A,A258)&gt;0)</f>
        <v>1</v>
      </c>
    </row>
    <row r="259" spans="1:9" x14ac:dyDescent="0.45">
      <c r="A259" s="4">
        <v>45644</v>
      </c>
      <c r="B259" t="s">
        <v>2075</v>
      </c>
      <c r="C259" t="s">
        <v>1671</v>
      </c>
      <c r="D259" t="s">
        <v>3477</v>
      </c>
      <c r="E259" t="s">
        <v>3583</v>
      </c>
      <c r="F259" t="s">
        <v>3077</v>
      </c>
      <c r="G259" s="1">
        <v>1275</v>
      </c>
      <c r="H259">
        <v>22</v>
      </c>
      <c r="I259" t="b">
        <f>AND(COUNTIF(CO!A:A,A259)&gt;0,COUNTIF('NO2'!A:A,A259)&gt;0,COUNTIF('O3'!A:A,A259)&gt;0,COUNTIF('PM10'!A:A,A259)&gt;0,COUNTIF('SO2'!A:A,A259)&gt;0,COUNTIF(Kendaraan!A:A,A259)&gt;0)</f>
        <v>1</v>
      </c>
    </row>
    <row r="260" spans="1:9" x14ac:dyDescent="0.45">
      <c r="A260" s="4">
        <v>45645</v>
      </c>
      <c r="B260" t="s">
        <v>3215</v>
      </c>
      <c r="C260" t="s">
        <v>1789</v>
      </c>
      <c r="D260" t="s">
        <v>1823</v>
      </c>
      <c r="E260" t="s">
        <v>1912</v>
      </c>
      <c r="F260" t="s">
        <v>3351</v>
      </c>
      <c r="G260" t="s">
        <v>2074</v>
      </c>
      <c r="H260">
        <v>24</v>
      </c>
      <c r="I260" t="b">
        <f>AND(COUNTIF(CO!A:A,A260)&gt;0,COUNTIF('NO2'!A:A,A260)&gt;0,COUNTIF('O3'!A:A,A260)&gt;0,COUNTIF('PM10'!A:A,A260)&gt;0,COUNTIF('SO2'!A:A,A260)&gt;0,COUNTIF(Kendaraan!A:A,A260)&gt;0)</f>
        <v>1</v>
      </c>
    </row>
    <row r="261" spans="1:9" x14ac:dyDescent="0.45">
      <c r="A261" s="4">
        <v>45646</v>
      </c>
      <c r="B261" t="s">
        <v>1350</v>
      </c>
      <c r="C261" t="s">
        <v>1429</v>
      </c>
      <c r="D261" t="s">
        <v>1776</v>
      </c>
      <c r="E261" t="s">
        <v>3873</v>
      </c>
      <c r="F261" t="s">
        <v>2774</v>
      </c>
      <c r="G261" t="s">
        <v>3637</v>
      </c>
      <c r="H261">
        <v>24</v>
      </c>
      <c r="I261" t="b">
        <f>AND(COUNTIF(CO!A:A,A261)&gt;0,COUNTIF('NO2'!A:A,A261)&gt;0,COUNTIF('O3'!A:A,A261)&gt;0,COUNTIF('PM10'!A:A,A261)&gt;0,COUNTIF('SO2'!A:A,A261)&gt;0,COUNTIF(Kendaraan!A:A,A261)&gt;0)</f>
        <v>1</v>
      </c>
    </row>
    <row r="262" spans="1:9" x14ac:dyDescent="0.45">
      <c r="A262" s="4">
        <v>45647</v>
      </c>
      <c r="B262" t="s">
        <v>940</v>
      </c>
      <c r="C262" t="s">
        <v>2137</v>
      </c>
      <c r="D262" t="s">
        <v>674</v>
      </c>
      <c r="E262" t="s">
        <v>1241</v>
      </c>
      <c r="F262" t="s">
        <v>1541</v>
      </c>
      <c r="G262" t="s">
        <v>3623</v>
      </c>
      <c r="H262">
        <v>24</v>
      </c>
      <c r="I262" t="b">
        <f>AND(COUNTIF(CO!A:A,A262)&gt;0,COUNTIF('NO2'!A:A,A262)&gt;0,COUNTIF('O3'!A:A,A262)&gt;0,COUNTIF('PM10'!A:A,A262)&gt;0,COUNTIF('SO2'!A:A,A262)&gt;0,COUNTIF(Kendaraan!A:A,A262)&gt;0)</f>
        <v>1</v>
      </c>
    </row>
    <row r="263" spans="1:9" x14ac:dyDescent="0.45">
      <c r="A263" s="4">
        <v>45648</v>
      </c>
      <c r="B263" t="s">
        <v>3467</v>
      </c>
      <c r="C263" t="s">
        <v>2823</v>
      </c>
      <c r="D263" t="s">
        <v>3456</v>
      </c>
      <c r="E263" t="s">
        <v>3874</v>
      </c>
      <c r="F263" t="s">
        <v>3701</v>
      </c>
      <c r="G263" s="1">
        <v>2641</v>
      </c>
      <c r="H263">
        <v>24</v>
      </c>
      <c r="I263" t="b">
        <f>AND(COUNTIF(CO!A:A,A263)&gt;0,COUNTIF('NO2'!A:A,A263)&gt;0,COUNTIF('O3'!A:A,A263)&gt;0,COUNTIF('PM10'!A:A,A263)&gt;0,COUNTIF('SO2'!A:A,A263)&gt;0,COUNTIF(Kendaraan!A:A,A263)&gt;0)</f>
        <v>1</v>
      </c>
    </row>
    <row r="264" spans="1:9" x14ac:dyDescent="0.45">
      <c r="A264" s="4">
        <v>45649</v>
      </c>
      <c r="B264" t="s">
        <v>1229</v>
      </c>
      <c r="C264" t="s">
        <v>1650</v>
      </c>
      <c r="D264" t="s">
        <v>913</v>
      </c>
      <c r="E264" t="s">
        <v>1235</v>
      </c>
      <c r="F264" t="s">
        <v>3789</v>
      </c>
      <c r="G264" t="s">
        <v>2047</v>
      </c>
      <c r="H264">
        <v>24</v>
      </c>
      <c r="I264" t="b">
        <f>AND(COUNTIF(CO!A:A,A264)&gt;0,COUNTIF('NO2'!A:A,A264)&gt;0,COUNTIF('O3'!A:A,A264)&gt;0,COUNTIF('PM10'!A:A,A264)&gt;0,COUNTIF('SO2'!A:A,A264)&gt;0,COUNTIF(Kendaraan!A:A,A264)&gt;0)</f>
        <v>1</v>
      </c>
    </row>
    <row r="265" spans="1:9" x14ac:dyDescent="0.45">
      <c r="A265" s="4">
        <v>45650</v>
      </c>
      <c r="B265" t="s">
        <v>2388</v>
      </c>
      <c r="C265" t="s">
        <v>3118</v>
      </c>
      <c r="D265" t="s">
        <v>2391</v>
      </c>
      <c r="E265" t="s">
        <v>1301</v>
      </c>
      <c r="F265" t="s">
        <v>1657</v>
      </c>
      <c r="G265" s="1">
        <v>1648</v>
      </c>
      <c r="H265">
        <v>24</v>
      </c>
      <c r="I265" t="b">
        <f>AND(COUNTIF(CO!A:A,A265)&gt;0,COUNTIF('NO2'!A:A,A265)&gt;0,COUNTIF('O3'!A:A,A265)&gt;0,COUNTIF('PM10'!A:A,A265)&gt;0,COUNTIF('SO2'!A:A,A265)&gt;0,COUNTIF(Kendaraan!A:A,A265)&gt;0)</f>
        <v>1</v>
      </c>
    </row>
    <row r="266" spans="1:9" x14ac:dyDescent="0.45">
      <c r="A266" s="4">
        <v>45651</v>
      </c>
      <c r="B266" t="s">
        <v>2399</v>
      </c>
      <c r="C266" t="s">
        <v>2400</v>
      </c>
      <c r="D266" t="s">
        <v>1941</v>
      </c>
      <c r="E266" t="s">
        <v>1639</v>
      </c>
      <c r="F266" t="s">
        <v>1843</v>
      </c>
      <c r="G266" t="s">
        <v>3086</v>
      </c>
      <c r="H266">
        <v>19</v>
      </c>
      <c r="I266" t="b">
        <f>AND(COUNTIF(CO!A:A,A266)&gt;0,COUNTIF('NO2'!A:A,A266)&gt;0,COUNTIF('O3'!A:A,A266)&gt;0,COUNTIF('PM10'!A:A,A266)&gt;0,COUNTIF('SO2'!A:A,A266)&gt;0,COUNTIF(Kendaraan!A:A,A266)&gt;0)</f>
        <v>1</v>
      </c>
    </row>
    <row r="267" spans="1:9" x14ac:dyDescent="0.45">
      <c r="A267" s="4">
        <v>45657</v>
      </c>
      <c r="B267" t="s">
        <v>3088</v>
      </c>
      <c r="C267" t="s">
        <v>1173</v>
      </c>
      <c r="D267" t="s">
        <v>1857</v>
      </c>
      <c r="E267" t="s">
        <v>1848</v>
      </c>
      <c r="F267" t="s">
        <v>2780</v>
      </c>
      <c r="G267" t="s">
        <v>3875</v>
      </c>
      <c r="H267">
        <v>4</v>
      </c>
      <c r="I267" t="b">
        <f>AND(COUNTIF(CO!A:A,A267)&gt;0,COUNTIF('NO2'!A:A,A267)&gt;0,COUNTIF('O3'!A:A,A267)&gt;0,COUNTIF('PM10'!A:A,A267)&gt;0,COUNTIF('SO2'!A:A,A267)&gt;0,COUNTIF(Kendaraan!A:A,A267)&gt;0)</f>
        <v>1</v>
      </c>
    </row>
    <row r="268" spans="1:9" x14ac:dyDescent="0.45">
      <c r="A268" s="4">
        <v>45658</v>
      </c>
      <c r="B268" t="s">
        <v>2397</v>
      </c>
      <c r="C268" t="s">
        <v>1085</v>
      </c>
      <c r="D268" t="s">
        <v>2726</v>
      </c>
      <c r="E268" t="s">
        <v>1733</v>
      </c>
      <c r="F268" t="s">
        <v>3212</v>
      </c>
      <c r="G268" t="s">
        <v>373</v>
      </c>
      <c r="H268">
        <v>24</v>
      </c>
      <c r="I268" t="b">
        <f>AND(COUNTIF(CO!A:A,A268)&gt;0,COUNTIF('NO2'!A:A,A268)&gt;0,COUNTIF('O3'!A:A,A268)&gt;0,COUNTIF('PM10'!A:A,A268)&gt;0,COUNTIF('SO2'!A:A,A268)&gt;0,COUNTIF(Kendaraan!A:A,A268)&gt;0)</f>
        <v>1</v>
      </c>
    </row>
    <row r="269" spans="1:9" x14ac:dyDescent="0.45">
      <c r="A269" s="4">
        <v>45659</v>
      </c>
      <c r="B269" t="s">
        <v>1305</v>
      </c>
      <c r="C269" t="s">
        <v>1227</v>
      </c>
      <c r="D269" t="s">
        <v>1957</v>
      </c>
      <c r="E269" t="s">
        <v>1940</v>
      </c>
      <c r="F269" t="s">
        <v>2764</v>
      </c>
      <c r="G269" s="1">
        <v>1998</v>
      </c>
      <c r="H269">
        <v>24</v>
      </c>
      <c r="I269" t="b">
        <f>AND(COUNTIF(CO!A:A,A269)&gt;0,COUNTIF('NO2'!A:A,A269)&gt;0,COUNTIF('O3'!A:A,A269)&gt;0,COUNTIF('PM10'!A:A,A269)&gt;0,COUNTIF('SO2'!A:A,A269)&gt;0,COUNTIF(Kendaraan!A:A,A269)&gt;0)</f>
        <v>1</v>
      </c>
    </row>
    <row r="270" spans="1:9" x14ac:dyDescent="0.45">
      <c r="A270" s="4">
        <v>45660</v>
      </c>
      <c r="B270" t="s">
        <v>1452</v>
      </c>
      <c r="C270" t="s">
        <v>650</v>
      </c>
      <c r="D270" t="s">
        <v>1670</v>
      </c>
      <c r="E270" t="s">
        <v>1223</v>
      </c>
      <c r="F270" t="s">
        <v>3066</v>
      </c>
      <c r="G270" s="1">
        <v>1191</v>
      </c>
      <c r="H270">
        <v>24</v>
      </c>
      <c r="I270" t="b">
        <f>AND(COUNTIF(CO!A:A,A270)&gt;0,COUNTIF('NO2'!A:A,A270)&gt;0,COUNTIF('O3'!A:A,A270)&gt;0,COUNTIF('PM10'!A:A,A270)&gt;0,COUNTIF('SO2'!A:A,A270)&gt;0,COUNTIF(Kendaraan!A:A,A270)&gt;0)</f>
        <v>1</v>
      </c>
    </row>
    <row r="271" spans="1:9" x14ac:dyDescent="0.45">
      <c r="A271" s="4">
        <v>45661</v>
      </c>
      <c r="B271" t="s">
        <v>1699</v>
      </c>
      <c r="C271" t="s">
        <v>1145</v>
      </c>
      <c r="D271" t="s">
        <v>352</v>
      </c>
      <c r="E271" t="s">
        <v>1781</v>
      </c>
      <c r="F271" t="s">
        <v>1923</v>
      </c>
      <c r="G271" s="1">
        <v>2068</v>
      </c>
      <c r="H271">
        <v>24</v>
      </c>
      <c r="I271" t="b">
        <f>AND(COUNTIF(CO!A:A,A271)&gt;0,COUNTIF('NO2'!A:A,A271)&gt;0,COUNTIF('O3'!A:A,A271)&gt;0,COUNTIF('PM10'!A:A,A271)&gt;0,COUNTIF('SO2'!A:A,A271)&gt;0,COUNTIF(Kendaraan!A:A,A271)&gt;0)</f>
        <v>1</v>
      </c>
    </row>
    <row r="272" spans="1:9" x14ac:dyDescent="0.45">
      <c r="A272" s="4">
        <v>45662</v>
      </c>
      <c r="B272" t="s">
        <v>3106</v>
      </c>
      <c r="C272" t="s">
        <v>727</v>
      </c>
      <c r="D272" t="s">
        <v>3876</v>
      </c>
      <c r="E272" t="s">
        <v>3877</v>
      </c>
      <c r="F272" t="s">
        <v>2068</v>
      </c>
      <c r="G272" t="s">
        <v>3180</v>
      </c>
      <c r="H272">
        <v>24</v>
      </c>
      <c r="I272" t="b">
        <f>AND(COUNTIF(CO!A:A,A272)&gt;0,COUNTIF('NO2'!A:A,A272)&gt;0,COUNTIF('O3'!A:A,A272)&gt;0,COUNTIF('PM10'!A:A,A272)&gt;0,COUNTIF('SO2'!A:A,A272)&gt;0,COUNTIF(Kendaraan!A:A,A272)&gt;0)</f>
        <v>1</v>
      </c>
    </row>
    <row r="273" spans="1:9" x14ac:dyDescent="0.45">
      <c r="A273" s="4">
        <v>45663</v>
      </c>
      <c r="B273" t="s">
        <v>1676</v>
      </c>
      <c r="C273" t="s">
        <v>1059</v>
      </c>
      <c r="D273" t="s">
        <v>738</v>
      </c>
      <c r="E273" t="s">
        <v>714</v>
      </c>
      <c r="F273" t="s">
        <v>3236</v>
      </c>
      <c r="G273" t="s">
        <v>3686</v>
      </c>
      <c r="H273">
        <v>24</v>
      </c>
      <c r="I273" t="b">
        <f>AND(COUNTIF(CO!A:A,A273)&gt;0,COUNTIF('NO2'!A:A,A273)&gt;0,COUNTIF('O3'!A:A,A273)&gt;0,COUNTIF('PM10'!A:A,A273)&gt;0,COUNTIF('SO2'!A:A,A273)&gt;0,COUNTIF(Kendaraan!A:A,A273)&gt;0)</f>
        <v>1</v>
      </c>
    </row>
    <row r="274" spans="1:9" x14ac:dyDescent="0.45">
      <c r="A274" s="4">
        <v>45664</v>
      </c>
      <c r="B274" t="s">
        <v>1642</v>
      </c>
      <c r="C274" t="s">
        <v>446</v>
      </c>
      <c r="D274" t="s">
        <v>690</v>
      </c>
      <c r="E274" t="s">
        <v>2711</v>
      </c>
      <c r="F274" t="s">
        <v>2945</v>
      </c>
      <c r="G274" s="1">
        <v>3115</v>
      </c>
      <c r="H274">
        <v>24</v>
      </c>
      <c r="I274" t="b">
        <f>AND(COUNTIF(CO!A:A,A274)&gt;0,COUNTIF('NO2'!A:A,A274)&gt;0,COUNTIF('O3'!A:A,A274)&gt;0,COUNTIF('PM10'!A:A,A274)&gt;0,COUNTIF('SO2'!A:A,A274)&gt;0,COUNTIF(Kendaraan!A:A,A274)&gt;0)</f>
        <v>1</v>
      </c>
    </row>
    <row r="275" spans="1:9" x14ac:dyDescent="0.45">
      <c r="A275" s="4">
        <v>45665</v>
      </c>
      <c r="B275" t="s">
        <v>2606</v>
      </c>
      <c r="C275" t="s">
        <v>614</v>
      </c>
      <c r="D275" t="s">
        <v>3475</v>
      </c>
      <c r="E275" t="s">
        <v>1445</v>
      </c>
      <c r="F275" t="s">
        <v>1924</v>
      </c>
      <c r="G275" s="1">
        <v>2263</v>
      </c>
      <c r="H275">
        <v>24</v>
      </c>
      <c r="I275" t="b">
        <f>AND(COUNTIF(CO!A:A,A275)&gt;0,COUNTIF('NO2'!A:A,A275)&gt;0,COUNTIF('O3'!A:A,A275)&gt;0,COUNTIF('PM10'!A:A,A275)&gt;0,COUNTIF('SO2'!A:A,A275)&gt;0,COUNTIF(Kendaraan!A:A,A275)&gt;0)</f>
        <v>1</v>
      </c>
    </row>
    <row r="276" spans="1:9" x14ac:dyDescent="0.45">
      <c r="A276" s="4">
        <v>45666</v>
      </c>
      <c r="B276" t="s">
        <v>1173</v>
      </c>
      <c r="C276" t="s">
        <v>879</v>
      </c>
      <c r="D276" t="s">
        <v>1454</v>
      </c>
      <c r="E276" t="s">
        <v>1629</v>
      </c>
      <c r="F276" t="s">
        <v>2382</v>
      </c>
      <c r="G276" s="1">
        <v>1619</v>
      </c>
      <c r="H276">
        <v>24</v>
      </c>
      <c r="I276" t="b">
        <f>AND(COUNTIF(CO!A:A,A276)&gt;0,COUNTIF('NO2'!A:A,A276)&gt;0,COUNTIF('O3'!A:A,A276)&gt;0,COUNTIF('PM10'!A:A,A276)&gt;0,COUNTIF('SO2'!A:A,A276)&gt;0,COUNTIF(Kendaraan!A:A,A276)&gt;0)</f>
        <v>1</v>
      </c>
    </row>
    <row r="277" spans="1:9" x14ac:dyDescent="0.45">
      <c r="A277" s="4">
        <v>45667</v>
      </c>
      <c r="B277" t="s">
        <v>3093</v>
      </c>
      <c r="C277" t="s">
        <v>1231</v>
      </c>
      <c r="D277" t="s">
        <v>1149</v>
      </c>
      <c r="E277" t="s">
        <v>3158</v>
      </c>
      <c r="F277" t="s">
        <v>1467</v>
      </c>
      <c r="G277" s="1">
        <v>1314</v>
      </c>
      <c r="H277">
        <v>24</v>
      </c>
      <c r="I277" t="b">
        <f>AND(COUNTIF(CO!A:A,A277)&gt;0,COUNTIF('NO2'!A:A,A277)&gt;0,COUNTIF('O3'!A:A,A277)&gt;0,COUNTIF('PM10'!A:A,A277)&gt;0,COUNTIF('SO2'!A:A,A277)&gt;0,COUNTIF(Kendaraan!A:A,A277)&gt;0)</f>
        <v>1</v>
      </c>
    </row>
    <row r="278" spans="1:9" x14ac:dyDescent="0.45">
      <c r="A278" s="4">
        <v>45668</v>
      </c>
      <c r="B278" t="s">
        <v>1052</v>
      </c>
      <c r="C278" t="s">
        <v>2605</v>
      </c>
      <c r="D278" t="s">
        <v>1383</v>
      </c>
      <c r="E278" t="s">
        <v>1822</v>
      </c>
      <c r="F278" t="s">
        <v>1323</v>
      </c>
      <c r="G278" s="1">
        <v>1479</v>
      </c>
      <c r="H278">
        <v>24</v>
      </c>
      <c r="I278" t="b">
        <f>AND(COUNTIF(CO!A:A,A278)&gt;0,COUNTIF('NO2'!A:A,A278)&gt;0,COUNTIF('O3'!A:A,A278)&gt;0,COUNTIF('PM10'!A:A,A278)&gt;0,COUNTIF('SO2'!A:A,A278)&gt;0,COUNTIF(Kendaraan!A:A,A278)&gt;0)</f>
        <v>1</v>
      </c>
    </row>
    <row r="279" spans="1:9" x14ac:dyDescent="0.45">
      <c r="A279" s="4">
        <v>45669</v>
      </c>
      <c r="B279" t="s">
        <v>1824</v>
      </c>
      <c r="C279" t="s">
        <v>2723</v>
      </c>
      <c r="D279" t="s">
        <v>1744</v>
      </c>
      <c r="E279" t="s">
        <v>3878</v>
      </c>
      <c r="F279" t="s">
        <v>1319</v>
      </c>
      <c r="G279" t="s">
        <v>3571</v>
      </c>
      <c r="H279">
        <v>24</v>
      </c>
      <c r="I279" t="b">
        <f>AND(COUNTIF(CO!A:A,A279)&gt;0,COUNTIF('NO2'!A:A,A279)&gt;0,COUNTIF('O3'!A:A,A279)&gt;0,COUNTIF('PM10'!A:A,A279)&gt;0,COUNTIF('SO2'!A:A,A279)&gt;0,COUNTIF(Kendaraan!A:A,A279)&gt;0)</f>
        <v>1</v>
      </c>
    </row>
    <row r="280" spans="1:9" x14ac:dyDescent="0.45">
      <c r="A280" s="4">
        <v>45670</v>
      </c>
      <c r="B280" t="s">
        <v>3034</v>
      </c>
      <c r="C280" t="s">
        <v>1639</v>
      </c>
      <c r="D280" t="s">
        <v>1840</v>
      </c>
      <c r="E280" t="s">
        <v>2080</v>
      </c>
      <c r="F280" t="s">
        <v>1810</v>
      </c>
      <c r="G280" s="1">
        <v>3369</v>
      </c>
      <c r="H280">
        <v>23</v>
      </c>
      <c r="I280" t="b">
        <f>AND(COUNTIF(CO!A:A,A280)&gt;0,COUNTIF('NO2'!A:A,A280)&gt;0,COUNTIF('O3'!A:A,A280)&gt;0,COUNTIF('PM10'!A:A,A280)&gt;0,COUNTIF('SO2'!A:A,A280)&gt;0,COUNTIF(Kendaraan!A:A,A280)&gt;0)</f>
        <v>1</v>
      </c>
    </row>
    <row r="281" spans="1:9" x14ac:dyDescent="0.45">
      <c r="A281" s="4">
        <v>45671</v>
      </c>
      <c r="B281" t="s">
        <v>1317</v>
      </c>
      <c r="C281" t="s">
        <v>931</v>
      </c>
      <c r="D281" t="s">
        <v>2777</v>
      </c>
      <c r="E281" t="s">
        <v>1368</v>
      </c>
      <c r="F281" t="s">
        <v>3114</v>
      </c>
      <c r="G281" s="1">
        <v>1505</v>
      </c>
      <c r="H281">
        <v>18</v>
      </c>
      <c r="I281" t="b">
        <f>AND(COUNTIF(CO!A:A,A281)&gt;0,COUNTIF('NO2'!A:A,A281)&gt;0,COUNTIF('O3'!A:A,A281)&gt;0,COUNTIF('PM10'!A:A,A281)&gt;0,COUNTIF('SO2'!A:A,A281)&gt;0,COUNTIF(Kendaraan!A:A,A281)&gt;0)</f>
        <v>1</v>
      </c>
    </row>
    <row r="282" spans="1:9" x14ac:dyDescent="0.45">
      <c r="A282" s="4">
        <v>45672</v>
      </c>
      <c r="B282" t="s">
        <v>1360</v>
      </c>
      <c r="C282" t="s">
        <v>1456</v>
      </c>
      <c r="D282" t="s">
        <v>1646</v>
      </c>
      <c r="E282" t="s">
        <v>1593</v>
      </c>
      <c r="F282" t="s">
        <v>3112</v>
      </c>
      <c r="G282" t="s">
        <v>3352</v>
      </c>
      <c r="H282">
        <v>24</v>
      </c>
      <c r="I282" t="b">
        <f>AND(COUNTIF(CO!A:A,A282)&gt;0,COUNTIF('NO2'!A:A,A282)&gt;0,COUNTIF('O3'!A:A,A282)&gt;0,COUNTIF('PM10'!A:A,A282)&gt;0,COUNTIF('SO2'!A:A,A282)&gt;0,COUNTIF(Kendaraan!A:A,A282)&gt;0)</f>
        <v>1</v>
      </c>
    </row>
    <row r="283" spans="1:9" x14ac:dyDescent="0.45">
      <c r="A283" s="4">
        <v>45673</v>
      </c>
      <c r="B283" t="s">
        <v>3645</v>
      </c>
      <c r="C283" t="s">
        <v>3183</v>
      </c>
      <c r="D283" t="s">
        <v>1489</v>
      </c>
      <c r="E283" t="s">
        <v>1217</v>
      </c>
      <c r="F283" t="s">
        <v>1975</v>
      </c>
      <c r="G283" s="1">
        <v>1442</v>
      </c>
      <c r="H283">
        <v>24</v>
      </c>
      <c r="I283" t="b">
        <f>AND(COUNTIF(CO!A:A,A283)&gt;0,COUNTIF('NO2'!A:A,A283)&gt;0,COUNTIF('O3'!A:A,A283)&gt;0,COUNTIF('PM10'!A:A,A283)&gt;0,COUNTIF('SO2'!A:A,A283)&gt;0,COUNTIF(Kendaraan!A:A,A283)&gt;0)</f>
        <v>1</v>
      </c>
    </row>
    <row r="284" spans="1:9" x14ac:dyDescent="0.45">
      <c r="A284" s="4">
        <v>45674</v>
      </c>
      <c r="B284" t="s">
        <v>1718</v>
      </c>
      <c r="C284" t="s">
        <v>1697</v>
      </c>
      <c r="D284" t="s">
        <v>1857</v>
      </c>
      <c r="E284" t="s">
        <v>3632</v>
      </c>
      <c r="F284" t="s">
        <v>1086</v>
      </c>
      <c r="G284" s="1">
        <v>1286</v>
      </c>
      <c r="H284">
        <v>24</v>
      </c>
      <c r="I284" t="b">
        <f>AND(COUNTIF(CO!A:A,A284)&gt;0,COUNTIF('NO2'!A:A,A284)&gt;0,COUNTIF('O3'!A:A,A284)&gt;0,COUNTIF('PM10'!A:A,A284)&gt;0,COUNTIF('SO2'!A:A,A284)&gt;0,COUNTIF(Kendaraan!A:A,A284)&gt;0)</f>
        <v>1</v>
      </c>
    </row>
    <row r="285" spans="1:9" x14ac:dyDescent="0.45">
      <c r="A285" s="4">
        <v>45675</v>
      </c>
      <c r="B285" t="s">
        <v>3093</v>
      </c>
      <c r="C285" t="s">
        <v>1258</v>
      </c>
      <c r="D285" t="s">
        <v>3676</v>
      </c>
      <c r="E285" t="s">
        <v>1212</v>
      </c>
      <c r="F285" t="s">
        <v>3649</v>
      </c>
      <c r="G285" s="1">
        <v>1847</v>
      </c>
      <c r="H285">
        <v>24</v>
      </c>
      <c r="I285" t="b">
        <f>AND(COUNTIF(CO!A:A,A285)&gt;0,COUNTIF('NO2'!A:A,A285)&gt;0,COUNTIF('O3'!A:A,A285)&gt;0,COUNTIF('PM10'!A:A,A285)&gt;0,COUNTIF('SO2'!A:A,A285)&gt;0,COUNTIF(Kendaraan!A:A,A285)&gt;0)</f>
        <v>1</v>
      </c>
    </row>
    <row r="286" spans="1:9" x14ac:dyDescent="0.45">
      <c r="A286" s="4">
        <v>45676</v>
      </c>
      <c r="B286" t="s">
        <v>1044</v>
      </c>
      <c r="C286" t="s">
        <v>1241</v>
      </c>
      <c r="D286" t="s">
        <v>2607</v>
      </c>
      <c r="E286" t="s">
        <v>1339</v>
      </c>
      <c r="F286" t="s">
        <v>1111</v>
      </c>
      <c r="G286" s="1">
        <v>2932</v>
      </c>
      <c r="H286">
        <v>24</v>
      </c>
      <c r="I286" t="b">
        <f>AND(COUNTIF(CO!A:A,A286)&gt;0,COUNTIF('NO2'!A:A,A286)&gt;0,COUNTIF('O3'!A:A,A286)&gt;0,COUNTIF('PM10'!A:A,A286)&gt;0,COUNTIF('SO2'!A:A,A286)&gt;0,COUNTIF(Kendaraan!A:A,A286)&gt;0)</f>
        <v>1</v>
      </c>
    </row>
    <row r="287" spans="1:9" x14ac:dyDescent="0.45">
      <c r="A287" s="4">
        <v>45677</v>
      </c>
      <c r="B287" t="s">
        <v>2068</v>
      </c>
      <c r="C287" t="s">
        <v>733</v>
      </c>
      <c r="D287" t="s">
        <v>924</v>
      </c>
      <c r="E287" t="s">
        <v>1678</v>
      </c>
      <c r="F287" t="s">
        <v>701</v>
      </c>
      <c r="G287" t="s">
        <v>2755</v>
      </c>
      <c r="H287">
        <v>24</v>
      </c>
      <c r="I287" t="b">
        <f>AND(COUNTIF(CO!A:A,A287)&gt;0,COUNTIF('NO2'!A:A,A287)&gt;0,COUNTIF('O3'!A:A,A287)&gt;0,COUNTIF('PM10'!A:A,A287)&gt;0,COUNTIF('SO2'!A:A,A287)&gt;0,COUNTIF(Kendaraan!A:A,A287)&gt;0)</f>
        <v>1</v>
      </c>
    </row>
    <row r="288" spans="1:9" x14ac:dyDescent="0.45">
      <c r="A288" s="4">
        <v>45678</v>
      </c>
      <c r="B288" t="s">
        <v>699</v>
      </c>
      <c r="C288" t="s">
        <v>1818</v>
      </c>
      <c r="D288" t="s">
        <v>948</v>
      </c>
      <c r="E288" t="s">
        <v>1044</v>
      </c>
      <c r="F288" t="s">
        <v>3085</v>
      </c>
      <c r="G288" t="s">
        <v>1800</v>
      </c>
      <c r="H288">
        <v>24</v>
      </c>
      <c r="I288" t="b">
        <f>AND(COUNTIF(CO!A:A,A288)&gt;0,COUNTIF('NO2'!A:A,A288)&gt;0,COUNTIF('O3'!A:A,A288)&gt;0,COUNTIF('PM10'!A:A,A288)&gt;0,COUNTIF('SO2'!A:A,A288)&gt;0,COUNTIF(Kendaraan!A:A,A288)&gt;0)</f>
        <v>1</v>
      </c>
    </row>
    <row r="289" spans="1:9" x14ac:dyDescent="0.45">
      <c r="A289" s="4">
        <v>45679</v>
      </c>
      <c r="B289" t="s">
        <v>719</v>
      </c>
      <c r="C289" t="s">
        <v>1143</v>
      </c>
      <c r="D289" t="s">
        <v>1783</v>
      </c>
      <c r="E289" t="s">
        <v>1063</v>
      </c>
      <c r="F289" t="s">
        <v>1080</v>
      </c>
      <c r="G289" s="1">
        <v>2609</v>
      </c>
      <c r="H289">
        <v>24</v>
      </c>
      <c r="I289" t="b">
        <f>AND(COUNTIF(CO!A:A,A289)&gt;0,COUNTIF('NO2'!A:A,A289)&gt;0,COUNTIF('O3'!A:A,A289)&gt;0,COUNTIF('PM10'!A:A,A289)&gt;0,COUNTIF('SO2'!A:A,A289)&gt;0,COUNTIF(Kendaraan!A:A,A289)&gt;0)</f>
        <v>1</v>
      </c>
    </row>
    <row r="290" spans="1:9" x14ac:dyDescent="0.45">
      <c r="A290" s="4">
        <v>45680</v>
      </c>
      <c r="B290" t="s">
        <v>1810</v>
      </c>
      <c r="C290" t="s">
        <v>1128</v>
      </c>
      <c r="D290" t="s">
        <v>2959</v>
      </c>
      <c r="E290" t="s">
        <v>1381</v>
      </c>
      <c r="F290" t="s">
        <v>1429</v>
      </c>
      <c r="G290" s="1">
        <v>1276</v>
      </c>
      <c r="H290">
        <v>24</v>
      </c>
      <c r="I290" t="b">
        <f>AND(COUNTIF(CO!A:A,A290)&gt;0,COUNTIF('NO2'!A:A,A290)&gt;0,COUNTIF('O3'!A:A,A290)&gt;0,COUNTIF('PM10'!A:A,A290)&gt;0,COUNTIF('SO2'!A:A,A290)&gt;0,COUNTIF(Kendaraan!A:A,A290)&gt;0)</f>
        <v>1</v>
      </c>
    </row>
    <row r="291" spans="1:9" x14ac:dyDescent="0.45">
      <c r="A291" s="4">
        <v>45681</v>
      </c>
      <c r="B291" t="s">
        <v>2740</v>
      </c>
      <c r="C291" t="s">
        <v>1215</v>
      </c>
      <c r="D291" t="s">
        <v>1574</v>
      </c>
      <c r="E291" t="s">
        <v>1135</v>
      </c>
      <c r="F291" t="s">
        <v>1314</v>
      </c>
      <c r="G291" s="1">
        <v>1366</v>
      </c>
      <c r="H291">
        <v>24</v>
      </c>
      <c r="I291" t="b">
        <f>AND(COUNTIF(CO!A:A,A291)&gt;0,COUNTIF('NO2'!A:A,A291)&gt;0,COUNTIF('O3'!A:A,A291)&gt;0,COUNTIF('PM10'!A:A,A291)&gt;0,COUNTIF('SO2'!A:A,A291)&gt;0,COUNTIF(Kendaraan!A:A,A291)&gt;0)</f>
        <v>1</v>
      </c>
    </row>
    <row r="292" spans="1:9" x14ac:dyDescent="0.45">
      <c r="A292" s="4">
        <v>45682</v>
      </c>
      <c r="B292" t="s">
        <v>1823</v>
      </c>
      <c r="C292" t="s">
        <v>1984</v>
      </c>
      <c r="D292" t="s">
        <v>1303</v>
      </c>
      <c r="E292" t="s">
        <v>1756</v>
      </c>
      <c r="F292" t="s">
        <v>1323</v>
      </c>
      <c r="G292">
        <v>1</v>
      </c>
      <c r="H292">
        <v>19</v>
      </c>
      <c r="I292" t="b">
        <f>AND(COUNTIF(CO!A:A,A292)&gt;0,COUNTIF('NO2'!A:A,A292)&gt;0,COUNTIF('O3'!A:A,A292)&gt;0,COUNTIF('PM10'!A:A,A292)&gt;0,COUNTIF('SO2'!A:A,A292)&gt;0,COUNTIF(Kendaraan!A:A,A292)&gt;0)</f>
        <v>1</v>
      </c>
    </row>
    <row r="293" spans="1:9" x14ac:dyDescent="0.45">
      <c r="A293" s="4">
        <v>45683</v>
      </c>
      <c r="B293" t="s">
        <v>1751</v>
      </c>
      <c r="C293" t="s">
        <v>1366</v>
      </c>
      <c r="D293" t="s">
        <v>1887</v>
      </c>
      <c r="E293" t="s">
        <v>3684</v>
      </c>
      <c r="F293" t="s">
        <v>1745</v>
      </c>
      <c r="G293" t="s">
        <v>3879</v>
      </c>
      <c r="H293">
        <v>24</v>
      </c>
      <c r="I293" t="b">
        <f>AND(COUNTIF(CO!A:A,A293)&gt;0,COUNTIF('NO2'!A:A,A293)&gt;0,COUNTIF('O3'!A:A,A293)&gt;0,COUNTIF('PM10'!A:A,A293)&gt;0,COUNTIF('SO2'!A:A,A293)&gt;0,COUNTIF(Kendaraan!A:A,A293)&gt;0)</f>
        <v>1</v>
      </c>
    </row>
    <row r="294" spans="1:9" x14ac:dyDescent="0.45">
      <c r="A294" s="4">
        <v>45684</v>
      </c>
      <c r="B294" t="s">
        <v>1889</v>
      </c>
      <c r="C294" t="s">
        <v>1387</v>
      </c>
      <c r="D294" t="s">
        <v>1140</v>
      </c>
      <c r="E294" t="s">
        <v>2606</v>
      </c>
      <c r="F294" t="s">
        <v>3048</v>
      </c>
      <c r="G294" s="1">
        <v>1487</v>
      </c>
      <c r="H294">
        <v>24</v>
      </c>
      <c r="I294" t="b">
        <f>AND(COUNTIF(CO!A:A,A294)&gt;0,COUNTIF('NO2'!A:A,A294)&gt;0,COUNTIF('O3'!A:A,A294)&gt;0,COUNTIF('PM10'!A:A,A294)&gt;0,COUNTIF('SO2'!A:A,A294)&gt;0,COUNTIF(Kendaraan!A:A,A294)&gt;0)</f>
        <v>1</v>
      </c>
    </row>
    <row r="295" spans="1:9" x14ac:dyDescent="0.45">
      <c r="A295" s="4">
        <v>45685</v>
      </c>
      <c r="B295" t="s">
        <v>1825</v>
      </c>
      <c r="C295" t="s">
        <v>466</v>
      </c>
      <c r="D295" t="s">
        <v>1984</v>
      </c>
      <c r="E295" t="s">
        <v>1343</v>
      </c>
      <c r="F295" t="s">
        <v>1218</v>
      </c>
      <c r="G295" s="1">
        <v>4021</v>
      </c>
      <c r="H295">
        <v>24</v>
      </c>
      <c r="I295" t="b">
        <f>AND(COUNTIF(CO!A:A,A295)&gt;0,COUNTIF('NO2'!A:A,A295)&gt;0,COUNTIF('O3'!A:A,A295)&gt;0,COUNTIF('PM10'!A:A,A295)&gt;0,COUNTIF('SO2'!A:A,A295)&gt;0,COUNTIF(Kendaraan!A:A,A295)&gt;0)</f>
        <v>1</v>
      </c>
    </row>
    <row r="296" spans="1:9" x14ac:dyDescent="0.45">
      <c r="A296" s="4">
        <v>45686</v>
      </c>
      <c r="B296" t="s">
        <v>1311</v>
      </c>
      <c r="C296" t="s">
        <v>536</v>
      </c>
      <c r="D296" t="s">
        <v>2575</v>
      </c>
      <c r="E296" t="s">
        <v>1455</v>
      </c>
      <c r="F296" t="s">
        <v>484</v>
      </c>
      <c r="G296" s="1">
        <v>4257</v>
      </c>
      <c r="H296">
        <v>24</v>
      </c>
      <c r="I296" t="b">
        <f>AND(COUNTIF(CO!A:A,A296)&gt;0,COUNTIF('NO2'!A:A,A296)&gt;0,COUNTIF('O3'!A:A,A296)&gt;0,COUNTIF('PM10'!A:A,A296)&gt;0,COUNTIF('SO2'!A:A,A296)&gt;0,COUNTIF(Kendaraan!A:A,A296)&gt;0)</f>
        <v>1</v>
      </c>
    </row>
    <row r="297" spans="1:9" x14ac:dyDescent="0.45">
      <c r="A297" s="4">
        <v>45687</v>
      </c>
      <c r="B297" t="s">
        <v>3081</v>
      </c>
      <c r="C297" t="s">
        <v>1303</v>
      </c>
      <c r="D297" t="s">
        <v>1795</v>
      </c>
      <c r="E297" t="s">
        <v>3059</v>
      </c>
      <c r="F297" t="s">
        <v>737</v>
      </c>
      <c r="G297" s="1">
        <v>1106</v>
      </c>
      <c r="H297">
        <v>20</v>
      </c>
      <c r="I297" t="b">
        <f>AND(COUNTIF(CO!A:A,A297)&gt;0,COUNTIF('NO2'!A:A,A297)&gt;0,COUNTIF('O3'!A:A,A297)&gt;0,COUNTIF('PM10'!A:A,A297)&gt;0,COUNTIF('SO2'!A:A,A297)&gt;0,COUNTIF(Kendaraan!A:A,A297)&gt;0)</f>
        <v>1</v>
      </c>
    </row>
    <row r="298" spans="1:9" x14ac:dyDescent="0.45">
      <c r="A298" s="4">
        <v>45688</v>
      </c>
      <c r="B298" t="s">
        <v>2384</v>
      </c>
      <c r="C298" t="s">
        <v>1932</v>
      </c>
      <c r="D298" t="s">
        <v>1106</v>
      </c>
      <c r="E298" t="s">
        <v>2745</v>
      </c>
      <c r="F298" t="s">
        <v>1506</v>
      </c>
      <c r="G298" s="1">
        <v>1906</v>
      </c>
      <c r="H298">
        <v>24</v>
      </c>
      <c r="I298" t="b">
        <f>AND(COUNTIF(CO!A:A,A298)&gt;0,COUNTIF('NO2'!A:A,A298)&gt;0,COUNTIF('O3'!A:A,A298)&gt;0,COUNTIF('PM10'!A:A,A298)&gt;0,COUNTIF('SO2'!A:A,A298)&gt;0,COUNTIF(Kendaraan!A:A,A298)&gt;0)</f>
        <v>1</v>
      </c>
    </row>
    <row r="299" spans="1:9" x14ac:dyDescent="0.45">
      <c r="A299" s="4">
        <v>45689</v>
      </c>
      <c r="B299" t="s">
        <v>1077</v>
      </c>
      <c r="C299" t="s">
        <v>1128</v>
      </c>
      <c r="D299" t="s">
        <v>2761</v>
      </c>
      <c r="E299" t="s">
        <v>2756</v>
      </c>
      <c r="F299" t="s">
        <v>1143</v>
      </c>
      <c r="G299" t="s">
        <v>3880</v>
      </c>
      <c r="H299">
        <v>24</v>
      </c>
      <c r="I299" t="b">
        <f>AND(COUNTIF(CO!A:A,A299)&gt;0,COUNTIF('NO2'!A:A,A299)&gt;0,COUNTIF('O3'!A:A,A299)&gt;0,COUNTIF('PM10'!A:A,A299)&gt;0,COUNTIF('SO2'!A:A,A299)&gt;0,COUNTIF(Kendaraan!A:A,A299)&gt;0)</f>
        <v>1</v>
      </c>
    </row>
    <row r="300" spans="1:9" x14ac:dyDescent="0.45">
      <c r="A300" s="4">
        <v>45691</v>
      </c>
      <c r="B300" t="s">
        <v>1971</v>
      </c>
      <c r="C300" t="s">
        <v>3537</v>
      </c>
      <c r="D300" t="s">
        <v>564</v>
      </c>
      <c r="E300" t="s">
        <v>2028</v>
      </c>
      <c r="F300" t="s">
        <v>2567</v>
      </c>
      <c r="G300" s="1">
        <v>2118</v>
      </c>
      <c r="H300">
        <v>24</v>
      </c>
      <c r="I300" t="b">
        <f>AND(COUNTIF(CO!A:A,A300)&gt;0,COUNTIF('NO2'!A:A,A300)&gt;0,COUNTIF('O3'!A:A,A300)&gt;0,COUNTIF('PM10'!A:A,A300)&gt;0,COUNTIF('SO2'!A:A,A300)&gt;0,COUNTIF(Kendaraan!A:A,A300)&gt;0)</f>
        <v>1</v>
      </c>
    </row>
    <row r="301" spans="1:9" x14ac:dyDescent="0.45">
      <c r="A301" s="4">
        <v>45692</v>
      </c>
      <c r="B301" t="s">
        <v>823</v>
      </c>
      <c r="C301" t="s">
        <v>2327</v>
      </c>
      <c r="D301" t="s">
        <v>566</v>
      </c>
      <c r="E301" t="s">
        <v>603</v>
      </c>
      <c r="F301" t="s">
        <v>838</v>
      </c>
      <c r="G301" s="1">
        <v>1114</v>
      </c>
      <c r="H301">
        <v>24</v>
      </c>
      <c r="I301" t="b">
        <f>AND(COUNTIF(CO!A:A,A301)&gt;0,COUNTIF('NO2'!A:A,A301)&gt;0,COUNTIF('O3'!A:A,A301)&gt;0,COUNTIF('PM10'!A:A,A301)&gt;0,COUNTIF('SO2'!A:A,A301)&gt;0,COUNTIF(Kendaraan!A:A,A301)&gt;0)</f>
        <v>1</v>
      </c>
    </row>
    <row r="302" spans="1:9" x14ac:dyDescent="0.45">
      <c r="A302" s="4">
        <v>45693</v>
      </c>
      <c r="B302" t="s">
        <v>2711</v>
      </c>
      <c r="C302" t="s">
        <v>553</v>
      </c>
      <c r="D302" t="s">
        <v>927</v>
      </c>
      <c r="E302" t="s">
        <v>1305</v>
      </c>
      <c r="F302" t="s">
        <v>2964</v>
      </c>
      <c r="G302" s="1">
        <v>4586</v>
      </c>
      <c r="H302">
        <v>24</v>
      </c>
      <c r="I302" t="b">
        <f>AND(COUNTIF(CO!A:A,A302)&gt;0,COUNTIF('NO2'!A:A,A302)&gt;0,COUNTIF('O3'!A:A,A302)&gt;0,COUNTIF('PM10'!A:A,A302)&gt;0,COUNTIF('SO2'!A:A,A302)&gt;0,COUNTIF(Kendaraan!A:A,A302)&gt;0)</f>
        <v>1</v>
      </c>
    </row>
    <row r="303" spans="1:9" x14ac:dyDescent="0.45">
      <c r="A303" s="4">
        <v>45694</v>
      </c>
      <c r="B303" t="s">
        <v>702</v>
      </c>
      <c r="C303" t="s">
        <v>1363</v>
      </c>
      <c r="D303" t="s">
        <v>1048</v>
      </c>
      <c r="E303" t="s">
        <v>2066</v>
      </c>
      <c r="F303" t="s">
        <v>1278</v>
      </c>
      <c r="G303" t="s">
        <v>107</v>
      </c>
      <c r="H303">
        <v>24</v>
      </c>
      <c r="I303" t="b">
        <f>AND(COUNTIF(CO!A:A,A303)&gt;0,COUNTIF('NO2'!A:A,A303)&gt;0,COUNTIF('O3'!A:A,A303)&gt;0,COUNTIF('PM10'!A:A,A303)&gt;0,COUNTIF('SO2'!A:A,A303)&gt;0,COUNTIF(Kendaraan!A:A,A303)&gt;0)</f>
        <v>1</v>
      </c>
    </row>
    <row r="304" spans="1:9" x14ac:dyDescent="0.45">
      <c r="A304" s="4">
        <v>45695</v>
      </c>
      <c r="B304" t="s">
        <v>1326</v>
      </c>
      <c r="C304" t="s">
        <v>2816</v>
      </c>
      <c r="D304" t="s">
        <v>3259</v>
      </c>
      <c r="E304" t="s">
        <v>1511</v>
      </c>
      <c r="F304" t="s">
        <v>3347</v>
      </c>
      <c r="G304" s="1">
        <v>4352</v>
      </c>
      <c r="H304">
        <v>24</v>
      </c>
      <c r="I304" t="b">
        <f>AND(COUNTIF(CO!A:A,A304)&gt;0,COUNTIF('NO2'!A:A,A304)&gt;0,COUNTIF('O3'!A:A,A304)&gt;0,COUNTIF('PM10'!A:A,A304)&gt;0,COUNTIF('SO2'!A:A,A304)&gt;0,COUNTIF(Kendaraan!A:A,A304)&gt;0)</f>
        <v>1</v>
      </c>
    </row>
    <row r="305" spans="1:9" x14ac:dyDescent="0.45">
      <c r="A305" s="4">
        <v>45696</v>
      </c>
      <c r="B305" t="s">
        <v>2821</v>
      </c>
      <c r="C305" t="s">
        <v>3881</v>
      </c>
      <c r="D305" t="s">
        <v>2847</v>
      </c>
      <c r="E305" t="s">
        <v>3882</v>
      </c>
      <c r="F305" t="s">
        <v>3883</v>
      </c>
      <c r="G305" s="1">
        <v>1104</v>
      </c>
      <c r="H305">
        <v>24</v>
      </c>
      <c r="I305" t="b">
        <f>AND(COUNTIF(CO!A:A,A305)&gt;0,COUNTIF('NO2'!A:A,A305)&gt;0,COUNTIF('O3'!A:A,A305)&gt;0,COUNTIF('PM10'!A:A,A305)&gt;0,COUNTIF('SO2'!A:A,A305)&gt;0,COUNTIF(Kendaraan!A:A,A305)&gt;0)</f>
        <v>1</v>
      </c>
    </row>
    <row r="306" spans="1:9" x14ac:dyDescent="0.45">
      <c r="A306" s="4">
        <v>45697</v>
      </c>
      <c r="B306" t="s">
        <v>562</v>
      </c>
      <c r="C306" t="s">
        <v>2571</v>
      </c>
      <c r="D306" t="s">
        <v>2150</v>
      </c>
      <c r="E306" t="s">
        <v>820</v>
      </c>
      <c r="F306" t="s">
        <v>2033</v>
      </c>
      <c r="G306" t="s">
        <v>3691</v>
      </c>
      <c r="H306">
        <v>24</v>
      </c>
      <c r="I306" t="b">
        <f>AND(COUNTIF(CO!A:A,A306)&gt;0,COUNTIF('NO2'!A:A,A306)&gt;0,COUNTIF('O3'!A:A,A306)&gt;0,COUNTIF('PM10'!A:A,A306)&gt;0,COUNTIF('SO2'!A:A,A306)&gt;0,COUNTIF(Kendaraan!A:A,A306)&gt;0)</f>
        <v>1</v>
      </c>
    </row>
    <row r="307" spans="1:9" x14ac:dyDescent="0.45">
      <c r="A307" s="4">
        <v>45698</v>
      </c>
      <c r="B307" t="s">
        <v>606</v>
      </c>
      <c r="C307" t="s">
        <v>1528</v>
      </c>
      <c r="D307" t="s">
        <v>2856</v>
      </c>
      <c r="E307" t="s">
        <v>2137</v>
      </c>
      <c r="F307" t="s">
        <v>3301</v>
      </c>
      <c r="G307" s="1">
        <v>1865</v>
      </c>
      <c r="H307">
        <v>24</v>
      </c>
      <c r="I307" t="b">
        <f>AND(COUNTIF(CO!A:A,A307)&gt;0,COUNTIF('NO2'!A:A,A307)&gt;0,COUNTIF('O3'!A:A,A307)&gt;0,COUNTIF('PM10'!A:A,A307)&gt;0,COUNTIF('SO2'!A:A,A307)&gt;0,COUNTIF(Kendaraan!A:A,A307)&gt;0)</f>
        <v>1</v>
      </c>
    </row>
    <row r="308" spans="1:9" x14ac:dyDescent="0.45">
      <c r="A308" s="4">
        <v>45699</v>
      </c>
      <c r="B308" t="s">
        <v>1213</v>
      </c>
      <c r="C308" t="s">
        <v>3521</v>
      </c>
      <c r="D308" t="s">
        <v>3171</v>
      </c>
      <c r="E308" t="s">
        <v>1235</v>
      </c>
      <c r="F308" t="s">
        <v>423</v>
      </c>
      <c r="G308" t="s">
        <v>134</v>
      </c>
      <c r="H308">
        <v>24</v>
      </c>
      <c r="I308" t="b">
        <f>AND(COUNTIF(CO!A:A,A308)&gt;0,COUNTIF('NO2'!A:A,A308)&gt;0,COUNTIF('O3'!A:A,A308)&gt;0,COUNTIF('PM10'!A:A,A308)&gt;0,COUNTIF('SO2'!A:A,A308)&gt;0,COUNTIF(Kendaraan!A:A,A308)&gt;0)</f>
        <v>1</v>
      </c>
    </row>
    <row r="309" spans="1:9" x14ac:dyDescent="0.45">
      <c r="A309" s="4">
        <v>45700</v>
      </c>
      <c r="B309" t="s">
        <v>1253</v>
      </c>
      <c r="C309" t="s">
        <v>3347</v>
      </c>
      <c r="D309" t="s">
        <v>3812</v>
      </c>
      <c r="E309" t="s">
        <v>887</v>
      </c>
      <c r="F309" t="s">
        <v>876</v>
      </c>
      <c r="G309" t="s">
        <v>3884</v>
      </c>
      <c r="H309">
        <v>24</v>
      </c>
      <c r="I309" t="b">
        <f>AND(COUNTIF(CO!A:A,A309)&gt;0,COUNTIF('NO2'!A:A,A309)&gt;0,COUNTIF('O3'!A:A,A309)&gt;0,COUNTIF('PM10'!A:A,A309)&gt;0,COUNTIF('SO2'!A:A,A309)&gt;0,COUNTIF(Kendaraan!A:A,A309)&gt;0)</f>
        <v>1</v>
      </c>
    </row>
    <row r="310" spans="1:9" x14ac:dyDescent="0.45">
      <c r="A310" s="4">
        <v>45701</v>
      </c>
      <c r="B310" t="s">
        <v>1135</v>
      </c>
      <c r="C310" t="s">
        <v>829</v>
      </c>
      <c r="D310" t="s">
        <v>3698</v>
      </c>
      <c r="E310" t="s">
        <v>1181</v>
      </c>
      <c r="F310" t="s">
        <v>956</v>
      </c>
      <c r="G310" s="1">
        <v>3272</v>
      </c>
      <c r="H310">
        <v>24</v>
      </c>
      <c r="I310" t="b">
        <f>AND(COUNTIF(CO!A:A,A310)&gt;0,COUNTIF('NO2'!A:A,A310)&gt;0,COUNTIF('O3'!A:A,A310)&gt;0,COUNTIF('PM10'!A:A,A310)&gt;0,COUNTIF('SO2'!A:A,A310)&gt;0,COUNTIF(Kendaraan!A:A,A310)&gt;0)</f>
        <v>1</v>
      </c>
    </row>
    <row r="311" spans="1:9" x14ac:dyDescent="0.45">
      <c r="A311" s="4">
        <v>45702</v>
      </c>
      <c r="B311" t="s">
        <v>934</v>
      </c>
      <c r="C311" t="s">
        <v>490</v>
      </c>
      <c r="D311" t="s">
        <v>910</v>
      </c>
      <c r="E311" t="s">
        <v>1256</v>
      </c>
      <c r="F311" t="s">
        <v>502</v>
      </c>
      <c r="G311" s="1">
        <v>2629</v>
      </c>
      <c r="H311">
        <v>24</v>
      </c>
      <c r="I311" t="b">
        <f>AND(COUNTIF(CO!A:A,A311)&gt;0,COUNTIF('NO2'!A:A,A311)&gt;0,COUNTIF('O3'!A:A,A311)&gt;0,COUNTIF('PM10'!A:A,A311)&gt;0,COUNTIF('SO2'!A:A,A311)&gt;0,COUNTIF(Kendaraan!A:A,A311)&gt;0)</f>
        <v>1</v>
      </c>
    </row>
    <row r="312" spans="1:9" x14ac:dyDescent="0.45">
      <c r="A312" s="4">
        <v>45703</v>
      </c>
      <c r="B312" t="s">
        <v>1502</v>
      </c>
      <c r="C312" t="s">
        <v>829</v>
      </c>
      <c r="D312" t="s">
        <v>692</v>
      </c>
      <c r="E312" t="s">
        <v>1935</v>
      </c>
      <c r="F312" t="s">
        <v>2382</v>
      </c>
      <c r="G312" s="1">
        <v>1969</v>
      </c>
      <c r="H312">
        <v>24</v>
      </c>
      <c r="I312" t="b">
        <f>AND(COUNTIF(CO!A:A,A312)&gt;0,COUNTIF('NO2'!A:A,A312)&gt;0,COUNTIF('O3'!A:A,A312)&gt;0,COUNTIF('PM10'!A:A,A312)&gt;0,COUNTIF('SO2'!A:A,A312)&gt;0,COUNTIF(Kendaraan!A:A,A312)&gt;0)</f>
        <v>1</v>
      </c>
    </row>
    <row r="313" spans="1:9" x14ac:dyDescent="0.45">
      <c r="A313" s="4">
        <v>45704</v>
      </c>
      <c r="B313" t="s">
        <v>424</v>
      </c>
      <c r="C313" t="s">
        <v>2006</v>
      </c>
      <c r="D313" t="s">
        <v>2147</v>
      </c>
      <c r="E313" t="s">
        <v>403</v>
      </c>
      <c r="F313" t="s">
        <v>2872</v>
      </c>
      <c r="G313" s="1">
        <v>1815</v>
      </c>
      <c r="H313">
        <v>24</v>
      </c>
      <c r="I313" t="b">
        <f>AND(COUNTIF(CO!A:A,A313)&gt;0,COUNTIF('NO2'!A:A,A313)&gt;0,COUNTIF('O3'!A:A,A313)&gt;0,COUNTIF('PM10'!A:A,A313)&gt;0,COUNTIF('SO2'!A:A,A313)&gt;0,COUNTIF(Kendaraan!A:A,A313)&gt;0)</f>
        <v>1</v>
      </c>
    </row>
    <row r="314" spans="1:9" x14ac:dyDescent="0.45">
      <c r="A314" s="4">
        <v>45705</v>
      </c>
      <c r="B314" t="s">
        <v>1577</v>
      </c>
      <c r="C314" t="s">
        <v>1393</v>
      </c>
      <c r="D314" t="s">
        <v>1101</v>
      </c>
      <c r="E314" t="s">
        <v>2408</v>
      </c>
      <c r="F314" t="s">
        <v>1212</v>
      </c>
      <c r="G314" s="1">
        <v>2289</v>
      </c>
      <c r="H314">
        <v>24</v>
      </c>
      <c r="I314" t="b">
        <f>AND(COUNTIF(CO!A:A,A314)&gt;0,COUNTIF('NO2'!A:A,A314)&gt;0,COUNTIF('O3'!A:A,A314)&gt;0,COUNTIF('PM10'!A:A,A314)&gt;0,COUNTIF('SO2'!A:A,A314)&gt;0,COUNTIF(Kendaraan!A:A,A314)&gt;0)</f>
        <v>1</v>
      </c>
    </row>
    <row r="315" spans="1:9" x14ac:dyDescent="0.45">
      <c r="A315" s="4">
        <v>45706</v>
      </c>
      <c r="B315" t="s">
        <v>2406</v>
      </c>
      <c r="C315" t="s">
        <v>1427</v>
      </c>
      <c r="D315" t="s">
        <v>608</v>
      </c>
      <c r="E315" t="s">
        <v>587</v>
      </c>
      <c r="F315" t="s">
        <v>514</v>
      </c>
      <c r="G315" t="s">
        <v>3773</v>
      </c>
      <c r="H315">
        <v>24</v>
      </c>
      <c r="I315" t="b">
        <f>AND(COUNTIF(CO!A:A,A315)&gt;0,COUNTIF('NO2'!A:A,A315)&gt;0,COUNTIF('O3'!A:A,A315)&gt;0,COUNTIF('PM10'!A:A,A315)&gt;0,COUNTIF('SO2'!A:A,A315)&gt;0,COUNTIF(Kendaraan!A:A,A315)&gt;0)</f>
        <v>1</v>
      </c>
    </row>
    <row r="316" spans="1:9" x14ac:dyDescent="0.45">
      <c r="A316" s="4">
        <v>45707</v>
      </c>
      <c r="B316" t="s">
        <v>1360</v>
      </c>
      <c r="C316" t="s">
        <v>443</v>
      </c>
      <c r="D316" t="s">
        <v>3802</v>
      </c>
      <c r="E316" t="s">
        <v>1300</v>
      </c>
      <c r="F316" t="s">
        <v>1295</v>
      </c>
      <c r="G316" s="1">
        <v>2359</v>
      </c>
      <c r="H316">
        <v>24</v>
      </c>
      <c r="I316" t="b">
        <f>AND(COUNTIF(CO!A:A,A316)&gt;0,COUNTIF('NO2'!A:A,A316)&gt;0,COUNTIF('O3'!A:A,A316)&gt;0,COUNTIF('PM10'!A:A,A316)&gt;0,COUNTIF('SO2'!A:A,A316)&gt;0,COUNTIF(Kendaraan!A:A,A316)&gt;0)</f>
        <v>1</v>
      </c>
    </row>
    <row r="317" spans="1:9" x14ac:dyDescent="0.45">
      <c r="A317" s="4">
        <v>45708</v>
      </c>
      <c r="B317" t="s">
        <v>1208</v>
      </c>
      <c r="C317" t="s">
        <v>431</v>
      </c>
      <c r="D317" t="s">
        <v>3812</v>
      </c>
      <c r="E317" t="s">
        <v>889</v>
      </c>
      <c r="F317" t="s">
        <v>2574</v>
      </c>
      <c r="G317" t="s">
        <v>3503</v>
      </c>
      <c r="H317">
        <v>24</v>
      </c>
      <c r="I317" t="b">
        <f>AND(COUNTIF(CO!A:A,A317)&gt;0,COUNTIF('NO2'!A:A,A317)&gt;0,COUNTIF('O3'!A:A,A317)&gt;0,COUNTIF('PM10'!A:A,A317)&gt;0,COUNTIF('SO2'!A:A,A317)&gt;0,COUNTIF(Kendaraan!A:A,A317)&gt;0)</f>
        <v>1</v>
      </c>
    </row>
    <row r="318" spans="1:9" x14ac:dyDescent="0.45">
      <c r="A318" s="4">
        <v>45709</v>
      </c>
      <c r="B318" t="s">
        <v>1569</v>
      </c>
      <c r="C318" t="s">
        <v>3129</v>
      </c>
      <c r="D318" t="s">
        <v>440</v>
      </c>
      <c r="E318" t="s">
        <v>1238</v>
      </c>
      <c r="F318" t="s">
        <v>676</v>
      </c>
      <c r="G318" t="s">
        <v>3688</v>
      </c>
      <c r="H318">
        <v>23</v>
      </c>
      <c r="I318" t="b">
        <f>AND(COUNTIF(CO!A:A,A318)&gt;0,COUNTIF('NO2'!A:A,A318)&gt;0,COUNTIF('O3'!A:A,A318)&gt;0,COUNTIF('PM10'!A:A,A318)&gt;0,COUNTIF('SO2'!A:A,A318)&gt;0,COUNTIF(Kendaraan!A:A,A318)&gt;0)</f>
        <v>1</v>
      </c>
    </row>
    <row r="319" spans="1:9" x14ac:dyDescent="0.45">
      <c r="A319" s="4">
        <v>45710</v>
      </c>
      <c r="B319" t="s">
        <v>2050</v>
      </c>
      <c r="C319" t="s">
        <v>3392</v>
      </c>
      <c r="D319" t="s">
        <v>3885</v>
      </c>
      <c r="E319" t="s">
        <v>3385</v>
      </c>
      <c r="F319" t="s">
        <v>3502</v>
      </c>
      <c r="G319" s="1">
        <v>1637</v>
      </c>
      <c r="H319">
        <v>19</v>
      </c>
      <c r="I319" t="b">
        <f>AND(COUNTIF(CO!A:A,A319)&gt;0,COUNTIF('NO2'!A:A,A319)&gt;0,COUNTIF('O3'!A:A,A319)&gt;0,COUNTIF('PM10'!A:A,A319)&gt;0,COUNTIF('SO2'!A:A,A319)&gt;0,COUNTIF(Kendaraan!A:A,A319)&gt;0)</f>
        <v>1</v>
      </c>
    </row>
    <row r="320" spans="1:9" x14ac:dyDescent="0.45">
      <c r="A320" s="4">
        <v>45722</v>
      </c>
      <c r="B320" t="s">
        <v>2941</v>
      </c>
      <c r="C320" t="s">
        <v>3886</v>
      </c>
      <c r="D320" t="s">
        <v>3887</v>
      </c>
      <c r="E320" t="s">
        <v>3888</v>
      </c>
      <c r="F320" t="s">
        <v>3889</v>
      </c>
      <c r="G320" s="1">
        <v>3446</v>
      </c>
      <c r="H320">
        <v>6</v>
      </c>
      <c r="I320" t="b">
        <f>AND(COUNTIF(CO!A:A,A320)&gt;0,COUNTIF('NO2'!A:A,A320)&gt;0,COUNTIF('O3'!A:A,A320)&gt;0,COUNTIF('PM10'!A:A,A320)&gt;0,COUNTIF('SO2'!A:A,A320)&gt;0,COUNTIF(Kendaraan!A:A,A320)&gt;0)</f>
        <v>1</v>
      </c>
    </row>
    <row r="321" spans="1:9" x14ac:dyDescent="0.45">
      <c r="A321" s="4">
        <v>45723</v>
      </c>
      <c r="B321" t="s">
        <v>3168</v>
      </c>
      <c r="C321">
        <v>16</v>
      </c>
      <c r="D321" t="s">
        <v>1186</v>
      </c>
      <c r="E321" t="s">
        <v>1299</v>
      </c>
      <c r="F321" t="s">
        <v>1093</v>
      </c>
      <c r="G321" s="1">
        <v>1617</v>
      </c>
      <c r="H321">
        <v>5</v>
      </c>
      <c r="I321" t="b">
        <f>AND(COUNTIF(CO!A:A,A321)&gt;0,COUNTIF('NO2'!A:A,A321)&gt;0,COUNTIF('O3'!A:A,A321)&gt;0,COUNTIF('PM10'!A:A,A321)&gt;0,COUNTIF('SO2'!A:A,A321)&gt;0,COUNTIF(Kendaraan!A:A,A321)&gt;0)</f>
        <v>1</v>
      </c>
    </row>
    <row r="322" spans="1:9" x14ac:dyDescent="0.45">
      <c r="A322" s="4">
        <v>45724</v>
      </c>
      <c r="B322" t="s">
        <v>1790</v>
      </c>
      <c r="C322" t="s">
        <v>3169</v>
      </c>
      <c r="D322" t="s">
        <v>937</v>
      </c>
      <c r="E322" t="s">
        <v>3464</v>
      </c>
      <c r="F322" t="s">
        <v>1503</v>
      </c>
      <c r="G322" s="1">
        <v>2015</v>
      </c>
      <c r="H322">
        <v>24</v>
      </c>
      <c r="I322" t="b">
        <f>AND(COUNTIF(CO!A:A,A322)&gt;0,COUNTIF('NO2'!A:A,A322)&gt;0,COUNTIF('O3'!A:A,A322)&gt;0,COUNTIF('PM10'!A:A,A322)&gt;0,COUNTIF('SO2'!A:A,A322)&gt;0,COUNTIF(Kendaraan!A:A,A322)&gt;0)</f>
        <v>1</v>
      </c>
    </row>
    <row r="323" spans="1:9" x14ac:dyDescent="0.45">
      <c r="A323" s="4">
        <v>45725</v>
      </c>
      <c r="B323" t="s">
        <v>365</v>
      </c>
      <c r="C323" t="s">
        <v>1150</v>
      </c>
      <c r="D323" t="s">
        <v>3235</v>
      </c>
      <c r="E323" t="s">
        <v>3692</v>
      </c>
      <c r="F323" t="s">
        <v>1129</v>
      </c>
      <c r="G323" s="1">
        <v>1933</v>
      </c>
      <c r="H323">
        <v>24</v>
      </c>
      <c r="I323" t="b">
        <f>AND(COUNTIF(CO!A:A,A323)&gt;0,COUNTIF('NO2'!A:A,A323)&gt;0,COUNTIF('O3'!A:A,A323)&gt;0,COUNTIF('PM10'!A:A,A323)&gt;0,COUNTIF('SO2'!A:A,A323)&gt;0,COUNTIF(Kendaraan!A:A,A323)&gt;0)</f>
        <v>1</v>
      </c>
    </row>
    <row r="324" spans="1:9" x14ac:dyDescent="0.45">
      <c r="A324" s="4">
        <v>45726</v>
      </c>
      <c r="B324" t="s">
        <v>1127</v>
      </c>
      <c r="C324" t="s">
        <v>1968</v>
      </c>
      <c r="D324" t="s">
        <v>2059</v>
      </c>
      <c r="E324" t="s">
        <v>1628</v>
      </c>
      <c r="F324" t="s">
        <v>1460</v>
      </c>
      <c r="G324" t="s">
        <v>3500</v>
      </c>
      <c r="H324">
        <v>24</v>
      </c>
      <c r="I324" t="b">
        <f>AND(COUNTIF(CO!A:A,A324)&gt;0,COUNTIF('NO2'!A:A,A324)&gt;0,COUNTIF('O3'!A:A,A324)&gt;0,COUNTIF('PM10'!A:A,A324)&gt;0,COUNTIF('SO2'!A:A,A324)&gt;0,COUNTIF(Kendaraan!A:A,A324)&gt;0)</f>
        <v>1</v>
      </c>
    </row>
    <row r="325" spans="1:9" x14ac:dyDescent="0.45">
      <c r="A325" s="4">
        <v>45727</v>
      </c>
      <c r="B325" t="s">
        <v>340</v>
      </c>
      <c r="C325" t="s">
        <v>3155</v>
      </c>
      <c r="D325" t="s">
        <v>3497</v>
      </c>
      <c r="E325" t="s">
        <v>3159</v>
      </c>
      <c r="F325" t="s">
        <v>1973</v>
      </c>
      <c r="G325" s="1">
        <v>2668</v>
      </c>
      <c r="H325">
        <v>24</v>
      </c>
      <c r="I325" t="b">
        <f>AND(COUNTIF(CO!A:A,A325)&gt;0,COUNTIF('NO2'!A:A,A325)&gt;0,COUNTIF('O3'!A:A,A325)&gt;0,COUNTIF('PM10'!A:A,A325)&gt;0,COUNTIF('SO2'!A:A,A325)&gt;0,COUNTIF(Kendaraan!A:A,A325)&gt;0)</f>
        <v>1</v>
      </c>
    </row>
    <row r="326" spans="1:9" x14ac:dyDescent="0.45">
      <c r="A326" s="4">
        <v>45728</v>
      </c>
      <c r="B326" t="s">
        <v>513</v>
      </c>
      <c r="C326" t="s">
        <v>3075</v>
      </c>
      <c r="D326" t="s">
        <v>2029</v>
      </c>
      <c r="E326" t="s">
        <v>476</v>
      </c>
      <c r="F326" t="s">
        <v>2318</v>
      </c>
      <c r="G326" t="s">
        <v>3890</v>
      </c>
      <c r="H326">
        <v>24</v>
      </c>
      <c r="I326" t="b">
        <f>AND(COUNTIF(CO!A:A,A326)&gt;0,COUNTIF('NO2'!A:A,A326)&gt;0,COUNTIF('O3'!A:A,A326)&gt;0,COUNTIF('PM10'!A:A,A326)&gt;0,COUNTIF('SO2'!A:A,A326)&gt;0,COUNTIF(Kendaraan!A:A,A326)&gt;0)</f>
        <v>1</v>
      </c>
    </row>
    <row r="327" spans="1:9" x14ac:dyDescent="0.45">
      <c r="A327" s="4">
        <v>45729</v>
      </c>
      <c r="B327" t="s">
        <v>3311</v>
      </c>
      <c r="C327" t="s">
        <v>3891</v>
      </c>
      <c r="D327" t="s">
        <v>3892</v>
      </c>
      <c r="E327" t="s">
        <v>2354</v>
      </c>
      <c r="F327" t="s">
        <v>3893</v>
      </c>
      <c r="G327" s="1">
        <v>3428</v>
      </c>
      <c r="H327">
        <v>24</v>
      </c>
      <c r="I327" t="b">
        <f>AND(COUNTIF(CO!A:A,A327)&gt;0,COUNTIF('NO2'!A:A,A327)&gt;0,COUNTIF('O3'!A:A,A327)&gt;0,COUNTIF('PM10'!A:A,A327)&gt;0,COUNTIF('SO2'!A:A,A327)&gt;0,COUNTIF(Kendaraan!A:A,A327)&gt;0)</f>
        <v>1</v>
      </c>
    </row>
    <row r="328" spans="1:9" x14ac:dyDescent="0.45">
      <c r="A328" s="4">
        <v>45730</v>
      </c>
      <c r="B328" t="s">
        <v>1983</v>
      </c>
      <c r="C328" t="s">
        <v>3323</v>
      </c>
      <c r="D328" t="s">
        <v>2953</v>
      </c>
      <c r="E328" t="s">
        <v>1850</v>
      </c>
      <c r="F328" t="s">
        <v>2580</v>
      </c>
      <c r="G328" s="1">
        <v>2465</v>
      </c>
      <c r="H328">
        <v>24</v>
      </c>
      <c r="I328" t="b">
        <f>AND(COUNTIF(CO!A:A,A328)&gt;0,COUNTIF('NO2'!A:A,A328)&gt;0,COUNTIF('O3'!A:A,A328)&gt;0,COUNTIF('PM10'!A:A,A328)&gt;0,COUNTIF('SO2'!A:A,A328)&gt;0,COUNTIF(Kendaraan!A:A,A328)&gt;0)</f>
        <v>1</v>
      </c>
    </row>
    <row r="329" spans="1:9" x14ac:dyDescent="0.45">
      <c r="A329" s="4">
        <v>45731</v>
      </c>
      <c r="B329" t="s">
        <v>1653</v>
      </c>
      <c r="C329" t="s">
        <v>623</v>
      </c>
      <c r="D329" t="s">
        <v>2750</v>
      </c>
      <c r="E329" t="s">
        <v>1299</v>
      </c>
      <c r="F329">
        <v>19</v>
      </c>
      <c r="G329" s="1">
        <v>3488</v>
      </c>
      <c r="H329">
        <v>24</v>
      </c>
      <c r="I329" t="b">
        <f>AND(COUNTIF(CO!A:A,A329)&gt;0,COUNTIF('NO2'!A:A,A329)&gt;0,COUNTIF('O3'!A:A,A329)&gt;0,COUNTIF('PM10'!A:A,A329)&gt;0,COUNTIF('SO2'!A:A,A329)&gt;0,COUNTIF(Kendaraan!A:A,A329)&gt;0)</f>
        <v>1</v>
      </c>
    </row>
    <row r="330" spans="1:9" x14ac:dyDescent="0.45">
      <c r="A330" s="4">
        <v>45732</v>
      </c>
      <c r="B330" t="s">
        <v>924</v>
      </c>
      <c r="C330" t="s">
        <v>2727</v>
      </c>
      <c r="D330" t="s">
        <v>1879</v>
      </c>
      <c r="E330" t="s">
        <v>710</v>
      </c>
      <c r="F330" t="s">
        <v>1709</v>
      </c>
      <c r="G330" s="1">
        <v>1924</v>
      </c>
      <c r="H330">
        <v>24</v>
      </c>
      <c r="I330" t="b">
        <f>AND(COUNTIF(CO!A:A,A330)&gt;0,COUNTIF('NO2'!A:A,A330)&gt;0,COUNTIF('O3'!A:A,A330)&gt;0,COUNTIF('PM10'!A:A,A330)&gt;0,COUNTIF('SO2'!A:A,A330)&gt;0,COUNTIF(Kendaraan!A:A,A330)&gt;0)</f>
        <v>1</v>
      </c>
    </row>
    <row r="331" spans="1:9" x14ac:dyDescent="0.45">
      <c r="A331" s="4">
        <v>45733</v>
      </c>
      <c r="B331" t="s">
        <v>1364</v>
      </c>
      <c r="C331" t="s">
        <v>1106</v>
      </c>
      <c r="D331" t="s">
        <v>3093</v>
      </c>
      <c r="E331" t="s">
        <v>1190</v>
      </c>
      <c r="F331" t="s">
        <v>1091</v>
      </c>
      <c r="G331" s="1">
        <v>1142</v>
      </c>
      <c r="H331">
        <v>24</v>
      </c>
      <c r="I331" t="b">
        <f>AND(COUNTIF(CO!A:A,A331)&gt;0,COUNTIF('NO2'!A:A,A331)&gt;0,COUNTIF('O3'!A:A,A331)&gt;0,COUNTIF('PM10'!A:A,A331)&gt;0,COUNTIF('SO2'!A:A,A331)&gt;0,COUNTIF(Kendaraan!A:A,A331)&gt;0)</f>
        <v>1</v>
      </c>
    </row>
    <row r="332" spans="1:9" x14ac:dyDescent="0.45">
      <c r="A332" s="4">
        <v>45734</v>
      </c>
      <c r="B332" t="s">
        <v>1786</v>
      </c>
      <c r="C332" t="s">
        <v>927</v>
      </c>
      <c r="D332" t="s">
        <v>2959</v>
      </c>
      <c r="E332" t="s">
        <v>3089</v>
      </c>
      <c r="F332" t="s">
        <v>3894</v>
      </c>
      <c r="G332" s="1">
        <v>1431</v>
      </c>
      <c r="H332">
        <v>24</v>
      </c>
      <c r="I332" t="b">
        <f>AND(COUNTIF(CO!A:A,A332)&gt;0,COUNTIF('NO2'!A:A,A332)&gt;0,COUNTIF('O3'!A:A,A332)&gt;0,COUNTIF('PM10'!A:A,A332)&gt;0,COUNTIF('SO2'!A:A,A332)&gt;0,COUNTIF(Kendaraan!A:A,A332)&gt;0)</f>
        <v>1</v>
      </c>
    </row>
    <row r="333" spans="1:9" x14ac:dyDescent="0.45">
      <c r="A333" s="4">
        <v>45735</v>
      </c>
      <c r="B333" t="s">
        <v>2790</v>
      </c>
      <c r="C333" t="s">
        <v>3522</v>
      </c>
      <c r="D333" t="s">
        <v>1697</v>
      </c>
      <c r="E333" t="s">
        <v>1128</v>
      </c>
      <c r="F333" t="s">
        <v>3228</v>
      </c>
      <c r="G333" s="1">
        <v>1415</v>
      </c>
      <c r="H333">
        <v>24</v>
      </c>
      <c r="I333" t="b">
        <f>AND(COUNTIF(CO!A:A,A333)&gt;0,COUNTIF('NO2'!A:A,A333)&gt;0,COUNTIF('O3'!A:A,A333)&gt;0,COUNTIF('PM10'!A:A,A333)&gt;0,COUNTIF('SO2'!A:A,A333)&gt;0,COUNTIF(Kendaraan!A:A,A333)&gt;0)</f>
        <v>1</v>
      </c>
    </row>
    <row r="334" spans="1:9" x14ac:dyDescent="0.45">
      <c r="A334" s="4">
        <v>45736</v>
      </c>
      <c r="B334" t="s">
        <v>1931</v>
      </c>
      <c r="C334" t="s">
        <v>1271</v>
      </c>
      <c r="D334" t="s">
        <v>3119</v>
      </c>
      <c r="E334" t="s">
        <v>1452</v>
      </c>
      <c r="F334" t="s">
        <v>895</v>
      </c>
      <c r="G334" t="s">
        <v>132</v>
      </c>
      <c r="H334">
        <v>24</v>
      </c>
      <c r="I334" t="b">
        <f>AND(COUNTIF(CO!A:A,A334)&gt;0,COUNTIF('NO2'!A:A,A334)&gt;0,COUNTIF('O3'!A:A,A334)&gt;0,COUNTIF('PM10'!A:A,A334)&gt;0,COUNTIF('SO2'!A:A,A334)&gt;0,COUNTIF(Kendaraan!A:A,A334)&gt;0)</f>
        <v>1</v>
      </c>
    </row>
    <row r="335" spans="1:9" x14ac:dyDescent="0.45">
      <c r="A335" s="4">
        <v>45737</v>
      </c>
      <c r="B335" t="s">
        <v>1144</v>
      </c>
      <c r="C335" t="s">
        <v>3895</v>
      </c>
      <c r="D335" t="s">
        <v>2971</v>
      </c>
      <c r="E335" t="s">
        <v>1236</v>
      </c>
      <c r="F335" t="s">
        <v>2561</v>
      </c>
      <c r="G335" s="1">
        <v>4022</v>
      </c>
      <c r="H335">
        <v>23</v>
      </c>
      <c r="I335" t="b">
        <f>AND(COUNTIF(CO!A:A,A335)&gt;0,COUNTIF('NO2'!A:A,A335)&gt;0,COUNTIF('O3'!A:A,A335)&gt;0,COUNTIF('PM10'!A:A,A335)&gt;0,COUNTIF('SO2'!A:A,A335)&gt;0,COUNTIF(Kendaraan!A:A,A335)&gt;0)</f>
        <v>1</v>
      </c>
    </row>
    <row r="336" spans="1:9" x14ac:dyDescent="0.45">
      <c r="A336" s="4">
        <v>45738</v>
      </c>
      <c r="B336" t="s">
        <v>895</v>
      </c>
      <c r="C336" t="s">
        <v>1904</v>
      </c>
      <c r="D336" t="s">
        <v>2038</v>
      </c>
      <c r="E336" t="s">
        <v>2949</v>
      </c>
      <c r="F336" t="s">
        <v>3175</v>
      </c>
      <c r="G336" t="s">
        <v>3896</v>
      </c>
      <c r="H336">
        <v>24</v>
      </c>
      <c r="I336" t="b">
        <f>AND(COUNTIF(CO!A:A,A336)&gt;0,COUNTIF('NO2'!A:A,A336)&gt;0,COUNTIF('O3'!A:A,A336)&gt;0,COUNTIF('PM10'!A:A,A336)&gt;0,COUNTIF('SO2'!A:A,A336)&gt;0,COUNTIF(Kendaraan!A:A,A336)&gt;0)</f>
        <v>1</v>
      </c>
    </row>
    <row r="337" spans="1:9" x14ac:dyDescent="0.45">
      <c r="A337" s="4">
        <v>45739</v>
      </c>
      <c r="B337" t="s">
        <v>1670</v>
      </c>
      <c r="C337" t="s">
        <v>3897</v>
      </c>
      <c r="D337" t="s">
        <v>539</v>
      </c>
      <c r="E337" t="s">
        <v>3693</v>
      </c>
      <c r="F337">
        <v>38</v>
      </c>
      <c r="G337" s="1">
        <v>8809</v>
      </c>
      <c r="H337">
        <v>24</v>
      </c>
      <c r="I337" t="b">
        <f>AND(COUNTIF(CO!A:A,A337)&gt;0,COUNTIF('NO2'!A:A,A337)&gt;0,COUNTIF('O3'!A:A,A337)&gt;0,COUNTIF('PM10'!A:A,A337)&gt;0,COUNTIF('SO2'!A:A,A337)&gt;0,COUNTIF(Kendaraan!A:A,A337)&gt;0)</f>
        <v>1</v>
      </c>
    </row>
    <row r="338" spans="1:9" x14ac:dyDescent="0.45">
      <c r="A338" s="4">
        <v>45740</v>
      </c>
      <c r="B338" t="s">
        <v>3154</v>
      </c>
      <c r="C338" t="s">
        <v>3734</v>
      </c>
      <c r="D338" t="s">
        <v>3898</v>
      </c>
      <c r="E338" t="s">
        <v>3270</v>
      </c>
      <c r="F338" t="s">
        <v>3899</v>
      </c>
      <c r="G338" s="1">
        <v>8539</v>
      </c>
      <c r="H338">
        <v>23</v>
      </c>
      <c r="I338" t="b">
        <f>AND(COUNTIF(CO!A:A,A338)&gt;0,COUNTIF('NO2'!A:A,A338)&gt;0,COUNTIF('O3'!A:A,A338)&gt;0,COUNTIF('PM10'!A:A,A338)&gt;0,COUNTIF('SO2'!A:A,A338)&gt;0,COUNTIF(Kendaraan!A:A,A338)&gt;0)</f>
        <v>1</v>
      </c>
    </row>
    <row r="339" spans="1:9" x14ac:dyDescent="0.45">
      <c r="A339" s="4">
        <v>45741</v>
      </c>
      <c r="B339" t="s">
        <v>1183</v>
      </c>
      <c r="C339" t="s">
        <v>824</v>
      </c>
      <c r="D339" t="s">
        <v>1662</v>
      </c>
      <c r="E339" t="s">
        <v>1928</v>
      </c>
      <c r="F339" t="s">
        <v>1219</v>
      </c>
      <c r="G339" s="1">
        <v>2335</v>
      </c>
      <c r="H339">
        <v>24</v>
      </c>
      <c r="I339" t="b">
        <f>AND(COUNTIF(CO!A:A,A339)&gt;0,COUNTIF('NO2'!A:A,A339)&gt;0,COUNTIF('O3'!A:A,A339)&gt;0,COUNTIF('PM10'!A:A,A339)&gt;0,COUNTIF('SO2'!A:A,A339)&gt;0,COUNTIF(Kendaraan!A:A,A339)&gt;0)</f>
        <v>1</v>
      </c>
    </row>
    <row r="340" spans="1:9" x14ac:dyDescent="0.45">
      <c r="A340" s="4">
        <v>45742</v>
      </c>
      <c r="B340" t="s">
        <v>2964</v>
      </c>
      <c r="C340" t="s">
        <v>482</v>
      </c>
      <c r="D340" t="s">
        <v>407</v>
      </c>
      <c r="E340" t="s">
        <v>416</v>
      </c>
      <c r="F340" t="s">
        <v>489</v>
      </c>
      <c r="G340" s="1">
        <v>1283</v>
      </c>
      <c r="H340">
        <v>24</v>
      </c>
      <c r="I340" t="b">
        <f>AND(COUNTIF(CO!A:A,A340)&gt;0,COUNTIF('NO2'!A:A,A340)&gt;0,COUNTIF('O3'!A:A,A340)&gt;0,COUNTIF('PM10'!A:A,A340)&gt;0,COUNTIF('SO2'!A:A,A340)&gt;0,COUNTIF(Kendaraan!A:A,A340)&gt;0)</f>
        <v>1</v>
      </c>
    </row>
    <row r="341" spans="1:9" x14ac:dyDescent="0.45">
      <c r="A341" s="4">
        <v>45743</v>
      </c>
      <c r="B341" t="s">
        <v>614</v>
      </c>
      <c r="C341" t="s">
        <v>1401</v>
      </c>
      <c r="D341" t="s">
        <v>1400</v>
      </c>
      <c r="E341" t="s">
        <v>914</v>
      </c>
      <c r="F341" t="s">
        <v>918</v>
      </c>
      <c r="G341" t="s">
        <v>129</v>
      </c>
      <c r="H341">
        <v>9</v>
      </c>
      <c r="I341" t="b">
        <f>AND(COUNTIF(CO!A:A,A341)&gt;0,COUNTIF('NO2'!A:A,A341)&gt;0,COUNTIF('O3'!A:A,A341)&gt;0,COUNTIF('PM10'!A:A,A341)&gt;0,COUNTIF('SO2'!A:A,A341)&gt;0,COUNTIF(Kendaraan!A:A,A341)&gt;0)</f>
        <v>1</v>
      </c>
    </row>
    <row r="342" spans="1:9" x14ac:dyDescent="0.45">
      <c r="A342" s="4">
        <v>45744</v>
      </c>
      <c r="B342" t="s">
        <v>1173</v>
      </c>
      <c r="C342" t="s">
        <v>2137</v>
      </c>
      <c r="D342" t="s">
        <v>1547</v>
      </c>
      <c r="E342" t="s">
        <v>2382</v>
      </c>
      <c r="F342" t="s">
        <v>2874</v>
      </c>
      <c r="G342" s="1">
        <v>4463</v>
      </c>
      <c r="H342">
        <v>19</v>
      </c>
      <c r="I342" t="b">
        <f>AND(COUNTIF(CO!A:A,A342)&gt;0,COUNTIF('NO2'!A:A,A342)&gt;0,COUNTIF('O3'!A:A,A342)&gt;0,COUNTIF('PM10'!A:A,A342)&gt;0,COUNTIF('SO2'!A:A,A342)&gt;0,COUNTIF(Kendaraan!A:A,A342)&gt;0)</f>
        <v>1</v>
      </c>
    </row>
    <row r="343" spans="1:9" x14ac:dyDescent="0.45">
      <c r="A343" s="4">
        <v>45745</v>
      </c>
      <c r="B343" t="s">
        <v>3900</v>
      </c>
      <c r="C343" t="s">
        <v>1734</v>
      </c>
      <c r="D343" t="s">
        <v>1967</v>
      </c>
      <c r="E343" t="s">
        <v>3901</v>
      </c>
      <c r="F343" t="s">
        <v>1922</v>
      </c>
      <c r="G343" s="1">
        <v>2478</v>
      </c>
      <c r="H343">
        <v>24</v>
      </c>
      <c r="I343" t="b">
        <f>AND(COUNTIF(CO!A:A,A343)&gt;0,COUNTIF('NO2'!A:A,A343)&gt;0,COUNTIF('O3'!A:A,A343)&gt;0,COUNTIF('PM10'!A:A,A343)&gt;0,COUNTIF('SO2'!A:A,A343)&gt;0,COUNTIF(Kendaraan!A:A,A343)&gt;0)</f>
        <v>1</v>
      </c>
    </row>
    <row r="344" spans="1:9" x14ac:dyDescent="0.45">
      <c r="A344" s="4">
        <v>45746</v>
      </c>
      <c r="B344" t="s">
        <v>3081</v>
      </c>
      <c r="C344" t="s">
        <v>1070</v>
      </c>
      <c r="D344" t="s">
        <v>1338</v>
      </c>
      <c r="E344" t="s">
        <v>2704</v>
      </c>
      <c r="F344" t="s">
        <v>2747</v>
      </c>
      <c r="G344" s="1">
        <v>2394</v>
      </c>
      <c r="H344">
        <v>24</v>
      </c>
      <c r="I344" t="b">
        <f>AND(COUNTIF(CO!A:A,A344)&gt;0,COUNTIF('NO2'!A:A,A344)&gt;0,COUNTIF('O3'!A:A,A344)&gt;0,COUNTIF('PM10'!A:A,A344)&gt;0,COUNTIF('SO2'!A:A,A344)&gt;0,COUNTIF(Kendaraan!A:A,A344)&gt;0)</f>
        <v>1</v>
      </c>
    </row>
    <row r="345" spans="1:9" x14ac:dyDescent="0.45">
      <c r="A345" s="4">
        <v>45747</v>
      </c>
      <c r="B345" t="s">
        <v>1795</v>
      </c>
      <c r="C345" t="s">
        <v>1495</v>
      </c>
      <c r="D345" t="s">
        <v>726</v>
      </c>
      <c r="E345" t="s">
        <v>347</v>
      </c>
      <c r="F345" t="s">
        <v>1290</v>
      </c>
      <c r="G345" s="1">
        <v>1867</v>
      </c>
      <c r="H345">
        <v>22</v>
      </c>
      <c r="I345" t="b">
        <f>AND(COUNTIF(CO!A:A,A345)&gt;0,COUNTIF('NO2'!A:A,A345)&gt;0,COUNTIF('O3'!A:A,A345)&gt;0,COUNTIF('PM10'!A:A,A345)&gt;0,COUNTIF('SO2'!A:A,A345)&gt;0,COUNTIF(Kendaraan!A:A,A345)&gt;0)</f>
        <v>1</v>
      </c>
    </row>
    <row r="346" spans="1:9" x14ac:dyDescent="0.45">
      <c r="A346" s="4">
        <v>45748</v>
      </c>
      <c r="B346" t="s">
        <v>1859</v>
      </c>
      <c r="C346" t="s">
        <v>710</v>
      </c>
      <c r="D346" t="s">
        <v>723</v>
      </c>
      <c r="E346" t="s">
        <v>701</v>
      </c>
      <c r="F346" t="s">
        <v>3651</v>
      </c>
      <c r="G346" t="s">
        <v>1484</v>
      </c>
      <c r="H346">
        <v>4</v>
      </c>
      <c r="I346" t="b">
        <f>AND(COUNTIF(CO!A:A,A346)&gt;0,COUNTIF('NO2'!A:A,A346)&gt;0,COUNTIF('O3'!A:A,A346)&gt;0,COUNTIF('PM10'!A:A,A346)&gt;0,COUNTIF('SO2'!A:A,A346)&gt;0,COUNTIF(Kendaraan!A:A,A346)&gt;0)</f>
        <v>1</v>
      </c>
    </row>
    <row r="347" spans="1:9" x14ac:dyDescent="0.45">
      <c r="A347" s="4">
        <v>45755</v>
      </c>
      <c r="B347" t="s">
        <v>1848</v>
      </c>
      <c r="C347" t="s">
        <v>1858</v>
      </c>
      <c r="D347" t="s">
        <v>2782</v>
      </c>
      <c r="E347" t="s">
        <v>1848</v>
      </c>
      <c r="F347" t="s">
        <v>1858</v>
      </c>
      <c r="G347" t="s">
        <v>53</v>
      </c>
      <c r="H347">
        <v>2</v>
      </c>
      <c r="I347" t="b">
        <f>AND(COUNTIF(CO!A:A,A347)&gt;0,COUNTIF('NO2'!A:A,A347)&gt;0,COUNTIF('O3'!A:A,A347)&gt;0,COUNTIF('PM10'!A:A,A347)&gt;0,COUNTIF('SO2'!A:A,A347)&gt;0,COUNTIF(Kendaraan!A:A,A347)&gt;0)</f>
        <v>1</v>
      </c>
    </row>
    <row r="348" spans="1:9" x14ac:dyDescent="0.45">
      <c r="A348" s="4">
        <v>45756</v>
      </c>
      <c r="B348" t="s">
        <v>1857</v>
      </c>
      <c r="C348" t="s">
        <v>2368</v>
      </c>
      <c r="D348" t="s">
        <v>3264</v>
      </c>
      <c r="E348" t="s">
        <v>1999</v>
      </c>
      <c r="F348" t="s">
        <v>2007</v>
      </c>
      <c r="G348" s="1">
        <v>7863</v>
      </c>
      <c r="H348">
        <v>24</v>
      </c>
      <c r="I348" t="b">
        <f>AND(COUNTIF(CO!A:A,A348)&gt;0,COUNTIF('NO2'!A:A,A348)&gt;0,COUNTIF('O3'!A:A,A348)&gt;0,COUNTIF('PM10'!A:A,A348)&gt;0,COUNTIF('SO2'!A:A,A348)&gt;0,COUNTIF(Kendaraan!A:A,A348)&gt;0)</f>
        <v>1</v>
      </c>
    </row>
    <row r="349" spans="1:9" x14ac:dyDescent="0.45">
      <c r="A349" s="4">
        <v>45757</v>
      </c>
      <c r="B349" t="s">
        <v>3902</v>
      </c>
      <c r="C349" t="s">
        <v>3903</v>
      </c>
      <c r="D349" t="s">
        <v>2512</v>
      </c>
      <c r="E349" t="s">
        <v>3904</v>
      </c>
      <c r="F349" t="s">
        <v>3905</v>
      </c>
      <c r="G349" s="1">
        <v>3525</v>
      </c>
      <c r="H349">
        <v>17</v>
      </c>
      <c r="I349" t="b">
        <f>AND(COUNTIF(CO!A:A,A349)&gt;0,COUNTIF('NO2'!A:A,A349)&gt;0,COUNTIF('O3'!A:A,A349)&gt;0,COUNTIF('PM10'!A:A,A349)&gt;0,COUNTIF('SO2'!A:A,A349)&gt;0,COUNTIF(Kendaraan!A:A,A349)&gt;0)</f>
        <v>1</v>
      </c>
    </row>
    <row r="350" spans="1:9" x14ac:dyDescent="0.45">
      <c r="A350" s="4">
        <v>45759</v>
      </c>
      <c r="B350" t="s">
        <v>3385</v>
      </c>
      <c r="C350" t="s">
        <v>2967</v>
      </c>
      <c r="D350" t="s">
        <v>490</v>
      </c>
      <c r="E350" t="s">
        <v>501</v>
      </c>
      <c r="F350" t="s">
        <v>3156</v>
      </c>
      <c r="G350" s="1">
        <v>1583</v>
      </c>
      <c r="H350">
        <v>23</v>
      </c>
      <c r="I350" t="b">
        <f>AND(COUNTIF(CO!A:A,A350)&gt;0,COUNTIF('NO2'!A:A,A350)&gt;0,COUNTIF('O3'!A:A,A350)&gt;0,COUNTIF('PM10'!A:A,A350)&gt;0,COUNTIF('SO2'!A:A,A350)&gt;0,COUNTIF(Kendaraan!A:A,A350)&gt;0)</f>
        <v>1</v>
      </c>
    </row>
    <row r="351" spans="1:9" x14ac:dyDescent="0.45">
      <c r="A351" s="4">
        <v>45760</v>
      </c>
      <c r="B351" t="s">
        <v>1091</v>
      </c>
      <c r="C351" t="s">
        <v>900</v>
      </c>
      <c r="D351" t="s">
        <v>1100</v>
      </c>
      <c r="E351" t="s">
        <v>3114</v>
      </c>
      <c r="F351" t="s">
        <v>1230</v>
      </c>
      <c r="G351" s="1">
        <v>2126</v>
      </c>
      <c r="H351">
        <v>23</v>
      </c>
      <c r="I351" t="b">
        <f>AND(COUNTIF(CO!A:A,A351)&gt;0,COUNTIF('NO2'!A:A,A351)&gt;0,COUNTIF('O3'!A:A,A351)&gt;0,COUNTIF('PM10'!A:A,A351)&gt;0,COUNTIF('SO2'!A:A,A351)&gt;0,COUNTIF(Kendaraan!A:A,A351)&gt;0)</f>
        <v>1</v>
      </c>
    </row>
    <row r="352" spans="1:9" x14ac:dyDescent="0.45">
      <c r="A352" s="4">
        <v>45761</v>
      </c>
      <c r="B352" t="s">
        <v>2059</v>
      </c>
      <c r="C352" t="s">
        <v>1473</v>
      </c>
      <c r="D352" t="s">
        <v>1200</v>
      </c>
      <c r="E352" t="s">
        <v>3057</v>
      </c>
      <c r="F352" t="s">
        <v>1567</v>
      </c>
      <c r="G352" t="s">
        <v>3748</v>
      </c>
      <c r="H352">
        <v>24</v>
      </c>
      <c r="I352" t="b">
        <f>AND(COUNTIF(CO!A:A,A352)&gt;0,COUNTIF('NO2'!A:A,A352)&gt;0,COUNTIF('O3'!A:A,A352)&gt;0,COUNTIF('PM10'!A:A,A352)&gt;0,COUNTIF('SO2'!A:A,A352)&gt;0,COUNTIF(Kendaraan!A:A,A352)&gt;0)</f>
        <v>1</v>
      </c>
    </row>
    <row r="353" spans="1:9" x14ac:dyDescent="0.45">
      <c r="A353" s="4">
        <v>45762</v>
      </c>
      <c r="B353" t="s">
        <v>2057</v>
      </c>
      <c r="C353" t="s">
        <v>1866</v>
      </c>
      <c r="D353" t="s">
        <v>1470</v>
      </c>
      <c r="E353" t="s">
        <v>1498</v>
      </c>
      <c r="F353" t="s">
        <v>1223</v>
      </c>
      <c r="G353" t="s">
        <v>162</v>
      </c>
      <c r="H353">
        <v>24</v>
      </c>
      <c r="I353" t="b">
        <f>AND(COUNTIF(CO!A:A,A353)&gt;0,COUNTIF('NO2'!A:A,A353)&gt;0,COUNTIF('O3'!A:A,A353)&gt;0,COUNTIF('PM10'!A:A,A353)&gt;0,COUNTIF('SO2'!A:A,A353)&gt;0,COUNTIF(Kendaraan!A:A,A353)&gt;0)</f>
        <v>1</v>
      </c>
    </row>
    <row r="354" spans="1:9" x14ac:dyDescent="0.45">
      <c r="A354" s="4">
        <v>45763</v>
      </c>
      <c r="B354" t="s">
        <v>2382</v>
      </c>
      <c r="C354" t="s">
        <v>889</v>
      </c>
      <c r="D354" t="s">
        <v>892</v>
      </c>
      <c r="E354" t="s">
        <v>1561</v>
      </c>
      <c r="F354" t="s">
        <v>1270</v>
      </c>
      <c r="G354" t="s">
        <v>495</v>
      </c>
      <c r="H354">
        <v>13</v>
      </c>
      <c r="I354" t="b">
        <f>AND(COUNTIF(CO!A:A,A354)&gt;0,COUNTIF('NO2'!A:A,A354)&gt;0,COUNTIF('O3'!A:A,A354)&gt;0,COUNTIF('PM10'!A:A,A354)&gt;0,COUNTIF('SO2'!A:A,A354)&gt;0,COUNTIF(Kendaraan!A:A,A354)&gt;0)</f>
        <v>1</v>
      </c>
    </row>
    <row r="355" spans="1:9" x14ac:dyDescent="0.45">
      <c r="A355" s="4">
        <v>45764</v>
      </c>
      <c r="B355" t="s">
        <v>3661</v>
      </c>
      <c r="C355" t="s">
        <v>3906</v>
      </c>
      <c r="D355">
        <v>48</v>
      </c>
      <c r="E355" t="s">
        <v>2526</v>
      </c>
      <c r="F355" t="s">
        <v>3907</v>
      </c>
      <c r="G355" t="s">
        <v>222</v>
      </c>
      <c r="H355">
        <v>4</v>
      </c>
      <c r="I355" t="b">
        <f>AND(COUNTIF(CO!A:A,A355)&gt;0,COUNTIF('NO2'!A:A,A355)&gt;0,COUNTIF('O3'!A:A,A355)&gt;0,COUNTIF('PM10'!A:A,A355)&gt;0,COUNTIF('SO2'!A:A,A355)&gt;0,COUNTIF(Kendaraan!A:A,A355)&gt;0)</f>
        <v>1</v>
      </c>
    </row>
    <row r="356" spans="1:9" x14ac:dyDescent="0.45">
      <c r="A356" s="4">
        <v>45765</v>
      </c>
      <c r="B356" t="s">
        <v>2363</v>
      </c>
      <c r="C356" t="s">
        <v>3908</v>
      </c>
      <c r="D356" t="s">
        <v>3909</v>
      </c>
      <c r="E356" t="s">
        <v>3910</v>
      </c>
      <c r="F356" t="s">
        <v>3911</v>
      </c>
      <c r="G356" s="1">
        <v>7119</v>
      </c>
      <c r="H356">
        <v>24</v>
      </c>
      <c r="I356" t="b">
        <f>AND(COUNTIF(CO!A:A,A356)&gt;0,COUNTIF('NO2'!A:A,A356)&gt;0,COUNTIF('O3'!A:A,A356)&gt;0,COUNTIF('PM10'!A:A,A356)&gt;0,COUNTIF('SO2'!A:A,A356)&gt;0,COUNTIF(Kendaraan!A:A,A356)&gt;0)</f>
        <v>1</v>
      </c>
    </row>
    <row r="357" spans="1:9" x14ac:dyDescent="0.45">
      <c r="A357" s="4">
        <v>45766</v>
      </c>
      <c r="B357" t="s">
        <v>1154</v>
      </c>
      <c r="C357" t="s">
        <v>3657</v>
      </c>
      <c r="D357" t="s">
        <v>1489</v>
      </c>
      <c r="E357" t="s">
        <v>1471</v>
      </c>
      <c r="F357" t="s">
        <v>3278</v>
      </c>
      <c r="G357" s="1">
        <v>3621</v>
      </c>
      <c r="H357">
        <v>22</v>
      </c>
      <c r="I357" t="b">
        <f>AND(COUNTIF(CO!A:A,A357)&gt;0,COUNTIF('NO2'!A:A,A357)&gt;0,COUNTIF('O3'!A:A,A357)&gt;0,COUNTIF('PM10'!A:A,A357)&gt;0,COUNTIF('SO2'!A:A,A357)&gt;0,COUNTIF(Kendaraan!A:A,A357)&gt;0)</f>
        <v>1</v>
      </c>
    </row>
    <row r="358" spans="1:9" x14ac:dyDescent="0.45">
      <c r="A358" s="4">
        <v>45767</v>
      </c>
      <c r="B358" t="s">
        <v>1500</v>
      </c>
      <c r="C358" t="s">
        <v>1410</v>
      </c>
      <c r="D358" t="s">
        <v>1983</v>
      </c>
      <c r="E358" t="s">
        <v>1697</v>
      </c>
      <c r="F358" t="s">
        <v>1432</v>
      </c>
      <c r="G358" s="1">
        <v>1496</v>
      </c>
      <c r="H358">
        <v>24</v>
      </c>
      <c r="I358" t="b">
        <f>AND(COUNTIF(CO!A:A,A358)&gt;0,COUNTIF('NO2'!A:A,A358)&gt;0,COUNTIF('O3'!A:A,A358)&gt;0,COUNTIF('PM10'!A:A,A358)&gt;0,COUNTIF('SO2'!A:A,A358)&gt;0,COUNTIF(Kendaraan!A:A,A358)&gt;0)</f>
        <v>1</v>
      </c>
    </row>
    <row r="359" spans="1:9" x14ac:dyDescent="0.45">
      <c r="A359" s="4">
        <v>45768</v>
      </c>
      <c r="B359" t="s">
        <v>1653</v>
      </c>
      <c r="C359" t="s">
        <v>1508</v>
      </c>
      <c r="D359" t="s">
        <v>1067</v>
      </c>
      <c r="E359" t="s">
        <v>3089</v>
      </c>
      <c r="F359" t="s">
        <v>3130</v>
      </c>
      <c r="G359" s="1">
        <v>2606</v>
      </c>
      <c r="H359">
        <v>24</v>
      </c>
      <c r="I359" t="b">
        <f>AND(COUNTIF(CO!A:A,A359)&gt;0,COUNTIF('NO2'!A:A,A359)&gt;0,COUNTIF('O3'!A:A,A359)&gt;0,COUNTIF('PM10'!A:A,A359)&gt;0,COUNTIF('SO2'!A:A,A359)&gt;0,COUNTIF(Kendaraan!A:A,A359)&gt;0)</f>
        <v>1</v>
      </c>
    </row>
    <row r="360" spans="1:9" x14ac:dyDescent="0.45">
      <c r="A360" s="4">
        <v>45769</v>
      </c>
      <c r="B360">
        <v>6</v>
      </c>
      <c r="C360" t="s">
        <v>743</v>
      </c>
      <c r="D360" t="s">
        <v>3912</v>
      </c>
      <c r="E360" t="s">
        <v>1870</v>
      </c>
      <c r="F360" t="s">
        <v>1812</v>
      </c>
      <c r="G360" s="1">
        <v>1111</v>
      </c>
      <c r="H360">
        <v>24</v>
      </c>
      <c r="I360" t="b">
        <f>AND(COUNTIF(CO!A:A,A360)&gt;0,COUNTIF('NO2'!A:A,A360)&gt;0,COUNTIF('O3'!A:A,A360)&gt;0,COUNTIF('PM10'!A:A,A360)&gt;0,COUNTIF('SO2'!A:A,A360)&gt;0,COUNTIF(Kendaraan!A:A,A360)&gt;0)</f>
        <v>1</v>
      </c>
    </row>
    <row r="361" spans="1:9" x14ac:dyDescent="0.45">
      <c r="A361" s="4">
        <v>45770</v>
      </c>
      <c r="B361" t="s">
        <v>1044</v>
      </c>
      <c r="C361" t="s">
        <v>1807</v>
      </c>
      <c r="D361" t="s">
        <v>1430</v>
      </c>
      <c r="E361" t="s">
        <v>1751</v>
      </c>
      <c r="F361" t="s">
        <v>2700</v>
      </c>
      <c r="G361" t="s">
        <v>3195</v>
      </c>
      <c r="H361">
        <v>24</v>
      </c>
      <c r="I361" t="b">
        <f>AND(COUNTIF(CO!A:A,A361)&gt;0,COUNTIF('NO2'!A:A,A361)&gt;0,COUNTIF('O3'!A:A,A361)&gt;0,COUNTIF('PM10'!A:A,A361)&gt;0,COUNTIF('SO2'!A:A,A361)&gt;0,COUNTIF(Kendaraan!A:A,A361)&gt;0)</f>
        <v>1</v>
      </c>
    </row>
    <row r="362" spans="1:9" x14ac:dyDescent="0.45">
      <c r="A362" s="4">
        <v>45771</v>
      </c>
      <c r="B362" t="s">
        <v>2700</v>
      </c>
      <c r="C362" t="s">
        <v>3483</v>
      </c>
      <c r="D362" t="s">
        <v>3235</v>
      </c>
      <c r="E362" t="s">
        <v>2587</v>
      </c>
      <c r="F362" t="s">
        <v>1730</v>
      </c>
      <c r="G362" s="1">
        <v>1859</v>
      </c>
      <c r="H362">
        <v>24</v>
      </c>
      <c r="I362" t="b">
        <f>AND(COUNTIF(CO!A:A,A362)&gt;0,COUNTIF('NO2'!A:A,A362)&gt;0,COUNTIF('O3'!A:A,A362)&gt;0,COUNTIF('PM10'!A:A,A362)&gt;0,COUNTIF('SO2'!A:A,A362)&gt;0,COUNTIF(Kendaraan!A:A,A362)&gt;0)</f>
        <v>1</v>
      </c>
    </row>
    <row r="363" spans="1:9" x14ac:dyDescent="0.45">
      <c r="A363" s="4">
        <v>45772</v>
      </c>
      <c r="B363" t="s">
        <v>1498</v>
      </c>
      <c r="C363" t="s">
        <v>2817</v>
      </c>
      <c r="D363" t="s">
        <v>3268</v>
      </c>
      <c r="E363" t="s">
        <v>438</v>
      </c>
      <c r="F363" t="s">
        <v>3280</v>
      </c>
      <c r="G363" s="1">
        <v>4345</v>
      </c>
      <c r="H363">
        <v>24</v>
      </c>
      <c r="I363" t="b">
        <f>AND(COUNTIF(CO!A:A,A363)&gt;0,COUNTIF('NO2'!A:A,A363)&gt;0,COUNTIF('O3'!A:A,A363)&gt;0,COUNTIF('PM10'!A:A,A363)&gt;0,COUNTIF('SO2'!A:A,A363)&gt;0,COUNTIF(Kendaraan!A:A,A363)&gt;0)</f>
        <v>1</v>
      </c>
    </row>
    <row r="364" spans="1:9" x14ac:dyDescent="0.45">
      <c r="A364" s="4">
        <v>45773</v>
      </c>
      <c r="B364" t="s">
        <v>554</v>
      </c>
      <c r="C364" t="s">
        <v>3672</v>
      </c>
      <c r="D364" t="s">
        <v>3669</v>
      </c>
      <c r="E364" t="s">
        <v>2563</v>
      </c>
      <c r="F364" t="s">
        <v>3827</v>
      </c>
      <c r="G364" s="1">
        <v>3372</v>
      </c>
      <c r="H364">
        <v>24</v>
      </c>
      <c r="I364" t="b">
        <f>AND(COUNTIF(CO!A:A,A364)&gt;0,COUNTIF('NO2'!A:A,A364)&gt;0,COUNTIF('O3'!A:A,A364)&gt;0,COUNTIF('PM10'!A:A,A364)&gt;0,COUNTIF('SO2'!A:A,A364)&gt;0,COUNTIF(Kendaraan!A:A,A364)&gt;0)</f>
        <v>1</v>
      </c>
    </row>
    <row r="365" spans="1:9" x14ac:dyDescent="0.45">
      <c r="A365" s="4">
        <v>45774</v>
      </c>
      <c r="B365" t="s">
        <v>1353</v>
      </c>
      <c r="C365" t="s">
        <v>657</v>
      </c>
      <c r="D365" t="s">
        <v>340</v>
      </c>
      <c r="E365" t="s">
        <v>2405</v>
      </c>
      <c r="F365" t="s">
        <v>3363</v>
      </c>
      <c r="G365" s="1">
        <v>3084</v>
      </c>
      <c r="H365">
        <v>24</v>
      </c>
      <c r="I365" t="b">
        <f>AND(COUNTIF(CO!A:A,A365)&gt;0,COUNTIF('NO2'!A:A,A365)&gt;0,COUNTIF('O3'!A:A,A365)&gt;0,COUNTIF('PM10'!A:A,A365)&gt;0,COUNTIF('SO2'!A:A,A365)&gt;0,COUNTIF(Kendaraan!A:A,A365)&gt;0)</f>
        <v>1</v>
      </c>
    </row>
    <row r="366" spans="1:9" x14ac:dyDescent="0.45">
      <c r="A366" s="4">
        <v>45775</v>
      </c>
      <c r="B366" t="s">
        <v>1383</v>
      </c>
      <c r="C366" t="s">
        <v>1313</v>
      </c>
      <c r="D366" t="s">
        <v>3913</v>
      </c>
      <c r="E366" t="s">
        <v>941</v>
      </c>
      <c r="F366" t="s">
        <v>1780</v>
      </c>
      <c r="G366" t="s">
        <v>2473</v>
      </c>
      <c r="H366">
        <v>24</v>
      </c>
      <c r="I366" t="b">
        <f>AND(COUNTIF(CO!A:A,A366)&gt;0,COUNTIF('NO2'!A:A,A366)&gt;0,COUNTIF('O3'!A:A,A366)&gt;0,COUNTIF('PM10'!A:A,A366)&gt;0,COUNTIF('SO2'!A:A,A366)&gt;0,COUNTIF(Kendaraan!A:A,A366)&gt;0)</f>
        <v>1</v>
      </c>
    </row>
    <row r="367" spans="1:9" x14ac:dyDescent="0.45">
      <c r="A367" s="4">
        <v>45776</v>
      </c>
      <c r="B367" t="s">
        <v>2960</v>
      </c>
      <c r="C367" t="s">
        <v>626</v>
      </c>
      <c r="D367" t="s">
        <v>2401</v>
      </c>
      <c r="E367" t="s">
        <v>2959</v>
      </c>
      <c r="F367" t="s">
        <v>3112</v>
      </c>
      <c r="G367" s="1">
        <v>2742</v>
      </c>
      <c r="H367">
        <v>24</v>
      </c>
      <c r="I367" t="b">
        <f>AND(COUNTIF(CO!A:A,A367)&gt;0,COUNTIF('NO2'!A:A,A367)&gt;0,COUNTIF('O3'!A:A,A367)&gt;0,COUNTIF('PM10'!A:A,A367)&gt;0,COUNTIF('SO2'!A:A,A367)&gt;0,COUNTIF(Kendaraan!A:A,A367)&gt;0)</f>
        <v>1</v>
      </c>
    </row>
    <row r="368" spans="1:9" x14ac:dyDescent="0.45">
      <c r="A368" s="4">
        <v>45777</v>
      </c>
      <c r="B368" t="s">
        <v>1892</v>
      </c>
      <c r="C368" t="s">
        <v>2036</v>
      </c>
      <c r="D368" t="s">
        <v>3655</v>
      </c>
      <c r="E368" t="s">
        <v>624</v>
      </c>
      <c r="F368" t="s">
        <v>527</v>
      </c>
      <c r="G368" s="1">
        <v>1616</v>
      </c>
      <c r="H368">
        <v>24</v>
      </c>
      <c r="I368" t="b">
        <f>AND(COUNTIF(CO!A:A,A368)&gt;0,COUNTIF('NO2'!A:A,A368)&gt;0,COUNTIF('O3'!A:A,A368)&gt;0,COUNTIF('PM10'!A:A,A368)&gt;0,COUNTIF('SO2'!A:A,A368)&gt;0,COUNTIF(Kendaraan!A:A,A368)&gt;0)</f>
        <v>1</v>
      </c>
    </row>
    <row r="369" spans="1:9" x14ac:dyDescent="0.45">
      <c r="A369" s="4">
        <v>45778</v>
      </c>
      <c r="B369" t="s">
        <v>1537</v>
      </c>
      <c r="C369">
        <v>30</v>
      </c>
      <c r="D369" t="s">
        <v>1978</v>
      </c>
      <c r="E369" t="s">
        <v>1558</v>
      </c>
      <c r="F369">
        <v>30</v>
      </c>
      <c r="G369" s="1">
        <v>1188</v>
      </c>
      <c r="H369">
        <v>7</v>
      </c>
      <c r="I369" t="b">
        <f>AND(COUNTIF(CO!A:A,A369)&gt;0,COUNTIF('NO2'!A:A,A369)&gt;0,COUNTIF('O3'!A:A,A369)&gt;0,COUNTIF('PM10'!A:A,A369)&gt;0,COUNTIF('SO2'!A:A,A369)&gt;0,COUNTIF(Kendaraan!A:A,A369)&gt;0)</f>
        <v>1</v>
      </c>
    </row>
    <row r="370" spans="1:9" x14ac:dyDescent="0.45">
      <c r="A370" s="4">
        <v>45779</v>
      </c>
      <c r="B370" t="s">
        <v>3176</v>
      </c>
      <c r="C370" t="s">
        <v>3747</v>
      </c>
      <c r="D370" t="s">
        <v>3914</v>
      </c>
      <c r="E370" t="s">
        <v>2335</v>
      </c>
      <c r="F370" t="s">
        <v>3271</v>
      </c>
      <c r="G370" t="s">
        <v>2310</v>
      </c>
      <c r="H370">
        <v>4</v>
      </c>
      <c r="I370" t="b">
        <f>AND(COUNTIF(CO!A:A,A370)&gt;0,COUNTIF('NO2'!A:A,A370)&gt;0,COUNTIF('O3'!A:A,A370)&gt;0,COUNTIF('PM10'!A:A,A370)&gt;0,COUNTIF('SO2'!A:A,A370)&gt;0,COUNTIF(Kendaraan!A:A,A370)&gt;0)</f>
        <v>1</v>
      </c>
    </row>
    <row r="371" spans="1:9" x14ac:dyDescent="0.45">
      <c r="A371" s="4">
        <v>45780</v>
      </c>
      <c r="B371" t="s">
        <v>571</v>
      </c>
      <c r="C371" t="s">
        <v>3850</v>
      </c>
      <c r="D371" t="s">
        <v>2377</v>
      </c>
      <c r="E371" t="s">
        <v>2873</v>
      </c>
      <c r="F371" t="s">
        <v>3915</v>
      </c>
      <c r="G371" s="1">
        <v>1218</v>
      </c>
      <c r="H371">
        <v>20</v>
      </c>
      <c r="I371" t="b">
        <f>AND(COUNTIF(CO!A:A,A371)&gt;0,COUNTIF('NO2'!A:A,A371)&gt;0,COUNTIF('O3'!A:A,A371)&gt;0,COUNTIF('PM10'!A:A,A371)&gt;0,COUNTIF('SO2'!A:A,A371)&gt;0,COUNTIF(Kendaraan!A:A,A371)&gt;0)</f>
        <v>1</v>
      </c>
    </row>
    <row r="372" spans="1:9" x14ac:dyDescent="0.45">
      <c r="A372" s="4">
        <v>45781</v>
      </c>
      <c r="B372" t="s">
        <v>485</v>
      </c>
      <c r="C372" t="s">
        <v>2313</v>
      </c>
      <c r="D372" t="s">
        <v>3156</v>
      </c>
      <c r="E372" t="s">
        <v>821</v>
      </c>
      <c r="F372" t="s">
        <v>3318</v>
      </c>
      <c r="G372" s="1">
        <v>1991</v>
      </c>
      <c r="H372">
        <v>24</v>
      </c>
      <c r="I372" t="b">
        <f>AND(COUNTIF(CO!A:A,A372)&gt;0,COUNTIF('NO2'!A:A,A372)&gt;0,COUNTIF('O3'!A:A,A372)&gt;0,COUNTIF('PM10'!A:A,A372)&gt;0,COUNTIF('SO2'!A:A,A372)&gt;0,COUNTIF(Kendaraan!A:A,A372)&gt;0)</f>
        <v>1</v>
      </c>
    </row>
    <row r="373" spans="1:9" x14ac:dyDescent="0.45">
      <c r="A373" s="4">
        <v>45782</v>
      </c>
      <c r="B373" t="s">
        <v>2011</v>
      </c>
      <c r="C373" t="s">
        <v>2354</v>
      </c>
      <c r="D373" t="s">
        <v>3916</v>
      </c>
      <c r="E373" t="s">
        <v>2841</v>
      </c>
      <c r="F373" t="s">
        <v>2212</v>
      </c>
      <c r="G373" s="1">
        <v>1609</v>
      </c>
      <c r="H373">
        <v>24</v>
      </c>
      <c r="I373" t="b">
        <f>AND(COUNTIF(CO!A:A,A373)&gt;0,COUNTIF('NO2'!A:A,A373)&gt;0,COUNTIF('O3'!A:A,A373)&gt;0,COUNTIF('PM10'!A:A,A373)&gt;0,COUNTIF('SO2'!A:A,A373)&gt;0,COUNTIF(Kendaraan!A:A,A373)&gt;0)</f>
        <v>1</v>
      </c>
    </row>
    <row r="374" spans="1:9" x14ac:dyDescent="0.45">
      <c r="A374" s="4">
        <v>45783</v>
      </c>
      <c r="B374" t="s">
        <v>858</v>
      </c>
      <c r="C374" t="s">
        <v>2021</v>
      </c>
      <c r="D374" t="s">
        <v>3495</v>
      </c>
      <c r="E374" t="s">
        <v>1550</v>
      </c>
      <c r="F374" t="s">
        <v>3175</v>
      </c>
      <c r="G374" s="1">
        <v>1314</v>
      </c>
      <c r="H374">
        <v>24</v>
      </c>
      <c r="I374" t="b">
        <f>AND(COUNTIF(CO!A:A,A374)&gt;0,COUNTIF('NO2'!A:A,A374)&gt;0,COUNTIF('O3'!A:A,A374)&gt;0,COUNTIF('PM10'!A:A,A374)&gt;0,COUNTIF('SO2'!A:A,A374)&gt;0,COUNTIF(Kendaraan!A:A,A374)&gt;0)</f>
        <v>1</v>
      </c>
    </row>
    <row r="375" spans="1:9" x14ac:dyDescent="0.45">
      <c r="A375" s="4">
        <v>45784</v>
      </c>
      <c r="B375" t="s">
        <v>1572</v>
      </c>
      <c r="C375" t="s">
        <v>419</v>
      </c>
      <c r="D375" t="s">
        <v>3813</v>
      </c>
      <c r="E375" t="s">
        <v>677</v>
      </c>
      <c r="F375" t="s">
        <v>2976</v>
      </c>
      <c r="G375" t="s">
        <v>3917</v>
      </c>
      <c r="H375">
        <v>24</v>
      </c>
      <c r="I375" t="b">
        <f>AND(COUNTIF(CO!A:A,A375)&gt;0,COUNTIF('NO2'!A:A,A375)&gt;0,COUNTIF('O3'!A:A,A375)&gt;0,COUNTIF('PM10'!A:A,A375)&gt;0,COUNTIF('SO2'!A:A,A375)&gt;0,COUNTIF(Kendaraan!A:A,A375)&gt;0)</f>
        <v>1</v>
      </c>
    </row>
    <row r="376" spans="1:9" x14ac:dyDescent="0.45">
      <c r="A376" s="4">
        <v>45785</v>
      </c>
      <c r="B376" t="s">
        <v>893</v>
      </c>
      <c r="C376" t="s">
        <v>499</v>
      </c>
      <c r="D376" t="s">
        <v>1396</v>
      </c>
      <c r="E376" t="s">
        <v>1892</v>
      </c>
      <c r="F376" t="s">
        <v>607</v>
      </c>
      <c r="G376" s="1">
        <v>1249</v>
      </c>
      <c r="H376">
        <v>24</v>
      </c>
      <c r="I376" t="b">
        <f>AND(COUNTIF(CO!A:A,A376)&gt;0,COUNTIF('NO2'!A:A,A376)&gt;0,COUNTIF('O3'!A:A,A376)&gt;0,COUNTIF('PM10'!A:A,A376)&gt;0,COUNTIF('SO2'!A:A,A376)&gt;0,COUNTIF(Kendaraan!A:A,A376)&gt;0)</f>
        <v>1</v>
      </c>
    </row>
    <row r="377" spans="1:9" x14ac:dyDescent="0.45">
      <c r="A377" s="4">
        <v>45786</v>
      </c>
      <c r="B377" t="s">
        <v>1239</v>
      </c>
      <c r="C377" t="s">
        <v>838</v>
      </c>
      <c r="D377" t="s">
        <v>1399</v>
      </c>
      <c r="E377" t="s">
        <v>3918</v>
      </c>
      <c r="F377" t="s">
        <v>658</v>
      </c>
      <c r="G377" s="1">
        <v>1343</v>
      </c>
      <c r="H377">
        <v>24</v>
      </c>
      <c r="I377" t="b">
        <f>AND(COUNTIF(CO!A:A,A377)&gt;0,COUNTIF('NO2'!A:A,A377)&gt;0,COUNTIF('O3'!A:A,A377)&gt;0,COUNTIF('PM10'!A:A,A377)&gt;0,COUNTIF('SO2'!A:A,A377)&gt;0,COUNTIF(Kendaraan!A:A,A377)&gt;0)</f>
        <v>1</v>
      </c>
    </row>
    <row r="378" spans="1:9" x14ac:dyDescent="0.45">
      <c r="A378" s="4">
        <v>45787</v>
      </c>
      <c r="B378" t="s">
        <v>1229</v>
      </c>
      <c r="C378" t="s">
        <v>2333</v>
      </c>
      <c r="D378" t="s">
        <v>399</v>
      </c>
      <c r="E378" t="s">
        <v>570</v>
      </c>
      <c r="F378" t="s">
        <v>2861</v>
      </c>
      <c r="G378" s="1">
        <v>2493</v>
      </c>
      <c r="H378">
        <v>24</v>
      </c>
      <c r="I378" t="b">
        <f>AND(COUNTIF(CO!A:A,A378)&gt;0,COUNTIF('NO2'!A:A,A378)&gt;0,COUNTIF('O3'!A:A,A378)&gt;0,COUNTIF('PM10'!A:A,A378)&gt;0,COUNTIF('SO2'!A:A,A378)&gt;0,COUNTIF(Kendaraan!A:A,A378)&gt;0)</f>
        <v>1</v>
      </c>
    </row>
    <row r="379" spans="1:9" x14ac:dyDescent="0.45">
      <c r="A379" s="4">
        <v>45788</v>
      </c>
      <c r="B379" t="s">
        <v>938</v>
      </c>
      <c r="C379" t="s">
        <v>1931</v>
      </c>
      <c r="D379" t="s">
        <v>1093</v>
      </c>
      <c r="E379" t="s">
        <v>2696</v>
      </c>
      <c r="F379" t="s">
        <v>1129</v>
      </c>
      <c r="G379" s="1">
        <v>2527</v>
      </c>
      <c r="H379">
        <v>24</v>
      </c>
      <c r="I379" t="b">
        <f>AND(COUNTIF(CO!A:A,A379)&gt;0,COUNTIF('NO2'!A:A,A379)&gt;0,COUNTIF('O3'!A:A,A379)&gt;0,COUNTIF('PM10'!A:A,A379)&gt;0,COUNTIF('SO2'!A:A,A379)&gt;0,COUNTIF(Kendaraan!A:A,A379)&gt;0)</f>
        <v>1</v>
      </c>
    </row>
    <row r="380" spans="1:9" x14ac:dyDescent="0.45">
      <c r="A380" s="4">
        <v>45789</v>
      </c>
      <c r="B380" t="s">
        <v>67</v>
      </c>
      <c r="C380" t="s">
        <v>719</v>
      </c>
      <c r="D380" t="s">
        <v>2087</v>
      </c>
      <c r="E380" t="s">
        <v>219</v>
      </c>
      <c r="F380" t="s">
        <v>1712</v>
      </c>
      <c r="G380" t="s">
        <v>3919</v>
      </c>
      <c r="H380">
        <v>11</v>
      </c>
      <c r="I380" t="b">
        <f>AND(COUNTIF(CO!A:A,A380)&gt;0,COUNTIF('NO2'!A:A,A380)&gt;0,COUNTIF('O3'!A:A,A380)&gt;0,COUNTIF('PM10'!A:A,A380)&gt;0,COUNTIF('SO2'!A:A,A380)&gt;0,COUNTIF(Kendaraan!A:A,A380)&gt;0)</f>
        <v>1</v>
      </c>
    </row>
    <row r="381" spans="1:9" x14ac:dyDescent="0.45">
      <c r="A381" s="4">
        <v>45790</v>
      </c>
      <c r="B381" t="s">
        <v>236</v>
      </c>
      <c r="C381" t="s">
        <v>351</v>
      </c>
      <c r="D381" t="s">
        <v>2086</v>
      </c>
      <c r="E381" t="s">
        <v>1820</v>
      </c>
      <c r="F381" t="s">
        <v>1770</v>
      </c>
      <c r="G381" s="1">
        <v>2663</v>
      </c>
      <c r="H381">
        <v>12</v>
      </c>
      <c r="I381" t="b">
        <f>AND(COUNTIF(CO!A:A,A381)&gt;0,COUNTIF('NO2'!A:A,A381)&gt;0,COUNTIF('O3'!A:A,A381)&gt;0,COUNTIF('PM10'!A:A,A381)&gt;0,COUNTIF('SO2'!A:A,A381)&gt;0,COUNTIF(Kendaraan!A:A,A381)&gt;0)</f>
        <v>1</v>
      </c>
    </row>
    <row r="382" spans="1:9" x14ac:dyDescent="0.45">
      <c r="A382" s="4">
        <v>45791</v>
      </c>
      <c r="B382" t="s">
        <v>351</v>
      </c>
      <c r="C382" t="s">
        <v>1089</v>
      </c>
      <c r="D382" t="s">
        <v>3873</v>
      </c>
      <c r="E382" t="s">
        <v>351</v>
      </c>
      <c r="F382" t="s">
        <v>1723</v>
      </c>
      <c r="G382" t="s">
        <v>3920</v>
      </c>
      <c r="H382">
        <v>24</v>
      </c>
      <c r="I382" t="b">
        <f>AND(COUNTIF(CO!A:A,A382)&gt;0,COUNTIF('NO2'!A:A,A382)&gt;0,COUNTIF('O3'!A:A,A382)&gt;0,COUNTIF('PM10'!A:A,A382)&gt;0,COUNTIF('SO2'!A:A,A382)&gt;0,COUNTIF(Kendaraan!A:A,A382)&gt;0)</f>
        <v>1</v>
      </c>
    </row>
    <row r="383" spans="1:9" x14ac:dyDescent="0.45">
      <c r="A383" s="4">
        <v>45792</v>
      </c>
      <c r="B383" t="s">
        <v>1499</v>
      </c>
      <c r="C383" t="s">
        <v>3921</v>
      </c>
      <c r="D383" t="s">
        <v>3922</v>
      </c>
      <c r="E383" t="s">
        <v>3275</v>
      </c>
      <c r="F383" t="s">
        <v>838</v>
      </c>
      <c r="G383" s="1">
        <v>2921</v>
      </c>
      <c r="H383">
        <v>23</v>
      </c>
      <c r="I383" t="b">
        <f>AND(COUNTIF(CO!A:A,A383)&gt;0,COUNTIF('NO2'!A:A,A383)&gt;0,COUNTIF('O3'!A:A,A383)&gt;0,COUNTIF('PM10'!A:A,A383)&gt;0,COUNTIF('SO2'!A:A,A383)&gt;0,COUNTIF(Kendaraan!A:A,A383)&gt;0)</f>
        <v>1</v>
      </c>
    </row>
    <row r="384" spans="1:9" x14ac:dyDescent="0.45">
      <c r="A384" s="4">
        <v>45793</v>
      </c>
      <c r="B384" t="s">
        <v>1229</v>
      </c>
      <c r="C384" t="s">
        <v>1548</v>
      </c>
      <c r="D384" t="s">
        <v>1972</v>
      </c>
      <c r="E384" t="s">
        <v>1480</v>
      </c>
      <c r="F384" t="s">
        <v>1996</v>
      </c>
      <c r="G384" s="1">
        <v>1637</v>
      </c>
      <c r="H384">
        <v>24</v>
      </c>
      <c r="I384" t="b">
        <f>AND(COUNTIF(CO!A:A,A384)&gt;0,COUNTIF('NO2'!A:A,A384)&gt;0,COUNTIF('O3'!A:A,A384)&gt;0,COUNTIF('PM10'!A:A,A384)&gt;0,COUNTIF('SO2'!A:A,A384)&gt;0,COUNTIF(Kendaraan!A:A,A384)&gt;0)</f>
        <v>1</v>
      </c>
    </row>
    <row r="385" spans="1:9" x14ac:dyDescent="0.45">
      <c r="A385" s="4">
        <v>45794</v>
      </c>
      <c r="B385" t="s">
        <v>1658</v>
      </c>
      <c r="C385" t="s">
        <v>668</v>
      </c>
      <c r="D385" t="s">
        <v>2398</v>
      </c>
      <c r="E385" t="s">
        <v>1799</v>
      </c>
      <c r="F385" t="s">
        <v>3048</v>
      </c>
      <c r="G385" s="1">
        <v>4264</v>
      </c>
      <c r="H385">
        <v>24</v>
      </c>
      <c r="I385" t="b">
        <f>AND(COUNTIF(CO!A:A,A385)&gt;0,COUNTIF('NO2'!A:A,A385)&gt;0,COUNTIF('O3'!A:A,A385)&gt;0,COUNTIF('PM10'!A:A,A385)&gt;0,COUNTIF('SO2'!A:A,A385)&gt;0,COUNTIF(Kendaraan!A:A,A385)&gt;0)</f>
        <v>1</v>
      </c>
    </row>
    <row r="386" spans="1:9" x14ac:dyDescent="0.45">
      <c r="A386" s="4">
        <v>45795</v>
      </c>
      <c r="B386" t="s">
        <v>214</v>
      </c>
      <c r="C386" t="s">
        <v>1658</v>
      </c>
      <c r="D386" t="s">
        <v>1658</v>
      </c>
      <c r="E386">
        <v>4</v>
      </c>
      <c r="F386" t="s">
        <v>1658</v>
      </c>
      <c r="G386" s="1">
        <v>1809</v>
      </c>
      <c r="H386">
        <v>23</v>
      </c>
      <c r="I386" t="b">
        <f>AND(COUNTIF(CO!A:A,A386)&gt;0,COUNTIF('NO2'!A:A,A386)&gt;0,COUNTIF('O3'!A:A,A386)&gt;0,COUNTIF('PM10'!A:A,A386)&gt;0,COUNTIF('SO2'!A:A,A386)&gt;0,COUNTIF(Kendaraan!A:A,A386)&gt;0)</f>
        <v>1</v>
      </c>
    </row>
    <row r="387" spans="1:9" x14ac:dyDescent="0.45">
      <c r="A387" s="4">
        <v>45796</v>
      </c>
      <c r="B387" t="s">
        <v>98</v>
      </c>
      <c r="C387" t="s">
        <v>1329</v>
      </c>
      <c r="D387" t="s">
        <v>1922</v>
      </c>
      <c r="E387">
        <v>5</v>
      </c>
      <c r="F387" t="s">
        <v>1050</v>
      </c>
      <c r="G387" s="1">
        <v>3436</v>
      </c>
      <c r="H387">
        <v>23</v>
      </c>
      <c r="I387" t="b">
        <f>AND(COUNTIF(CO!A:A,A387)&gt;0,COUNTIF('NO2'!A:A,A387)&gt;0,COUNTIF('O3'!A:A,A387)&gt;0,COUNTIF('PM10'!A:A,A387)&gt;0,COUNTIF('SO2'!A:A,A387)&gt;0,COUNTIF(Kendaraan!A:A,A387)&gt;0)</f>
        <v>1</v>
      </c>
    </row>
    <row r="388" spans="1:9" x14ac:dyDescent="0.45">
      <c r="A388" s="4">
        <v>45797</v>
      </c>
      <c r="B388" t="s">
        <v>367</v>
      </c>
      <c r="C388" t="s">
        <v>1644</v>
      </c>
      <c r="D388" t="s">
        <v>2721</v>
      </c>
      <c r="E388" t="s">
        <v>1657</v>
      </c>
      <c r="F388" t="s">
        <v>1933</v>
      </c>
      <c r="G388" s="1">
        <v>2078</v>
      </c>
      <c r="H388">
        <v>24</v>
      </c>
      <c r="I388" t="b">
        <f>AND(COUNTIF(CO!A:A,A388)&gt;0,COUNTIF('NO2'!A:A,A388)&gt;0,COUNTIF('O3'!A:A,A388)&gt;0,COUNTIF('PM10'!A:A,A388)&gt;0,COUNTIF('SO2'!A:A,A388)&gt;0,COUNTIF(Kendaraan!A:A,A388)&gt;0)</f>
        <v>1</v>
      </c>
    </row>
    <row r="389" spans="1:9" x14ac:dyDescent="0.45">
      <c r="A389" s="4">
        <v>45798</v>
      </c>
      <c r="B389" t="s">
        <v>1875</v>
      </c>
      <c r="C389" t="s">
        <v>3371</v>
      </c>
      <c r="D389" t="s">
        <v>3613</v>
      </c>
      <c r="E389" t="s">
        <v>3104</v>
      </c>
      <c r="F389" t="s">
        <v>2392</v>
      </c>
      <c r="G389" t="s">
        <v>3574</v>
      </c>
      <c r="H389">
        <v>24</v>
      </c>
      <c r="I389" t="b">
        <f>AND(COUNTIF(CO!A:A,A389)&gt;0,COUNTIF('NO2'!A:A,A389)&gt;0,COUNTIF('O3'!A:A,A389)&gt;0,COUNTIF('PM10'!A:A,A389)&gt;0,COUNTIF('SO2'!A:A,A389)&gt;0,COUNTIF(Kendaraan!A:A,A389)&gt;0)</f>
        <v>1</v>
      </c>
    </row>
    <row r="390" spans="1:9" x14ac:dyDescent="0.45">
      <c r="A390" s="4">
        <v>45799</v>
      </c>
      <c r="B390" t="s">
        <v>924</v>
      </c>
      <c r="C390" t="s">
        <v>3249</v>
      </c>
      <c r="D390" t="s">
        <v>1399</v>
      </c>
      <c r="E390" t="s">
        <v>1129</v>
      </c>
      <c r="F390" t="s">
        <v>560</v>
      </c>
      <c r="G390" s="1">
        <v>6344</v>
      </c>
      <c r="H390">
        <v>24</v>
      </c>
      <c r="I390" t="b">
        <f>AND(COUNTIF(CO!A:A,A390)&gt;0,COUNTIF('NO2'!A:A,A390)&gt;0,COUNTIF('O3'!A:A,A390)&gt;0,COUNTIF('PM10'!A:A,A390)&gt;0,COUNTIF('SO2'!A:A,A390)&gt;0,COUNTIF(Kendaraan!A:A,A390)&gt;0)</f>
        <v>1</v>
      </c>
    </row>
    <row r="391" spans="1:9" x14ac:dyDescent="0.45">
      <c r="A391" s="4">
        <v>45800</v>
      </c>
      <c r="B391" t="s">
        <v>445</v>
      </c>
      <c r="C391" t="s">
        <v>3051</v>
      </c>
      <c r="D391" t="s">
        <v>2593</v>
      </c>
      <c r="E391" t="s">
        <v>1951</v>
      </c>
      <c r="F391" t="s">
        <v>1519</v>
      </c>
      <c r="G391" s="1">
        <v>3637</v>
      </c>
      <c r="H391">
        <v>24</v>
      </c>
      <c r="I391" t="b">
        <f>AND(COUNTIF(CO!A:A,A391)&gt;0,COUNTIF('NO2'!A:A,A391)&gt;0,COUNTIF('O3'!A:A,A391)&gt;0,COUNTIF('PM10'!A:A,A391)&gt;0,COUNTIF('SO2'!A:A,A391)&gt;0,COUNTIF(Kendaraan!A:A,A391)&gt;0)</f>
        <v>1</v>
      </c>
    </row>
    <row r="392" spans="1:9" x14ac:dyDescent="0.45">
      <c r="A392" s="4">
        <v>45801</v>
      </c>
      <c r="B392" t="s">
        <v>352</v>
      </c>
      <c r="C392" t="s">
        <v>3505</v>
      </c>
      <c r="D392" t="s">
        <v>1224</v>
      </c>
      <c r="E392" t="s">
        <v>1629</v>
      </c>
      <c r="F392" t="s">
        <v>597</v>
      </c>
      <c r="G392" s="1">
        <v>4057</v>
      </c>
      <c r="H392">
        <v>24</v>
      </c>
      <c r="I392" t="b">
        <f>AND(COUNTIF(CO!A:A,A392)&gt;0,COUNTIF('NO2'!A:A,A392)&gt;0,COUNTIF('O3'!A:A,A392)&gt;0,COUNTIF('PM10'!A:A,A392)&gt;0,COUNTIF('SO2'!A:A,A392)&gt;0,COUNTIF(Kendaraan!A:A,A392)&gt;0)</f>
        <v>1</v>
      </c>
    </row>
    <row r="393" spans="1:9" x14ac:dyDescent="0.45">
      <c r="A393" s="4">
        <v>45802</v>
      </c>
      <c r="B393" t="s">
        <v>1257</v>
      </c>
      <c r="C393" t="s">
        <v>3505</v>
      </c>
      <c r="D393" t="s">
        <v>667</v>
      </c>
      <c r="E393" t="s">
        <v>1485</v>
      </c>
      <c r="F393" t="s">
        <v>3923</v>
      </c>
      <c r="G393" t="s">
        <v>3924</v>
      </c>
      <c r="H393">
        <v>24</v>
      </c>
      <c r="I393" t="b">
        <f>AND(COUNTIF(CO!A:A,A393)&gt;0,COUNTIF('NO2'!A:A,A393)&gt;0,COUNTIF('O3'!A:A,A393)&gt;0,COUNTIF('PM10'!A:A,A393)&gt;0,COUNTIF('SO2'!A:A,A393)&gt;0,COUNTIF(Kendaraan!A:A,A393)&gt;0)</f>
        <v>1</v>
      </c>
    </row>
    <row r="394" spans="1:9" x14ac:dyDescent="0.45">
      <c r="A394" s="4">
        <v>45803</v>
      </c>
      <c r="B394" t="s">
        <v>1909</v>
      </c>
      <c r="C394" t="s">
        <v>956</v>
      </c>
      <c r="D394" t="s">
        <v>2953</v>
      </c>
      <c r="E394" t="s">
        <v>1183</v>
      </c>
      <c r="F394" t="s">
        <v>1925</v>
      </c>
      <c r="G394" s="1">
        <v>3802</v>
      </c>
      <c r="H394">
        <v>24</v>
      </c>
      <c r="I394" t="b">
        <f>AND(COUNTIF(CO!A:A,A394)&gt;0,COUNTIF('NO2'!A:A,A394)&gt;0,COUNTIF('O3'!A:A,A394)&gt;0,COUNTIF('PM10'!A:A,A394)&gt;0,COUNTIF('SO2'!A:A,A394)&gt;0,COUNTIF(Kendaraan!A:A,A394)&gt;0)</f>
        <v>1</v>
      </c>
    </row>
    <row r="395" spans="1:9" x14ac:dyDescent="0.45">
      <c r="A395" s="4">
        <v>45804</v>
      </c>
      <c r="B395" t="s">
        <v>2715</v>
      </c>
      <c r="C395" t="s">
        <v>1978</v>
      </c>
      <c r="D395" t="s">
        <v>2606</v>
      </c>
      <c r="E395" t="s">
        <v>1317</v>
      </c>
      <c r="F395" t="s">
        <v>3135</v>
      </c>
      <c r="G395" s="1">
        <v>5114</v>
      </c>
      <c r="H395">
        <v>24</v>
      </c>
      <c r="I395" t="b">
        <f>AND(COUNTIF(CO!A:A,A395)&gt;0,COUNTIF('NO2'!A:A,A395)&gt;0,COUNTIF('O3'!A:A,A395)&gt;0,COUNTIF('PM10'!A:A,A395)&gt;0,COUNTIF('SO2'!A:A,A395)&gt;0,COUNTIF(Kendaraan!A:A,A395)&gt;0)</f>
        <v>1</v>
      </c>
    </row>
    <row r="396" spans="1:9" x14ac:dyDescent="0.45">
      <c r="A396" s="4">
        <v>45805</v>
      </c>
      <c r="B396" t="s">
        <v>2758</v>
      </c>
      <c r="C396" t="s">
        <v>2037</v>
      </c>
      <c r="D396" t="s">
        <v>2146</v>
      </c>
      <c r="E396" t="s">
        <v>3468</v>
      </c>
      <c r="F396" t="s">
        <v>398</v>
      </c>
      <c r="G396" s="1">
        <v>4143</v>
      </c>
      <c r="H396">
        <v>24</v>
      </c>
      <c r="I396" t="b">
        <f>AND(COUNTIF(CO!A:A,A396)&gt;0,COUNTIF('NO2'!A:A,A396)&gt;0,COUNTIF('O3'!A:A,A396)&gt;0,COUNTIF('PM10'!A:A,A396)&gt;0,COUNTIF('SO2'!A:A,A396)&gt;0,COUNTIF(Kendaraan!A:A,A396)&gt;0)</f>
        <v>1</v>
      </c>
    </row>
    <row r="397" spans="1:9" x14ac:dyDescent="0.45">
      <c r="A397" s="4">
        <v>45806</v>
      </c>
      <c r="B397" t="s">
        <v>1193</v>
      </c>
      <c r="C397" t="s">
        <v>1211</v>
      </c>
      <c r="D397" t="s">
        <v>3353</v>
      </c>
      <c r="E397" t="s">
        <v>3208</v>
      </c>
      <c r="F397" t="s">
        <v>692</v>
      </c>
      <c r="G397" s="1">
        <v>1706</v>
      </c>
      <c r="H397">
        <v>24</v>
      </c>
      <c r="I397" t="b">
        <f>AND(COUNTIF(CO!A:A,A397)&gt;0,COUNTIF('NO2'!A:A,A397)&gt;0,COUNTIF('O3'!A:A,A397)&gt;0,COUNTIF('PM10'!A:A,A397)&gt;0,COUNTIF('SO2'!A:A,A397)&gt;0,COUNTIF(Kendaraan!A:A,A397)&gt;0)</f>
        <v>1</v>
      </c>
    </row>
    <row r="398" spans="1:9" x14ac:dyDescent="0.45">
      <c r="A398" s="4">
        <v>45807</v>
      </c>
      <c r="B398" t="s">
        <v>1080</v>
      </c>
      <c r="C398" t="s">
        <v>1216</v>
      </c>
      <c r="D398" t="s">
        <v>1739</v>
      </c>
      <c r="E398" t="s">
        <v>1183</v>
      </c>
      <c r="F398" t="s">
        <v>1873</v>
      </c>
      <c r="G398" s="1">
        <v>1481</v>
      </c>
      <c r="H398">
        <v>24</v>
      </c>
      <c r="I398" t="b">
        <f>AND(COUNTIF(CO!A:A,A398)&gt;0,COUNTIF('NO2'!A:A,A398)&gt;0,COUNTIF('O3'!A:A,A398)&gt;0,COUNTIF('PM10'!A:A,A398)&gt;0,COUNTIF('SO2'!A:A,A398)&gt;0,COUNTIF(Kendaraan!A:A,A398)&gt;0)</f>
        <v>1</v>
      </c>
    </row>
    <row r="399" spans="1:9" x14ac:dyDescent="0.45">
      <c r="A399" s="4">
        <v>45808</v>
      </c>
      <c r="B399" t="s">
        <v>3152</v>
      </c>
      <c r="C399" t="s">
        <v>1127</v>
      </c>
      <c r="D399" t="s">
        <v>1895</v>
      </c>
      <c r="E399" t="s">
        <v>1919</v>
      </c>
      <c r="F399" t="s">
        <v>2604</v>
      </c>
      <c r="G399" s="1">
        <v>3834</v>
      </c>
      <c r="H399">
        <v>24</v>
      </c>
      <c r="I399" t="b">
        <f>AND(COUNTIF(CO!A:A,A399)&gt;0,COUNTIF('NO2'!A:A,A399)&gt;0,COUNTIF('O3'!A:A,A399)&gt;0,COUNTIF('PM10'!A:A,A399)&gt;0,COUNTIF('SO2'!A:A,A399)&gt;0,COUNTIF(Kendaraan!A:A,A399)&gt;0)</f>
        <v>1</v>
      </c>
    </row>
    <row r="400" spans="1:9" x14ac:dyDescent="0.45">
      <c r="A400" s="4">
        <v>45809</v>
      </c>
      <c r="B400" t="s">
        <v>69</v>
      </c>
      <c r="C400" t="s">
        <v>3152</v>
      </c>
      <c r="D400" t="s">
        <v>3152</v>
      </c>
      <c r="E400" t="s">
        <v>2090</v>
      </c>
      <c r="F400" t="s">
        <v>3152</v>
      </c>
      <c r="G400" s="1">
        <v>1399</v>
      </c>
      <c r="H400">
        <v>23</v>
      </c>
      <c r="I400" t="b">
        <f>AND(COUNTIF(CO!A:A,A400)&gt;0,COUNTIF('NO2'!A:A,A400)&gt;0,COUNTIF('O3'!A:A,A400)&gt;0,COUNTIF('PM10'!A:A,A400)&gt;0,COUNTIF('SO2'!A:A,A400)&gt;0,COUNTIF(Kendaraan!A:A,A400)&gt;0)</f>
        <v>1</v>
      </c>
    </row>
    <row r="401" spans="1:9" x14ac:dyDescent="0.45">
      <c r="A401" s="4">
        <v>45810</v>
      </c>
      <c r="B401" t="s">
        <v>3925</v>
      </c>
      <c r="C401" t="s">
        <v>1217</v>
      </c>
      <c r="D401" t="s">
        <v>1217</v>
      </c>
      <c r="E401" t="s">
        <v>2783</v>
      </c>
      <c r="F401" t="s">
        <v>1217</v>
      </c>
      <c r="G401" s="1">
        <v>5009</v>
      </c>
      <c r="H401">
        <v>24</v>
      </c>
      <c r="I401" t="b">
        <f>AND(COUNTIF(CO!A:A,A401)&gt;0,COUNTIF('NO2'!A:A,A401)&gt;0,COUNTIF('O3'!A:A,A401)&gt;0,COUNTIF('PM10'!A:A,A401)&gt;0,COUNTIF('SO2'!A:A,A401)&gt;0,COUNTIF(Kendaraan!A:A,A401)&gt;0)</f>
        <v>1</v>
      </c>
    </row>
    <row r="402" spans="1:9" x14ac:dyDescent="0.45">
      <c r="A402" s="4">
        <v>45811</v>
      </c>
      <c r="B402" t="s">
        <v>922</v>
      </c>
      <c r="C402" t="s">
        <v>3926</v>
      </c>
      <c r="D402" t="s">
        <v>3927</v>
      </c>
      <c r="E402" t="s">
        <v>1206</v>
      </c>
      <c r="F402" t="s">
        <v>3928</v>
      </c>
      <c r="G402" s="1">
        <v>9754</v>
      </c>
      <c r="H402">
        <v>24</v>
      </c>
      <c r="I402" t="b">
        <f>AND(COUNTIF(CO!A:A,A402)&gt;0,COUNTIF('NO2'!A:A,A402)&gt;0,COUNTIF('O3'!A:A,A402)&gt;0,COUNTIF('PM10'!A:A,A402)&gt;0,COUNTIF('SO2'!A:A,A402)&gt;0,COUNTIF(Kendaraan!A:A,A402)&gt;0)</f>
        <v>1</v>
      </c>
    </row>
    <row r="403" spans="1:9" x14ac:dyDescent="0.45">
      <c r="A403" s="4">
        <v>45812</v>
      </c>
      <c r="B403" t="s">
        <v>1938</v>
      </c>
      <c r="C403" t="s">
        <v>2055</v>
      </c>
      <c r="D403" t="s">
        <v>534</v>
      </c>
      <c r="E403">
        <v>25</v>
      </c>
      <c r="F403" t="s">
        <v>3732</v>
      </c>
      <c r="G403" s="1">
        <v>7398</v>
      </c>
      <c r="H403">
        <v>24</v>
      </c>
      <c r="I403" t="b">
        <f>AND(COUNTIF(CO!A:A,A403)&gt;0,COUNTIF('NO2'!A:A,A403)&gt;0,COUNTIF('O3'!A:A,A403)&gt;0,COUNTIF('PM10'!A:A,A403)&gt;0,COUNTIF('SO2'!A:A,A403)&gt;0,COUNTIF(Kendaraan!A:A,A403)&gt;0)</f>
        <v>1</v>
      </c>
    </row>
    <row r="404" spans="1:9" x14ac:dyDescent="0.45">
      <c r="A404" s="4">
        <v>45813</v>
      </c>
      <c r="B404" t="s">
        <v>1059</v>
      </c>
      <c r="C404" t="s">
        <v>1938</v>
      </c>
      <c r="D404" t="s">
        <v>1454</v>
      </c>
      <c r="E404" t="s">
        <v>2994</v>
      </c>
      <c r="F404" t="s">
        <v>1938</v>
      </c>
      <c r="G404" t="s">
        <v>3929</v>
      </c>
      <c r="H404">
        <v>24</v>
      </c>
      <c r="I404" t="b">
        <f>AND(COUNTIF(CO!A:A,A404)&gt;0,COUNTIF('NO2'!A:A,A404)&gt;0,COUNTIF('O3'!A:A,A404)&gt;0,COUNTIF('PM10'!A:A,A404)&gt;0,COUNTIF('SO2'!A:A,A404)&gt;0,COUNTIF(Kendaraan!A:A,A404)&gt;0)</f>
        <v>1</v>
      </c>
    </row>
    <row r="405" spans="1:9" x14ac:dyDescent="0.45">
      <c r="A405" s="4">
        <v>45814</v>
      </c>
      <c r="B405" t="s">
        <v>45</v>
      </c>
      <c r="C405" t="s">
        <v>1059</v>
      </c>
      <c r="D405" t="s">
        <v>1059</v>
      </c>
      <c r="E405" t="s">
        <v>1916</v>
      </c>
      <c r="F405" t="s">
        <v>1059</v>
      </c>
      <c r="G405" s="1">
        <v>3345</v>
      </c>
      <c r="H405">
        <v>23</v>
      </c>
      <c r="I405" t="b">
        <f>AND(COUNTIF(CO!A:A,A405)&gt;0,COUNTIF('NO2'!A:A,A405)&gt;0,COUNTIF('O3'!A:A,A405)&gt;0,COUNTIF('PM10'!A:A,A405)&gt;0,COUNTIF('SO2'!A:A,A405)&gt;0,COUNTIF(Kendaraan!A:A,A405)&gt;0)</f>
        <v>1</v>
      </c>
    </row>
    <row r="406" spans="1:9" x14ac:dyDescent="0.45">
      <c r="A406" s="4">
        <v>45815</v>
      </c>
      <c r="B406" t="s">
        <v>10</v>
      </c>
      <c r="C406" t="s">
        <v>1289</v>
      </c>
      <c r="D406" t="s">
        <v>3930</v>
      </c>
      <c r="E406" t="s">
        <v>3621</v>
      </c>
      <c r="F406" t="s">
        <v>720</v>
      </c>
      <c r="G406" s="1">
        <v>3326</v>
      </c>
      <c r="H406">
        <v>24</v>
      </c>
      <c r="I406" t="b">
        <f>AND(COUNTIF(CO!A:A,A406)&gt;0,COUNTIF('NO2'!A:A,A406)&gt;0,COUNTIF('O3'!A:A,A406)&gt;0,COUNTIF('PM10'!A:A,A406)&gt;0,COUNTIF('SO2'!A:A,A406)&gt;0,COUNTIF(Kendaraan!A:A,A406)&gt;0)</f>
        <v>1</v>
      </c>
    </row>
    <row r="407" spans="1:9" x14ac:dyDescent="0.45">
      <c r="A407" s="4">
        <v>45816</v>
      </c>
      <c r="B407" t="s">
        <v>206</v>
      </c>
      <c r="C407" t="s">
        <v>1059</v>
      </c>
      <c r="D407" t="s">
        <v>3643</v>
      </c>
      <c r="E407" t="s">
        <v>244</v>
      </c>
      <c r="F407" t="s">
        <v>2151</v>
      </c>
      <c r="G407" s="1">
        <v>3236</v>
      </c>
      <c r="H407">
        <v>23</v>
      </c>
      <c r="I407" t="b">
        <f>AND(COUNTIF(CO!A:A,A407)&gt;0,COUNTIF('NO2'!A:A,A407)&gt;0,COUNTIF('O3'!A:A,A407)&gt;0,COUNTIF('PM10'!A:A,A407)&gt;0,COUNTIF('SO2'!A:A,A407)&gt;0,COUNTIF(Kendaraan!A:A,A407)&gt;0)</f>
        <v>1</v>
      </c>
    </row>
    <row r="408" spans="1:9" x14ac:dyDescent="0.45">
      <c r="A408" s="4">
        <v>45817</v>
      </c>
      <c r="B408" t="s">
        <v>3630</v>
      </c>
      <c r="C408" t="s">
        <v>3673</v>
      </c>
      <c r="D408" t="s">
        <v>3258</v>
      </c>
      <c r="E408" t="s">
        <v>3931</v>
      </c>
      <c r="F408" t="s">
        <v>1555</v>
      </c>
      <c r="G408" s="1">
        <v>11019</v>
      </c>
      <c r="H408">
        <v>12</v>
      </c>
      <c r="I408" t="b">
        <f>AND(COUNTIF(CO!A:A,A408)&gt;0,COUNTIF('NO2'!A:A,A408)&gt;0,COUNTIF('O3'!A:A,A408)&gt;0,COUNTIF('PM10'!A:A,A408)&gt;0,COUNTIF('SO2'!A:A,A408)&gt;0,COUNTIF(Kendaraan!A:A,A408)&gt;0)</f>
        <v>1</v>
      </c>
    </row>
    <row r="409" spans="1:9" x14ac:dyDescent="0.45">
      <c r="A409" s="4">
        <v>45818</v>
      </c>
      <c r="B409" t="s">
        <v>2859</v>
      </c>
      <c r="C409" t="s">
        <v>3932</v>
      </c>
      <c r="D409" t="s">
        <v>3933</v>
      </c>
      <c r="E409" t="s">
        <v>3934</v>
      </c>
      <c r="F409" t="s">
        <v>3935</v>
      </c>
      <c r="G409" s="1">
        <v>6913</v>
      </c>
      <c r="H409">
        <v>24</v>
      </c>
      <c r="I409" t="b">
        <f>AND(COUNTIF(CO!A:A,A409)&gt;0,COUNTIF('NO2'!A:A,A409)&gt;0,COUNTIF('O3'!A:A,A409)&gt;0,COUNTIF('PM10'!A:A,A409)&gt;0,COUNTIF('SO2'!A:A,A409)&gt;0,COUNTIF(Kendaraan!A:A,A409)&gt;0)</f>
        <v>1</v>
      </c>
    </row>
    <row r="410" spans="1:9" x14ac:dyDescent="0.45">
      <c r="A410" s="4">
        <v>45819</v>
      </c>
      <c r="B410" t="s">
        <v>364</v>
      </c>
      <c r="C410" t="s">
        <v>3560</v>
      </c>
      <c r="D410" t="s">
        <v>618</v>
      </c>
      <c r="E410" t="s">
        <v>3093</v>
      </c>
      <c r="F410" t="s">
        <v>3927</v>
      </c>
      <c r="G410" s="1">
        <v>5469</v>
      </c>
      <c r="H410">
        <v>24</v>
      </c>
      <c r="I410" t="b">
        <f>AND(COUNTIF(CO!A:A,A410)&gt;0,COUNTIF('NO2'!A:A,A410)&gt;0,COUNTIF('O3'!A:A,A410)&gt;0,COUNTIF('PM10'!A:A,A410)&gt;0,COUNTIF('SO2'!A:A,A410)&gt;0,COUNTIF(Kendaraan!A:A,A410)&gt;0)</f>
        <v>1</v>
      </c>
    </row>
    <row r="411" spans="1:9" x14ac:dyDescent="0.45">
      <c r="A411" s="4">
        <v>45820</v>
      </c>
      <c r="B411" t="s">
        <v>3077</v>
      </c>
      <c r="C411" t="s">
        <v>1964</v>
      </c>
      <c r="D411" t="s">
        <v>1964</v>
      </c>
      <c r="E411" t="s">
        <v>3095</v>
      </c>
      <c r="F411" t="s">
        <v>1964</v>
      </c>
      <c r="G411" s="1">
        <v>1539</v>
      </c>
      <c r="H411">
        <v>24</v>
      </c>
      <c r="I411" t="b">
        <f>AND(COUNTIF(CO!A:A,A411)&gt;0,COUNTIF('NO2'!A:A,A411)&gt;0,COUNTIF('O3'!A:A,A411)&gt;0,COUNTIF('PM10'!A:A,A411)&gt;0,COUNTIF('SO2'!A:A,A411)&gt;0,COUNTIF(Kendaraan!A:A,A411)&gt;0)</f>
        <v>1</v>
      </c>
    </row>
    <row r="412" spans="1:9" x14ac:dyDescent="0.45">
      <c r="A412" s="4">
        <v>45821</v>
      </c>
      <c r="B412" t="s">
        <v>132</v>
      </c>
      <c r="C412" t="s">
        <v>1330</v>
      </c>
      <c r="D412" t="s">
        <v>3106</v>
      </c>
      <c r="E412" t="s">
        <v>3936</v>
      </c>
      <c r="F412" t="s">
        <v>741</v>
      </c>
      <c r="G412" s="1">
        <v>3537</v>
      </c>
      <c r="H412">
        <v>23</v>
      </c>
      <c r="I412" t="b">
        <f>AND(COUNTIF(CO!A:A,A412)&gt;0,COUNTIF('NO2'!A:A,A412)&gt;0,COUNTIF('O3'!A:A,A412)&gt;0,COUNTIF('PM10'!A:A,A412)&gt;0,COUNTIF('SO2'!A:A,A412)&gt;0,COUNTIF(Kendaraan!A:A,A412)&gt;0)</f>
        <v>1</v>
      </c>
    </row>
    <row r="413" spans="1:9" x14ac:dyDescent="0.45">
      <c r="A413" s="4">
        <v>45822</v>
      </c>
      <c r="B413" t="s">
        <v>948</v>
      </c>
      <c r="C413" t="s">
        <v>1251</v>
      </c>
      <c r="D413" t="s">
        <v>1074</v>
      </c>
      <c r="E413" t="s">
        <v>3692</v>
      </c>
      <c r="F413" t="s">
        <v>1697</v>
      </c>
      <c r="G413" s="1">
        <v>3067</v>
      </c>
      <c r="H413">
        <v>24</v>
      </c>
      <c r="I413" t="b">
        <f>AND(COUNTIF(CO!A:A,A413)&gt;0,COUNTIF('NO2'!A:A,A413)&gt;0,COUNTIF('O3'!A:A,A413)&gt;0,COUNTIF('PM10'!A:A,A413)&gt;0,COUNTIF('SO2'!A:A,A413)&gt;0,COUNTIF(Kendaraan!A:A,A413)&gt;0)</f>
        <v>1</v>
      </c>
    </row>
    <row r="414" spans="1:9" x14ac:dyDescent="0.45">
      <c r="A414" s="4">
        <v>45823</v>
      </c>
      <c r="B414" t="s">
        <v>1854</v>
      </c>
      <c r="C414" t="s">
        <v>558</v>
      </c>
      <c r="D414" t="s">
        <v>3212</v>
      </c>
      <c r="E414" t="s">
        <v>2701</v>
      </c>
      <c r="F414" t="s">
        <v>1433</v>
      </c>
      <c r="G414" s="1">
        <v>5351</v>
      </c>
      <c r="H414">
        <v>24</v>
      </c>
      <c r="I414" t="b">
        <f>AND(COUNTIF(CO!A:A,A414)&gt;0,COUNTIF('NO2'!A:A,A414)&gt;0,COUNTIF('O3'!A:A,A414)&gt;0,COUNTIF('PM10'!A:A,A414)&gt;0,COUNTIF('SO2'!A:A,A414)&gt;0,COUNTIF(Kendaraan!A:A,A414)&gt;0)</f>
        <v>1</v>
      </c>
    </row>
    <row r="415" spans="1:9" x14ac:dyDescent="0.45">
      <c r="A415" s="4">
        <v>45824</v>
      </c>
      <c r="B415" t="s">
        <v>152</v>
      </c>
      <c r="C415" t="s">
        <v>509</v>
      </c>
      <c r="D415" t="s">
        <v>1329</v>
      </c>
      <c r="E415" t="s">
        <v>1870</v>
      </c>
      <c r="F415" t="s">
        <v>1196</v>
      </c>
      <c r="G415" s="1">
        <v>7148</v>
      </c>
      <c r="H415">
        <v>23</v>
      </c>
      <c r="I415" t="b">
        <f>AND(COUNTIF(CO!A:A,A415)&gt;0,COUNTIF('NO2'!A:A,A415)&gt;0,COUNTIF('O3'!A:A,A415)&gt;0,COUNTIF('PM10'!A:A,A415)&gt;0,COUNTIF('SO2'!A:A,A415)&gt;0,COUNTIF(Kendaraan!A:A,A415)&gt;0)</f>
        <v>1</v>
      </c>
    </row>
    <row r="416" spans="1:9" x14ac:dyDescent="0.45">
      <c r="A416" s="4">
        <v>45826</v>
      </c>
      <c r="B416" t="s">
        <v>90</v>
      </c>
      <c r="C416" t="s">
        <v>428</v>
      </c>
      <c r="D416" t="s">
        <v>3573</v>
      </c>
      <c r="E416" t="s">
        <v>3644</v>
      </c>
      <c r="F416" t="s">
        <v>1045</v>
      </c>
      <c r="G416" s="1">
        <v>7406</v>
      </c>
      <c r="H416">
        <v>22</v>
      </c>
      <c r="I416" t="b">
        <f>AND(COUNTIF(CO!A:A,A416)&gt;0,COUNTIF('NO2'!A:A,A416)&gt;0,COUNTIF('O3'!A:A,A416)&gt;0,COUNTIF('PM10'!A:A,A416)&gt;0,COUNTIF('SO2'!A:A,A416)&gt;0,COUNTIF(Kendaraan!A:A,A416)&gt;0)</f>
        <v>1</v>
      </c>
    </row>
    <row r="417" spans="1:9" x14ac:dyDescent="0.45">
      <c r="A417" s="4">
        <v>45827</v>
      </c>
      <c r="B417" t="s">
        <v>2075</v>
      </c>
      <c r="C417" t="s">
        <v>3182</v>
      </c>
      <c r="D417" t="s">
        <v>1393</v>
      </c>
      <c r="E417" t="s">
        <v>3647</v>
      </c>
      <c r="F417" t="s">
        <v>3372</v>
      </c>
      <c r="G417" s="1">
        <v>6198</v>
      </c>
      <c r="H417">
        <v>24</v>
      </c>
      <c r="I417" t="b">
        <f>AND(COUNTIF(CO!A:A,A417)&gt;0,COUNTIF('NO2'!A:A,A417)&gt;0,COUNTIF('O3'!A:A,A417)&gt;0,COUNTIF('PM10'!A:A,A417)&gt;0,COUNTIF('SO2'!A:A,A417)&gt;0,COUNTIF(Kendaraan!A:A,A417)&gt;0)</f>
        <v>1</v>
      </c>
    </row>
    <row r="418" spans="1:9" x14ac:dyDescent="0.45">
      <c r="A418" s="4">
        <v>45828</v>
      </c>
      <c r="B418" t="s">
        <v>3059</v>
      </c>
      <c r="C418" t="s">
        <v>2003</v>
      </c>
      <c r="D418" t="s">
        <v>2003</v>
      </c>
      <c r="E418" t="s">
        <v>2604</v>
      </c>
      <c r="F418" t="s">
        <v>2003</v>
      </c>
      <c r="G418" s="1">
        <v>2888</v>
      </c>
      <c r="H418">
        <v>24</v>
      </c>
      <c r="I418" t="b">
        <f>AND(COUNTIF(CO!A:A,A418)&gt;0,COUNTIF('NO2'!A:A,A418)&gt;0,COUNTIF('O3'!A:A,A418)&gt;0,COUNTIF('PM10'!A:A,A418)&gt;0,COUNTIF('SO2'!A:A,A418)&gt;0,COUNTIF(Kendaraan!A:A,A418)&gt;0)</f>
        <v>1</v>
      </c>
    </row>
    <row r="419" spans="1:9" x14ac:dyDescent="0.45">
      <c r="A419" s="4">
        <v>45829</v>
      </c>
      <c r="B419" t="s">
        <v>249</v>
      </c>
      <c r="C419" t="s">
        <v>3594</v>
      </c>
      <c r="D419" t="s">
        <v>696</v>
      </c>
      <c r="E419" t="s">
        <v>1712</v>
      </c>
      <c r="F419" t="s">
        <v>2576</v>
      </c>
      <c r="G419" s="1">
        <v>9251</v>
      </c>
      <c r="H419">
        <v>23</v>
      </c>
      <c r="I419" t="b">
        <f>AND(COUNTIF(CO!A:A,A419)&gt;0,COUNTIF('NO2'!A:A,A419)&gt;0,COUNTIF('O3'!A:A,A419)&gt;0,COUNTIF('PM10'!A:A,A419)&gt;0,COUNTIF('SO2'!A:A,A419)&gt;0,COUNTIF(Kendaraan!A:A,A419)&gt;0)</f>
        <v>1</v>
      </c>
    </row>
    <row r="420" spans="1:9" x14ac:dyDescent="0.45">
      <c r="A420" s="4">
        <v>45830</v>
      </c>
      <c r="B420" t="s">
        <v>3316</v>
      </c>
      <c r="C420" t="s">
        <v>2343</v>
      </c>
      <c r="D420" t="s">
        <v>3594</v>
      </c>
      <c r="E420" t="s">
        <v>3914</v>
      </c>
      <c r="F420" t="s">
        <v>3594</v>
      </c>
      <c r="G420" s="1">
        <v>1278</v>
      </c>
      <c r="H420">
        <v>24</v>
      </c>
      <c r="I420" t="b">
        <f>AND(COUNTIF(CO!A:A,A420)&gt;0,COUNTIF('NO2'!A:A,A420)&gt;0,COUNTIF('O3'!A:A,A420)&gt;0,COUNTIF('PM10'!A:A,A420)&gt;0,COUNTIF('SO2'!A:A,A420)&gt;0,COUNTIF(Kendaraan!A:A,A420)&gt;0)</f>
        <v>1</v>
      </c>
    </row>
    <row r="421" spans="1:9" x14ac:dyDescent="0.45">
      <c r="A421" s="4">
        <v>45831</v>
      </c>
      <c r="B421" t="s">
        <v>3123</v>
      </c>
      <c r="C421" t="s">
        <v>3937</v>
      </c>
      <c r="D421" t="s">
        <v>3938</v>
      </c>
      <c r="E421" t="s">
        <v>3666</v>
      </c>
      <c r="F421" t="s">
        <v>3939</v>
      </c>
      <c r="G421" s="1">
        <v>9776</v>
      </c>
      <c r="H421">
        <v>24</v>
      </c>
      <c r="I421" t="b">
        <f>AND(COUNTIF(CO!A:A,A421)&gt;0,COUNTIF('NO2'!A:A,A421)&gt;0,COUNTIF('O3'!A:A,A421)&gt;0,COUNTIF('PM10'!A:A,A421)&gt;0,COUNTIF('SO2'!A:A,A421)&gt;0,COUNTIF(Kendaraan!A:A,A421)&gt;0)</f>
        <v>1</v>
      </c>
    </row>
    <row r="422" spans="1:9" x14ac:dyDescent="0.45">
      <c r="A422" s="4">
        <v>45832</v>
      </c>
      <c r="B422" t="s">
        <v>2960</v>
      </c>
      <c r="C422" t="s">
        <v>3372</v>
      </c>
      <c r="D422" t="s">
        <v>2601</v>
      </c>
      <c r="E422" t="s">
        <v>2601</v>
      </c>
      <c r="F422" t="s">
        <v>2764</v>
      </c>
      <c r="G422" s="1">
        <v>2214</v>
      </c>
      <c r="H422">
        <v>24</v>
      </c>
      <c r="I422" t="b">
        <f>AND(COUNTIF(CO!A:A,A422)&gt;0,COUNTIF('NO2'!A:A,A422)&gt;0,COUNTIF('O3'!A:A,A422)&gt;0,COUNTIF('PM10'!A:A,A422)&gt;0,COUNTIF('SO2'!A:A,A422)&gt;0,COUNTIF(Kendaraan!A:A,A422)&gt;0)</f>
        <v>1</v>
      </c>
    </row>
    <row r="423" spans="1:9" x14ac:dyDescent="0.45">
      <c r="A423" s="4">
        <v>45833</v>
      </c>
      <c r="B423" t="s">
        <v>1790</v>
      </c>
      <c r="C423" t="s">
        <v>1424</v>
      </c>
      <c r="D423" t="s">
        <v>1578</v>
      </c>
      <c r="E423" t="s">
        <v>1120</v>
      </c>
      <c r="F423" t="s">
        <v>1864</v>
      </c>
      <c r="G423" s="1">
        <v>2519</v>
      </c>
      <c r="H423">
        <v>24</v>
      </c>
      <c r="I423" t="b">
        <f>AND(COUNTIF(CO!A:A,A423)&gt;0,COUNTIF('NO2'!A:A,A423)&gt;0,COUNTIF('O3'!A:A,A423)&gt;0,COUNTIF('PM10'!A:A,A423)&gt;0,COUNTIF('SO2'!A:A,A423)&gt;0,COUNTIF(Kendaraan!A:A,A423)&gt;0)</f>
        <v>1</v>
      </c>
    </row>
    <row r="424" spans="1:9" x14ac:dyDescent="0.45">
      <c r="A424" s="4">
        <v>45834</v>
      </c>
      <c r="B424" t="s">
        <v>2758</v>
      </c>
      <c r="C424" t="s">
        <v>870</v>
      </c>
      <c r="D424" t="s">
        <v>1506</v>
      </c>
      <c r="E424" t="s">
        <v>1146</v>
      </c>
      <c r="F424" t="s">
        <v>3522</v>
      </c>
      <c r="G424" s="1">
        <v>1736</v>
      </c>
      <c r="H424">
        <v>12</v>
      </c>
      <c r="I424" t="b">
        <f>AND(COUNTIF(CO!A:A,A424)&gt;0,COUNTIF('NO2'!A:A,A424)&gt;0,COUNTIF('O3'!A:A,A424)&gt;0,COUNTIF('PM10'!A:A,A424)&gt;0,COUNTIF('SO2'!A:A,A424)&gt;0,COUNTIF(Kendaraan!A:A,A424)&gt;0)</f>
        <v>1</v>
      </c>
    </row>
    <row r="425" spans="1:9" x14ac:dyDescent="0.45">
      <c r="A425" s="4">
        <v>45838</v>
      </c>
      <c r="B425" t="s">
        <v>3940</v>
      </c>
      <c r="C425" t="s">
        <v>2538</v>
      </c>
      <c r="D425" t="s">
        <v>3941</v>
      </c>
      <c r="E425" t="s">
        <v>3308</v>
      </c>
      <c r="F425" t="s">
        <v>2129</v>
      </c>
      <c r="G425" t="s">
        <v>203</v>
      </c>
      <c r="H425">
        <v>4</v>
      </c>
      <c r="I425" t="b">
        <f>AND(COUNTIF(CO!A:A,A425)&gt;0,COUNTIF('NO2'!A:A,A425)&gt;0,COUNTIF('O3'!A:A,A425)&gt;0,COUNTIF('PM10'!A:A,A425)&gt;0,COUNTIF('SO2'!A:A,A425)&gt;0,COUNTIF(Kendaraan!A:A,A425)&gt;0)</f>
        <v>1</v>
      </c>
    </row>
    <row r="426" spans="1:9" x14ac:dyDescent="0.45">
      <c r="A426" s="4">
        <v>45839</v>
      </c>
      <c r="B426" t="s">
        <v>1820</v>
      </c>
      <c r="C426" t="s">
        <v>2370</v>
      </c>
      <c r="D426" t="s">
        <v>1994</v>
      </c>
      <c r="E426" t="s">
        <v>699</v>
      </c>
      <c r="F426" t="s">
        <v>1528</v>
      </c>
      <c r="G426" s="1">
        <v>12123</v>
      </c>
      <c r="H426">
        <v>23</v>
      </c>
      <c r="I426" t="b">
        <f>AND(COUNTIF(CO!A:A,A426)&gt;0,COUNTIF('NO2'!A:A,A426)&gt;0,COUNTIF('O3'!A:A,A426)&gt;0,COUNTIF('PM10'!A:A,A426)&gt;0,COUNTIF('SO2'!A:A,A426)&gt;0,COUNTIF(Kendaraan!A:A,A426)&gt;0)</f>
        <v>1</v>
      </c>
    </row>
    <row r="427" spans="1:9" x14ac:dyDescent="0.45">
      <c r="A427" s="4">
        <v>45840</v>
      </c>
      <c r="B427" t="s">
        <v>3239</v>
      </c>
      <c r="C427" t="s">
        <v>2313</v>
      </c>
      <c r="D427" t="s">
        <v>1645</v>
      </c>
      <c r="E427" t="s">
        <v>2694</v>
      </c>
      <c r="F427" t="s">
        <v>456</v>
      </c>
      <c r="G427" s="1">
        <v>9517</v>
      </c>
      <c r="H427">
        <v>24</v>
      </c>
      <c r="I427" t="b">
        <f>AND(COUNTIF(CO!A:A,A427)&gt;0,COUNTIF('NO2'!A:A,A427)&gt;0,COUNTIF('O3'!A:A,A427)&gt;0,COUNTIF('PM10'!A:A,A427)&gt;0,COUNTIF('SO2'!A:A,A427)&gt;0,COUNTIF(Kendaraan!A:A,A427)&gt;0)</f>
        <v>1</v>
      </c>
    </row>
    <row r="428" spans="1:9" x14ac:dyDescent="0.45">
      <c r="A428" s="4">
        <v>45841</v>
      </c>
      <c r="B428" t="s">
        <v>1924</v>
      </c>
      <c r="C428" t="s">
        <v>2138</v>
      </c>
      <c r="D428" t="s">
        <v>2041</v>
      </c>
      <c r="E428" t="s">
        <v>1987</v>
      </c>
      <c r="F428" t="s">
        <v>2328</v>
      </c>
      <c r="G428" s="1">
        <v>2787</v>
      </c>
      <c r="H428">
        <v>24</v>
      </c>
      <c r="I428" t="b">
        <f>AND(COUNTIF(CO!A:A,A428)&gt;0,COUNTIF('NO2'!A:A,A428)&gt;0,COUNTIF('O3'!A:A,A428)&gt;0,COUNTIF('PM10'!A:A,A428)&gt;0,COUNTIF('SO2'!A:A,A428)&gt;0,COUNTIF(Kendaraan!A:A,A428)&gt;0)</f>
        <v>1</v>
      </c>
    </row>
    <row r="429" spans="1:9" x14ac:dyDescent="0.45">
      <c r="A429" s="4">
        <v>45842</v>
      </c>
      <c r="B429" t="s">
        <v>1328</v>
      </c>
      <c r="C429" t="s">
        <v>1272</v>
      </c>
      <c r="D429" t="s">
        <v>693</v>
      </c>
      <c r="E429" t="s">
        <v>2767</v>
      </c>
      <c r="F429" t="s">
        <v>1161</v>
      </c>
      <c r="G429" s="1">
        <v>2857</v>
      </c>
      <c r="H429">
        <v>20</v>
      </c>
      <c r="I429" t="b">
        <f>AND(COUNTIF(CO!A:A,A429)&gt;0,COUNTIF('NO2'!A:A,A429)&gt;0,COUNTIF('O3'!A:A,A429)&gt;0,COUNTIF('PM10'!A:A,A429)&gt;0,COUNTIF('SO2'!A:A,A429)&gt;0,COUNTIF(Kendaraan!A:A,A429)&gt;0)</f>
        <v>1</v>
      </c>
    </row>
    <row r="430" spans="1:9" x14ac:dyDescent="0.45">
      <c r="A430" s="4">
        <v>45845</v>
      </c>
      <c r="B430" t="s">
        <v>1869</v>
      </c>
      <c r="C430" t="s">
        <v>515</v>
      </c>
      <c r="D430" t="s">
        <v>1400</v>
      </c>
      <c r="E430" t="s">
        <v>3030</v>
      </c>
      <c r="F430" t="s">
        <v>553</v>
      </c>
      <c r="G430" t="s">
        <v>3942</v>
      </c>
      <c r="H430">
        <v>5</v>
      </c>
      <c r="I430" t="b">
        <f>AND(COUNTIF(CO!A:A,A430)&gt;0,COUNTIF('NO2'!A:A,A430)&gt;0,COUNTIF('O3'!A:A,A430)&gt;0,COUNTIF('PM10'!A:A,A430)&gt;0,COUNTIF('SO2'!A:A,A430)&gt;0,COUNTIF(Kendaraan!A:A,A430)&gt;0)</f>
        <v>1</v>
      </c>
    </row>
    <row r="431" spans="1:9" x14ac:dyDescent="0.45">
      <c r="A431" s="4">
        <v>45846</v>
      </c>
      <c r="B431" t="s">
        <v>3025</v>
      </c>
      <c r="C431" t="s">
        <v>409</v>
      </c>
      <c r="D431" t="s">
        <v>922</v>
      </c>
      <c r="E431" t="s">
        <v>2059</v>
      </c>
      <c r="F431" t="s">
        <v>1453</v>
      </c>
      <c r="G431" s="1">
        <v>1714</v>
      </c>
      <c r="H431">
        <v>24</v>
      </c>
      <c r="I431" t="b">
        <f>AND(COUNTIF(CO!A:A,A431)&gt;0,COUNTIF('NO2'!A:A,A431)&gt;0,COUNTIF('O3'!A:A,A431)&gt;0,COUNTIF('PM10'!A:A,A431)&gt;0,COUNTIF('SO2'!A:A,A431)&gt;0,COUNTIF(Kendaraan!A:A,A431)&gt;0)</f>
        <v>1</v>
      </c>
    </row>
    <row r="432" spans="1:9" x14ac:dyDescent="0.45">
      <c r="A432" s="4">
        <v>45847</v>
      </c>
      <c r="B432" t="s">
        <v>1656</v>
      </c>
      <c r="C432" t="s">
        <v>1131</v>
      </c>
      <c r="D432" t="s">
        <v>3105</v>
      </c>
      <c r="E432" t="s">
        <v>2077</v>
      </c>
      <c r="F432" t="s">
        <v>1330</v>
      </c>
      <c r="G432" s="1">
        <v>3929</v>
      </c>
      <c r="H432">
        <v>24</v>
      </c>
      <c r="I432" t="b">
        <f>AND(COUNTIF(CO!A:A,A432)&gt;0,COUNTIF('NO2'!A:A,A432)&gt;0,COUNTIF('O3'!A:A,A432)&gt;0,COUNTIF('PM10'!A:A,A432)&gt;0,COUNTIF('SO2'!A:A,A432)&gt;0,COUNTIF(Kendaraan!A:A,A432)&gt;0)</f>
        <v>1</v>
      </c>
    </row>
    <row r="433" spans="1:9" x14ac:dyDescent="0.45">
      <c r="A433" s="4">
        <v>45848</v>
      </c>
      <c r="B433" t="s">
        <v>1722</v>
      </c>
      <c r="C433" t="s">
        <v>1167</v>
      </c>
      <c r="D433" t="s">
        <v>2079</v>
      </c>
      <c r="E433" t="s">
        <v>3943</v>
      </c>
      <c r="F433" t="s">
        <v>365</v>
      </c>
      <c r="G433" s="1">
        <v>4452</v>
      </c>
      <c r="H433">
        <v>24</v>
      </c>
      <c r="I433" t="b">
        <f>AND(COUNTIF(CO!A:A,A433)&gt;0,COUNTIF('NO2'!A:A,A433)&gt;0,COUNTIF('O3'!A:A,A433)&gt;0,COUNTIF('PM10'!A:A,A433)&gt;0,COUNTIF('SO2'!A:A,A433)&gt;0,COUNTIF(Kendaraan!A:A,A433)&gt;0)</f>
        <v>1</v>
      </c>
    </row>
    <row r="434" spans="1:9" x14ac:dyDescent="0.45">
      <c r="A434" s="4">
        <v>45849</v>
      </c>
      <c r="B434" t="s">
        <v>1504</v>
      </c>
      <c r="C434" t="s">
        <v>3944</v>
      </c>
      <c r="D434" t="s">
        <v>479</v>
      </c>
      <c r="E434" t="s">
        <v>3945</v>
      </c>
      <c r="F434" t="s">
        <v>3946</v>
      </c>
      <c r="G434" s="1">
        <v>14188</v>
      </c>
      <c r="H434">
        <v>24</v>
      </c>
      <c r="I434" t="b">
        <f>AND(COUNTIF(CO!A:A,A434)&gt;0,COUNTIF('NO2'!A:A,A434)&gt;0,COUNTIF('O3'!A:A,A434)&gt;0,COUNTIF('PM10'!A:A,A434)&gt;0,COUNTIF('SO2'!A:A,A434)&gt;0,COUNTIF(Kendaraan!A:A,A434)&gt;0)</f>
        <v>1</v>
      </c>
    </row>
    <row r="435" spans="1:9" x14ac:dyDescent="0.45">
      <c r="A435" s="4">
        <v>45850</v>
      </c>
      <c r="B435" t="s">
        <v>1485</v>
      </c>
      <c r="C435" t="s">
        <v>3947</v>
      </c>
      <c r="D435" t="s">
        <v>3948</v>
      </c>
      <c r="E435" t="s">
        <v>900</v>
      </c>
      <c r="F435" t="s">
        <v>3949</v>
      </c>
      <c r="G435" s="1">
        <v>12577</v>
      </c>
      <c r="H435">
        <v>24</v>
      </c>
      <c r="I435" t="b">
        <f>AND(COUNTIF(CO!A:A,A435)&gt;0,COUNTIF('NO2'!A:A,A435)&gt;0,COUNTIF('O3'!A:A,A435)&gt;0,COUNTIF('PM10'!A:A,A435)&gt;0,COUNTIF('SO2'!A:A,A435)&gt;0,COUNTIF(Kendaraan!A:A,A435)&gt;0)</f>
        <v>1</v>
      </c>
    </row>
    <row r="436" spans="1:9" x14ac:dyDescent="0.45">
      <c r="A436" s="4">
        <v>45851</v>
      </c>
      <c r="B436" t="s">
        <v>1300</v>
      </c>
      <c r="C436" t="s">
        <v>913</v>
      </c>
      <c r="D436" t="s">
        <v>889</v>
      </c>
      <c r="E436" t="s">
        <v>1320</v>
      </c>
      <c r="F436" t="s">
        <v>913</v>
      </c>
      <c r="G436" s="1">
        <v>2668</v>
      </c>
      <c r="H436">
        <v>24</v>
      </c>
      <c r="I436" t="b">
        <f>AND(COUNTIF(CO!A:A,A436)&gt;0,COUNTIF('NO2'!A:A,A436)&gt;0,COUNTIF('O3'!A:A,A436)&gt;0,COUNTIF('PM10'!A:A,A436)&gt;0,COUNTIF('SO2'!A:A,A436)&gt;0,COUNTIF(Kendaraan!A:A,A436)&gt;0)</f>
        <v>1</v>
      </c>
    </row>
    <row r="437" spans="1:9" x14ac:dyDescent="0.45">
      <c r="A437" s="4">
        <v>45852</v>
      </c>
      <c r="B437" t="s">
        <v>1300</v>
      </c>
      <c r="C437">
        <v>20</v>
      </c>
      <c r="D437" t="s">
        <v>1080</v>
      </c>
      <c r="E437" t="s">
        <v>1921</v>
      </c>
      <c r="F437" t="s">
        <v>3695</v>
      </c>
      <c r="G437" s="1">
        <v>2075</v>
      </c>
      <c r="H437">
        <v>24</v>
      </c>
      <c r="I437" t="b">
        <f>AND(COUNTIF(CO!A:A,A437)&gt;0,COUNTIF('NO2'!A:A,A437)&gt;0,COUNTIF('O3'!A:A,A437)&gt;0,COUNTIF('PM10'!A:A,A437)&gt;0,COUNTIF('SO2'!A:A,A437)&gt;0,COUNTIF(Kendaraan!A:A,A437)&gt;0)</f>
        <v>1</v>
      </c>
    </row>
    <row r="438" spans="1:9" x14ac:dyDescent="0.45">
      <c r="A438" s="4">
        <v>45853</v>
      </c>
      <c r="B438" t="s">
        <v>2960</v>
      </c>
      <c r="C438" t="s">
        <v>1130</v>
      </c>
      <c r="D438" t="s">
        <v>2723</v>
      </c>
      <c r="E438" t="s">
        <v>1355</v>
      </c>
      <c r="F438" t="s">
        <v>3110</v>
      </c>
      <c r="G438" s="1">
        <v>1022</v>
      </c>
      <c r="H438">
        <v>24</v>
      </c>
      <c r="I438" t="b">
        <f>AND(COUNTIF(CO!A:A,A438)&gt;0,COUNTIF('NO2'!A:A,A438)&gt;0,COUNTIF('O3'!A:A,A438)&gt;0,COUNTIF('PM10'!A:A,A438)&gt;0,COUNTIF('SO2'!A:A,A438)&gt;0,COUNTIF(Kendaraan!A:A,A438)&gt;0)</f>
        <v>1</v>
      </c>
    </row>
    <row r="439" spans="1:9" x14ac:dyDescent="0.45">
      <c r="A439" s="4">
        <v>45854</v>
      </c>
      <c r="B439" t="s">
        <v>1713</v>
      </c>
      <c r="C439" t="s">
        <v>1132</v>
      </c>
      <c r="D439" t="s">
        <v>1355</v>
      </c>
      <c r="E439" t="s">
        <v>3458</v>
      </c>
      <c r="F439" t="s">
        <v>1295</v>
      </c>
      <c r="G439" s="1">
        <v>3716</v>
      </c>
      <c r="H439">
        <v>24</v>
      </c>
      <c r="I439" t="b">
        <f>AND(COUNTIF(CO!A:A,A439)&gt;0,COUNTIF('NO2'!A:A,A439)&gt;0,COUNTIF('O3'!A:A,A439)&gt;0,COUNTIF('PM10'!A:A,A439)&gt;0,COUNTIF('SO2'!A:A,A439)&gt;0,COUNTIF(Kendaraan!A:A,A439)&gt;0)</f>
        <v>1</v>
      </c>
    </row>
    <row r="440" spans="1:9" x14ac:dyDescent="0.45">
      <c r="A440" s="4">
        <v>45855</v>
      </c>
      <c r="B440" t="s">
        <v>88</v>
      </c>
      <c r="C440" t="s">
        <v>3044</v>
      </c>
      <c r="D440" t="s">
        <v>3565</v>
      </c>
      <c r="E440" t="s">
        <v>2152</v>
      </c>
      <c r="F440" t="s">
        <v>3950</v>
      </c>
      <c r="G440" s="1">
        <v>1483</v>
      </c>
      <c r="H440">
        <v>11</v>
      </c>
      <c r="I440" t="b">
        <f>AND(COUNTIF(CO!A:A,A440)&gt;0,COUNTIF('NO2'!A:A,A440)&gt;0,COUNTIF('O3'!A:A,A440)&gt;0,COUNTIF('PM10'!A:A,A440)&gt;0,COUNTIF('SO2'!A:A,A440)&gt;0,COUNTIF(Kendaraan!A:A,A440)&gt;0)</f>
        <v>1</v>
      </c>
    </row>
    <row r="441" spans="1:9" x14ac:dyDescent="0.45">
      <c r="A441" s="4">
        <v>45857</v>
      </c>
      <c r="B441" t="s">
        <v>112</v>
      </c>
      <c r="C441" t="s">
        <v>3639</v>
      </c>
      <c r="D441" t="s">
        <v>3639</v>
      </c>
      <c r="E441" t="s">
        <v>1665</v>
      </c>
      <c r="F441" t="s">
        <v>3639</v>
      </c>
      <c r="G441" s="1">
        <v>1941</v>
      </c>
      <c r="H441">
        <v>24</v>
      </c>
      <c r="I441" t="b">
        <f>AND(COUNTIF(CO!A:A,A441)&gt;0,COUNTIF('NO2'!A:A,A441)&gt;0,COUNTIF('O3'!A:A,A441)&gt;0,COUNTIF('PM10'!A:A,A441)&gt;0,COUNTIF('SO2'!A:A,A441)&gt;0,COUNTIF(Kendaraan!A:A,A441)&gt;0)</f>
        <v>1</v>
      </c>
    </row>
    <row r="442" spans="1:9" x14ac:dyDescent="0.45">
      <c r="A442" s="4">
        <v>45858</v>
      </c>
      <c r="B442" t="s">
        <v>3109</v>
      </c>
      <c r="C442" t="s">
        <v>1759</v>
      </c>
      <c r="D442" t="s">
        <v>3699</v>
      </c>
      <c r="E442" t="s">
        <v>3166</v>
      </c>
      <c r="F442" t="s">
        <v>3799</v>
      </c>
      <c r="G442" s="1">
        <v>2312</v>
      </c>
      <c r="H442">
        <v>24</v>
      </c>
      <c r="I442" t="b">
        <f>AND(COUNTIF(CO!A:A,A442)&gt;0,COUNTIF('NO2'!A:A,A442)&gt;0,COUNTIF('O3'!A:A,A442)&gt;0,COUNTIF('PM10'!A:A,A442)&gt;0,COUNTIF('SO2'!A:A,A442)&gt;0,COUNTIF(Kendaraan!A:A,A442)&gt;0)</f>
        <v>1</v>
      </c>
    </row>
    <row r="443" spans="1:9" x14ac:dyDescent="0.45">
      <c r="A443" s="4">
        <v>45859</v>
      </c>
      <c r="B443" t="s">
        <v>1355</v>
      </c>
      <c r="C443">
        <v>20</v>
      </c>
      <c r="D443" t="s">
        <v>3654</v>
      </c>
      <c r="E443" t="s">
        <v>2733</v>
      </c>
      <c r="F443" t="s">
        <v>1121</v>
      </c>
      <c r="G443" s="1">
        <v>1939</v>
      </c>
      <c r="H443">
        <v>24</v>
      </c>
      <c r="I443" t="b">
        <f>AND(COUNTIF(CO!A:A,A443)&gt;0,COUNTIF('NO2'!A:A,A443)&gt;0,COUNTIF('O3'!A:A,A443)&gt;0,COUNTIF('PM10'!A:A,A443)&gt;0,COUNTIF('SO2'!A:A,A443)&gt;0,COUNTIF(Kendaraan!A:A,A443)&gt;0)</f>
        <v>1</v>
      </c>
    </row>
    <row r="444" spans="1:9" x14ac:dyDescent="0.45">
      <c r="A444" s="4">
        <v>45860</v>
      </c>
      <c r="B444" t="s">
        <v>1389</v>
      </c>
      <c r="C444" t="s">
        <v>475</v>
      </c>
      <c r="D444" t="s">
        <v>3456</v>
      </c>
      <c r="E444" t="s">
        <v>440</v>
      </c>
      <c r="F444" t="s">
        <v>1386</v>
      </c>
      <c r="G444" s="1">
        <v>1002</v>
      </c>
      <c r="H444">
        <v>24</v>
      </c>
      <c r="I444" t="b">
        <f>AND(COUNTIF(CO!A:A,A444)&gt;0,COUNTIF('NO2'!A:A,A444)&gt;0,COUNTIF('O3'!A:A,A444)&gt;0,COUNTIF('PM10'!A:A,A444)&gt;0,COUNTIF('SO2'!A:A,A444)&gt;0,COUNTIF(Kendaraan!A:A,A444)&gt;0)</f>
        <v>1</v>
      </c>
    </row>
    <row r="445" spans="1:9" x14ac:dyDescent="0.45">
      <c r="A445" s="4">
        <v>45861</v>
      </c>
      <c r="B445" t="s">
        <v>1246</v>
      </c>
      <c r="C445" t="s">
        <v>1240</v>
      </c>
      <c r="D445" t="s">
        <v>882</v>
      </c>
      <c r="E445" t="s">
        <v>1246</v>
      </c>
      <c r="F445" t="s">
        <v>1240</v>
      </c>
      <c r="G445" t="s">
        <v>1119</v>
      </c>
      <c r="H445">
        <v>2</v>
      </c>
      <c r="I445" t="b">
        <f>AND(COUNTIF(CO!A:A,A445)&gt;0,COUNTIF('NO2'!A:A,A445)&gt;0,COUNTIF('O3'!A:A,A445)&gt;0,COUNTIF('PM10'!A:A,A445)&gt;0,COUNTIF('SO2'!A:A,A445)&gt;0,COUNTIF(Kendaraan!A:A,A445)&gt;0)</f>
        <v>1</v>
      </c>
    </row>
    <row r="446" spans="1:9" x14ac:dyDescent="0.45">
      <c r="A446" s="4">
        <v>45862</v>
      </c>
      <c r="B446" t="s">
        <v>3120</v>
      </c>
      <c r="C446" t="s">
        <v>3951</v>
      </c>
      <c r="D446" t="s">
        <v>3030</v>
      </c>
      <c r="E446" t="s">
        <v>1925</v>
      </c>
      <c r="F446" t="s">
        <v>1951</v>
      </c>
      <c r="G446" t="s">
        <v>3659</v>
      </c>
      <c r="H446">
        <v>5</v>
      </c>
      <c r="I446" t="b">
        <f>AND(COUNTIF(CO!A:A,A446)&gt;0,COUNTIF('NO2'!A:A,A446)&gt;0,COUNTIF('O3'!A:A,A446)&gt;0,COUNTIF('PM10'!A:A,A446)&gt;0,COUNTIF('SO2'!A:A,A446)&gt;0,COUNTIF(Kendaraan!A:A,A446)&gt;0)</f>
        <v>1</v>
      </c>
    </row>
    <row r="447" spans="1:9" x14ac:dyDescent="0.45">
      <c r="A447" s="4">
        <v>45863</v>
      </c>
      <c r="B447" t="s">
        <v>1460</v>
      </c>
      <c r="C447" t="s">
        <v>1416</v>
      </c>
      <c r="D447" t="s">
        <v>1471</v>
      </c>
      <c r="E447" t="s">
        <v>2004</v>
      </c>
      <c r="F447" t="s">
        <v>869</v>
      </c>
      <c r="G447" s="1">
        <v>1683</v>
      </c>
      <c r="H447">
        <v>24</v>
      </c>
      <c r="I447" t="b">
        <f>AND(COUNTIF(CO!A:A,A447)&gt;0,COUNTIF('NO2'!A:A,A447)&gt;0,COUNTIF('O3'!A:A,A447)&gt;0,COUNTIF('PM10'!A:A,A447)&gt;0,COUNTIF('SO2'!A:A,A447)&gt;0,COUNTIF(Kendaraan!A:A,A447)&gt;0)</f>
        <v>1</v>
      </c>
    </row>
    <row r="448" spans="1:9" x14ac:dyDescent="0.45">
      <c r="A448" s="4">
        <v>45864</v>
      </c>
      <c r="B448">
        <v>24</v>
      </c>
      <c r="C448" t="s">
        <v>3768</v>
      </c>
      <c r="D448" t="s">
        <v>1894</v>
      </c>
      <c r="E448" t="s">
        <v>407</v>
      </c>
      <c r="F448" t="s">
        <v>3952</v>
      </c>
      <c r="G448" s="1">
        <v>2188</v>
      </c>
      <c r="H448">
        <v>24</v>
      </c>
      <c r="I448" t="b">
        <f>AND(COUNTIF(CO!A:A,A448)&gt;0,COUNTIF('NO2'!A:A,A448)&gt;0,COUNTIF('O3'!A:A,A448)&gt;0,COUNTIF('PM10'!A:A,A448)&gt;0,COUNTIF('SO2'!A:A,A448)&gt;0,COUNTIF(Kendaraan!A:A,A448)&gt;0)</f>
        <v>1</v>
      </c>
    </row>
    <row r="449" spans="1:9" x14ac:dyDescent="0.45">
      <c r="A449" s="4">
        <v>45865</v>
      </c>
      <c r="B449" t="s">
        <v>3123</v>
      </c>
      <c r="C449" t="s">
        <v>3750</v>
      </c>
      <c r="D449" t="s">
        <v>3953</v>
      </c>
      <c r="E449" t="s">
        <v>3298</v>
      </c>
      <c r="F449" t="s">
        <v>3670</v>
      </c>
      <c r="G449" s="1">
        <v>3063</v>
      </c>
      <c r="H449">
        <v>24</v>
      </c>
      <c r="I449" t="b">
        <f>AND(COUNTIF(CO!A:A,A449)&gt;0,COUNTIF('NO2'!A:A,A449)&gt;0,COUNTIF('O3'!A:A,A449)&gt;0,COUNTIF('PM10'!A:A,A449)&gt;0,COUNTIF('SO2'!A:A,A449)&gt;0,COUNTIF(Kendaraan!A:A,A449)&gt;0)</f>
        <v>1</v>
      </c>
    </row>
    <row r="450" spans="1:9" x14ac:dyDescent="0.45">
      <c r="A450" s="4">
        <v>45866</v>
      </c>
      <c r="B450" t="s">
        <v>1704</v>
      </c>
      <c r="C450" t="s">
        <v>410</v>
      </c>
      <c r="D450" t="s">
        <v>1323</v>
      </c>
      <c r="E450" t="s">
        <v>1642</v>
      </c>
      <c r="F450" t="s">
        <v>1151</v>
      </c>
      <c r="G450" s="1">
        <v>4383</v>
      </c>
      <c r="H450">
        <v>24</v>
      </c>
      <c r="I450" t="b">
        <f>AND(COUNTIF(CO!A:A,A450)&gt;0,COUNTIF('NO2'!A:A,A450)&gt;0,COUNTIF('O3'!A:A,A450)&gt;0,COUNTIF('PM10'!A:A,A450)&gt;0,COUNTIF('SO2'!A:A,A450)&gt;0,COUNTIF(Kendaraan!A:A,A450)&gt;0)</f>
        <v>1</v>
      </c>
    </row>
    <row r="451" spans="1:9" x14ac:dyDescent="0.45">
      <c r="A451" s="4">
        <v>45867</v>
      </c>
      <c r="B451" t="s">
        <v>2065</v>
      </c>
      <c r="C451" t="s">
        <v>354</v>
      </c>
      <c r="D451" t="s">
        <v>729</v>
      </c>
      <c r="E451" t="s">
        <v>707</v>
      </c>
      <c r="F451" t="s">
        <v>1702</v>
      </c>
      <c r="G451" t="s">
        <v>3954</v>
      </c>
      <c r="H451">
        <v>24</v>
      </c>
      <c r="I451" t="b">
        <f>AND(COUNTIF(CO!A:A,A451)&gt;0,COUNTIF('NO2'!A:A,A451)&gt;0,COUNTIF('O3'!A:A,A451)&gt;0,COUNTIF('PM10'!A:A,A451)&gt;0,COUNTIF('SO2'!A:A,A451)&gt;0,COUNTIF(Kendaraan!A:A,A451)&gt;0)</f>
        <v>1</v>
      </c>
    </row>
    <row r="452" spans="1:9" x14ac:dyDescent="0.45">
      <c r="A452" s="4">
        <v>45868</v>
      </c>
      <c r="B452" t="s">
        <v>2083</v>
      </c>
      <c r="C452" t="s">
        <v>1053</v>
      </c>
      <c r="D452" t="s">
        <v>704</v>
      </c>
      <c r="E452" t="s">
        <v>3631</v>
      </c>
      <c r="F452" t="s">
        <v>3638</v>
      </c>
      <c r="G452" s="1">
        <v>2282</v>
      </c>
      <c r="H452">
        <v>24</v>
      </c>
      <c r="I452" t="b">
        <f>AND(COUNTIF(CO!A:A,A452)&gt;0,COUNTIF('NO2'!A:A,A452)&gt;0,COUNTIF('O3'!A:A,A452)&gt;0,COUNTIF('PM10'!A:A,A452)&gt;0,COUNTIF('SO2'!A:A,A452)&gt;0,COUNTIF(Kendaraan!A:A,A452)&gt;0)</f>
        <v>1</v>
      </c>
    </row>
    <row r="453" spans="1:9" x14ac:dyDescent="0.45">
      <c r="A453" s="4">
        <v>45869</v>
      </c>
      <c r="B453" t="s">
        <v>1637</v>
      </c>
      <c r="C453" t="s">
        <v>1589</v>
      </c>
      <c r="D453" t="s">
        <v>1278</v>
      </c>
      <c r="E453" t="s">
        <v>3955</v>
      </c>
      <c r="F453" t="s">
        <v>1129</v>
      </c>
      <c r="G453" s="1">
        <v>4873</v>
      </c>
      <c r="H453">
        <v>24</v>
      </c>
      <c r="I453" t="b">
        <f>AND(COUNTIF(CO!A:A,A453)&gt;0,COUNTIF('NO2'!A:A,A453)&gt;0,COUNTIF('O3'!A:A,A453)&gt;0,COUNTIF('PM10'!A:A,A453)&gt;0,COUNTIF('SO2'!A:A,A453)&gt;0,COUNTIF(Kendaraan!A:A,A453)&gt;0)</f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15D7-6988-4D60-9E71-82085163CE66}">
  <dimension ref="A1:I453"/>
  <sheetViews>
    <sheetView workbookViewId="0">
      <selection activeCell="J11" sqref="J11"/>
    </sheetView>
  </sheetViews>
  <sheetFormatPr defaultRowHeight="14.25" x14ac:dyDescent="0.45"/>
  <cols>
    <col min="1" max="1" width="12.59765625" bestFit="1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5193</v>
      </c>
    </row>
    <row r="2" spans="1:9" x14ac:dyDescent="0.45">
      <c r="A2" s="4">
        <v>45337</v>
      </c>
      <c r="B2">
        <v>36</v>
      </c>
      <c r="C2" t="s">
        <v>3986</v>
      </c>
      <c r="D2" t="s">
        <v>335</v>
      </c>
      <c r="E2" t="s">
        <v>2192</v>
      </c>
      <c r="F2" t="s">
        <v>3987</v>
      </c>
      <c r="G2" s="1">
        <v>1375</v>
      </c>
      <c r="H2">
        <v>24</v>
      </c>
      <c r="I2" t="b">
        <f>AND(COUNTIF(CO!A:A,A2)&gt;0,COUNTIF('NO2'!A:A,A2)&gt;0,COUNTIF('O3'!A:A,A2)&gt;0,COUNTIF('PM10'!A:A,A2)&gt;0,COUNTIF('PM2.5'!A:A,A2)&gt;0,COUNTIF(Kendaraan!A:A,A2)&gt;0)</f>
        <v>1</v>
      </c>
    </row>
    <row r="3" spans="1:9" x14ac:dyDescent="0.45">
      <c r="A3" s="4">
        <v>45338</v>
      </c>
      <c r="B3" t="s">
        <v>2884</v>
      </c>
      <c r="C3" t="s">
        <v>3988</v>
      </c>
      <c r="D3" t="s">
        <v>3064</v>
      </c>
      <c r="E3" t="s">
        <v>3162</v>
      </c>
      <c r="F3" t="s">
        <v>3989</v>
      </c>
      <c r="G3" s="1">
        <v>8643</v>
      </c>
      <c r="H3">
        <v>24</v>
      </c>
      <c r="I3" t="b">
        <f>AND(COUNTIF(CO!A:A,A3)&gt;0,COUNTIF('NO2'!A:A,A3)&gt;0,COUNTIF('O3'!A:A,A3)&gt;0,COUNTIF('PM10'!A:A,A3)&gt;0,COUNTIF('PM2.5'!A:A,A3)&gt;0,COUNTIF(Kendaraan!A:A,A3)&gt;0)</f>
        <v>1</v>
      </c>
    </row>
    <row r="4" spans="1:9" x14ac:dyDescent="0.45">
      <c r="A4" s="4">
        <v>45342</v>
      </c>
      <c r="B4" t="s">
        <v>53</v>
      </c>
      <c r="C4" t="s">
        <v>3990</v>
      </c>
      <c r="D4" t="s">
        <v>1929</v>
      </c>
      <c r="E4" t="s">
        <v>2084</v>
      </c>
      <c r="F4" t="s">
        <v>2303</v>
      </c>
      <c r="G4" s="1">
        <v>16234</v>
      </c>
      <c r="H4">
        <v>24</v>
      </c>
      <c r="I4" t="b">
        <f>AND(COUNTIF(CO!A:A,A4)&gt;0,COUNTIF('NO2'!A:A,A4)&gt;0,COUNTIF('O3'!A:A,A4)&gt;0,COUNTIF('PM10'!A:A,A4)&gt;0,COUNTIF('PM2.5'!A:A,A4)&gt;0,COUNTIF(Kendaraan!A:A,A4)&gt;0)</f>
        <v>1</v>
      </c>
    </row>
    <row r="5" spans="1:9" x14ac:dyDescent="0.45">
      <c r="A5" s="4">
        <v>45343</v>
      </c>
      <c r="B5" t="s">
        <v>3991</v>
      </c>
      <c r="C5">
        <v>76</v>
      </c>
      <c r="D5" t="s">
        <v>3992</v>
      </c>
      <c r="E5" t="s">
        <v>2115</v>
      </c>
      <c r="F5" t="s">
        <v>3993</v>
      </c>
      <c r="G5" s="1">
        <v>6296</v>
      </c>
      <c r="H5">
        <v>24</v>
      </c>
      <c r="I5" t="b">
        <f>AND(COUNTIF(CO!A:A,A5)&gt;0,COUNTIF('NO2'!A:A,A5)&gt;0,COUNTIF('O3'!A:A,A5)&gt;0,COUNTIF('PM10'!A:A,A5)&gt;0,COUNTIF('PM2.5'!A:A,A5)&gt;0,COUNTIF(Kendaraan!A:A,A5)&gt;0)</f>
        <v>1</v>
      </c>
    </row>
    <row r="6" spans="1:9" x14ac:dyDescent="0.45">
      <c r="A6" s="4">
        <v>45344</v>
      </c>
      <c r="B6" t="s">
        <v>3994</v>
      </c>
      <c r="C6">
        <v>81</v>
      </c>
      <c r="D6">
        <v>81</v>
      </c>
      <c r="E6" t="s">
        <v>389</v>
      </c>
      <c r="F6">
        <v>81</v>
      </c>
      <c r="G6" s="1">
        <v>1282</v>
      </c>
      <c r="H6">
        <v>24</v>
      </c>
      <c r="I6" t="b">
        <f>AND(COUNTIF(CO!A:A,A6)&gt;0,COUNTIF('NO2'!A:A,A6)&gt;0,COUNTIF('O3'!A:A,A6)&gt;0,COUNTIF('PM10'!A:A,A6)&gt;0,COUNTIF('PM2.5'!A:A,A6)&gt;0,COUNTIF(Kendaraan!A:A,A6)&gt;0)</f>
        <v>1</v>
      </c>
    </row>
    <row r="7" spans="1:9" x14ac:dyDescent="0.45">
      <c r="A7" s="4">
        <v>45372</v>
      </c>
      <c r="B7" t="s">
        <v>2057</v>
      </c>
      <c r="C7" t="s">
        <v>1314</v>
      </c>
      <c r="D7" t="s">
        <v>1931</v>
      </c>
      <c r="E7" t="s">
        <v>3589</v>
      </c>
      <c r="F7" t="s">
        <v>3772</v>
      </c>
      <c r="G7" t="s">
        <v>290</v>
      </c>
      <c r="H7">
        <v>9</v>
      </c>
      <c r="I7" t="b">
        <f>AND(COUNTIF(CO!A:A,A7)&gt;0,COUNTIF('NO2'!A:A,A7)&gt;0,COUNTIF('O3'!A:A,A7)&gt;0,COUNTIF('PM10'!A:A,A7)&gt;0,COUNTIF('PM2.5'!A:A,A7)&gt;0,COUNTIF(Kendaraan!A:A,A7)&gt;0)</f>
        <v>1</v>
      </c>
    </row>
    <row r="8" spans="1:9" x14ac:dyDescent="0.45">
      <c r="A8" s="4">
        <v>45373</v>
      </c>
      <c r="B8" t="s">
        <v>865</v>
      </c>
      <c r="C8" t="s">
        <v>1480</v>
      </c>
      <c r="D8" t="s">
        <v>1239</v>
      </c>
      <c r="E8" t="s">
        <v>882</v>
      </c>
      <c r="F8" t="s">
        <v>867</v>
      </c>
      <c r="G8" t="s">
        <v>27</v>
      </c>
      <c r="H8">
        <v>4</v>
      </c>
      <c r="I8" t="b">
        <f>AND(COUNTIF(CO!A:A,A8)&gt;0,COUNTIF('NO2'!A:A,A8)&gt;0,COUNTIF('O3'!A:A,A8)&gt;0,COUNTIF('PM10'!A:A,A8)&gt;0,COUNTIF('PM2.5'!A:A,A8)&gt;0,COUNTIF(Kendaraan!A:A,A8)&gt;0)</f>
        <v>1</v>
      </c>
    </row>
    <row r="9" spans="1:9" x14ac:dyDescent="0.45">
      <c r="A9" s="4">
        <v>45377</v>
      </c>
      <c r="B9" t="s">
        <v>1103</v>
      </c>
      <c r="C9" t="s">
        <v>1103</v>
      </c>
      <c r="D9" t="s">
        <v>1103</v>
      </c>
      <c r="E9" t="s">
        <v>1103</v>
      </c>
      <c r="F9" t="s">
        <v>1103</v>
      </c>
      <c r="G9">
        <v>0</v>
      </c>
      <c r="H9">
        <v>1</v>
      </c>
      <c r="I9" t="b">
        <f>AND(COUNTIF(CO!A:A,A9)&gt;0,COUNTIF('NO2'!A:A,A9)&gt;0,COUNTIF('O3'!A:A,A9)&gt;0,COUNTIF('PM10'!A:A,A9)&gt;0,COUNTIF('PM2.5'!A:A,A9)&gt;0,COUNTIF(Kendaraan!A:A,A9)&gt;0)</f>
        <v>1</v>
      </c>
    </row>
    <row r="10" spans="1:9" x14ac:dyDescent="0.45">
      <c r="A10" s="4">
        <v>45383</v>
      </c>
      <c r="B10" t="s">
        <v>2378</v>
      </c>
      <c r="C10" t="s">
        <v>677</v>
      </c>
      <c r="D10" t="s">
        <v>1199</v>
      </c>
      <c r="E10" t="s">
        <v>1208</v>
      </c>
      <c r="F10" t="s">
        <v>426</v>
      </c>
      <c r="G10" s="1">
        <v>1244</v>
      </c>
      <c r="H10">
        <v>21</v>
      </c>
      <c r="I10" t="b">
        <f>AND(COUNTIF(CO!A:A,A10)&gt;0,COUNTIF('NO2'!A:A,A10)&gt;0,COUNTIF('O3'!A:A,A10)&gt;0,COUNTIF('PM10'!A:A,A10)&gt;0,COUNTIF('PM2.5'!A:A,A10)&gt;0,COUNTIF(Kendaraan!A:A,A10)&gt;0)</f>
        <v>1</v>
      </c>
    </row>
    <row r="11" spans="1:9" x14ac:dyDescent="0.45">
      <c r="A11" s="4">
        <v>45384</v>
      </c>
      <c r="B11" t="s">
        <v>3665</v>
      </c>
      <c r="C11" t="s">
        <v>638</v>
      </c>
      <c r="D11" t="s">
        <v>503</v>
      </c>
      <c r="E11" t="s">
        <v>2575</v>
      </c>
      <c r="F11" t="s">
        <v>501</v>
      </c>
      <c r="G11" t="s">
        <v>183</v>
      </c>
      <c r="H11">
        <v>24</v>
      </c>
      <c r="I11" t="b">
        <f>AND(COUNTIF(CO!A:A,A11)&gt;0,COUNTIF('NO2'!A:A,A11)&gt;0,COUNTIF('O3'!A:A,A11)&gt;0,COUNTIF('PM10'!A:A,A11)&gt;0,COUNTIF('PM2.5'!A:A,A11)&gt;0,COUNTIF(Kendaraan!A:A,A11)&gt;0)</f>
        <v>1</v>
      </c>
    </row>
    <row r="12" spans="1:9" x14ac:dyDescent="0.45">
      <c r="A12" s="4">
        <v>45385</v>
      </c>
      <c r="B12" t="s">
        <v>1206</v>
      </c>
      <c r="C12" t="s">
        <v>431</v>
      </c>
      <c r="D12" t="s">
        <v>1650</v>
      </c>
      <c r="E12" t="s">
        <v>1472</v>
      </c>
      <c r="F12" t="s">
        <v>441</v>
      </c>
      <c r="G12" t="s">
        <v>3199</v>
      </c>
      <c r="H12">
        <v>24</v>
      </c>
      <c r="I12" t="b">
        <f>AND(COUNTIF(CO!A:A,A12)&gt;0,COUNTIF('NO2'!A:A,A12)&gt;0,COUNTIF('O3'!A:A,A12)&gt;0,COUNTIF('PM10'!A:A,A12)&gt;0,COUNTIF('PM2.5'!A:A,A12)&gt;0,COUNTIF(Kendaraan!A:A,A12)&gt;0)</f>
        <v>1</v>
      </c>
    </row>
    <row r="13" spans="1:9" x14ac:dyDescent="0.45">
      <c r="A13" s="4">
        <v>45386</v>
      </c>
      <c r="B13" t="s">
        <v>3497</v>
      </c>
      <c r="C13" t="s">
        <v>1206</v>
      </c>
      <c r="D13" t="s">
        <v>1738</v>
      </c>
      <c r="E13" t="s">
        <v>1938</v>
      </c>
      <c r="F13" t="s">
        <v>2056</v>
      </c>
      <c r="G13" t="s">
        <v>491</v>
      </c>
      <c r="H13">
        <v>24</v>
      </c>
      <c r="I13" t="b">
        <f>AND(COUNTIF(CO!A:A,A13)&gt;0,COUNTIF('NO2'!A:A,A13)&gt;0,COUNTIF('O3'!A:A,A13)&gt;0,COUNTIF('PM10'!A:A,A13)&gt;0,COUNTIF('PM2.5'!A:A,A13)&gt;0,COUNTIF(Kendaraan!A:A,A13)&gt;0)</f>
        <v>1</v>
      </c>
    </row>
    <row r="14" spans="1:9" x14ac:dyDescent="0.45">
      <c r="A14" s="4">
        <v>45387</v>
      </c>
      <c r="B14" t="s">
        <v>1045</v>
      </c>
      <c r="C14" t="s">
        <v>1999</v>
      </c>
      <c r="D14" t="s">
        <v>1930</v>
      </c>
      <c r="E14" t="s">
        <v>1693</v>
      </c>
      <c r="F14" t="s">
        <v>1457</v>
      </c>
      <c r="G14" t="s">
        <v>3995</v>
      </c>
      <c r="H14">
        <v>23</v>
      </c>
      <c r="I14" t="b">
        <f>AND(COUNTIF(CO!A:A,A14)&gt;0,COUNTIF('NO2'!A:A,A14)&gt;0,COUNTIF('O3'!A:A,A14)&gt;0,COUNTIF('PM10'!A:A,A14)&gt;0,COUNTIF('PM2.5'!A:A,A14)&gt;0,COUNTIF(Kendaraan!A:A,A14)&gt;0)</f>
        <v>1</v>
      </c>
    </row>
    <row r="15" spans="1:9" x14ac:dyDescent="0.45">
      <c r="A15" s="4">
        <v>45388</v>
      </c>
      <c r="B15" t="s">
        <v>1981</v>
      </c>
      <c r="C15" t="s">
        <v>1424</v>
      </c>
      <c r="D15" t="s">
        <v>3191</v>
      </c>
      <c r="E15" t="s">
        <v>1320</v>
      </c>
      <c r="F15" t="s">
        <v>2000</v>
      </c>
      <c r="G15" s="1">
        <v>1221</v>
      </c>
      <c r="H15">
        <v>24</v>
      </c>
      <c r="I15" t="b">
        <f>AND(COUNTIF(CO!A:A,A15)&gt;0,COUNTIF('NO2'!A:A,A15)&gt;0,COUNTIF('O3'!A:A,A15)&gt;0,COUNTIF('PM10'!A:A,A15)&gt;0,COUNTIF('PM2.5'!A:A,A15)&gt;0,COUNTIF(Kendaraan!A:A,A15)&gt;0)</f>
        <v>1</v>
      </c>
    </row>
    <row r="16" spans="1:9" x14ac:dyDescent="0.45">
      <c r="A16" s="4">
        <v>45389</v>
      </c>
      <c r="B16" t="s">
        <v>2574</v>
      </c>
      <c r="C16" t="s">
        <v>2809</v>
      </c>
      <c r="D16" t="s">
        <v>3996</v>
      </c>
      <c r="E16" t="s">
        <v>409</v>
      </c>
      <c r="F16" t="s">
        <v>1520</v>
      </c>
      <c r="G16" s="1">
        <v>4014</v>
      </c>
      <c r="H16">
        <v>24</v>
      </c>
      <c r="I16" t="b">
        <f>AND(COUNTIF(CO!A:A,A16)&gt;0,COUNTIF('NO2'!A:A,A16)&gt;0,COUNTIF('O3'!A:A,A16)&gt;0,COUNTIF('PM10'!A:A,A16)&gt;0,COUNTIF('PM2.5'!A:A,A16)&gt;0,COUNTIF(Kendaraan!A:A,A16)&gt;0)</f>
        <v>1</v>
      </c>
    </row>
    <row r="17" spans="1:9" x14ac:dyDescent="0.45">
      <c r="A17" s="4">
        <v>45390</v>
      </c>
      <c r="B17" t="s">
        <v>471</v>
      </c>
      <c r="C17" t="s">
        <v>2846</v>
      </c>
      <c r="D17" t="s">
        <v>1945</v>
      </c>
      <c r="E17" t="s">
        <v>3543</v>
      </c>
      <c r="F17" t="s">
        <v>3997</v>
      </c>
      <c r="G17" s="1">
        <v>2215</v>
      </c>
      <c r="H17">
        <v>24</v>
      </c>
      <c r="I17" t="b">
        <f>AND(COUNTIF(CO!A:A,A17)&gt;0,COUNTIF('NO2'!A:A,A17)&gt;0,COUNTIF('O3'!A:A,A17)&gt;0,COUNTIF('PM10'!A:A,A17)&gt;0,COUNTIF('PM2.5'!A:A,A17)&gt;0,COUNTIF(Kendaraan!A:A,A17)&gt;0)</f>
        <v>1</v>
      </c>
    </row>
    <row r="18" spans="1:9" x14ac:dyDescent="0.45">
      <c r="A18" s="4">
        <v>45391</v>
      </c>
      <c r="B18" t="s">
        <v>568</v>
      </c>
      <c r="C18" t="s">
        <v>2040</v>
      </c>
      <c r="D18" t="s">
        <v>398</v>
      </c>
      <c r="E18" t="s">
        <v>3998</v>
      </c>
      <c r="F18" t="s">
        <v>3323</v>
      </c>
      <c r="G18" s="1">
        <v>1159</v>
      </c>
      <c r="H18">
        <v>24</v>
      </c>
      <c r="I18" t="b">
        <f>AND(COUNTIF(CO!A:A,A18)&gt;0,COUNTIF('NO2'!A:A,A18)&gt;0,COUNTIF('O3'!A:A,A18)&gt;0,COUNTIF('PM10'!A:A,A18)&gt;0,COUNTIF('PM2.5'!A:A,A18)&gt;0,COUNTIF(Kendaraan!A:A,A18)&gt;0)</f>
        <v>1</v>
      </c>
    </row>
    <row r="19" spans="1:9" x14ac:dyDescent="0.45">
      <c r="A19" s="4">
        <v>45392</v>
      </c>
      <c r="B19" t="s">
        <v>2975</v>
      </c>
      <c r="C19" t="s">
        <v>2333</v>
      </c>
      <c r="D19" t="s">
        <v>3597</v>
      </c>
      <c r="E19" t="s">
        <v>3740</v>
      </c>
      <c r="F19" t="s">
        <v>1989</v>
      </c>
      <c r="G19" t="s">
        <v>121</v>
      </c>
      <c r="H19">
        <v>24</v>
      </c>
      <c r="I19" t="b">
        <f>AND(COUNTIF(CO!A:A,A19)&gt;0,COUNTIF('NO2'!A:A,A19)&gt;0,COUNTIF('O3'!A:A,A19)&gt;0,COUNTIF('PM10'!A:A,A19)&gt;0,COUNTIF('PM2.5'!A:A,A19)&gt;0,COUNTIF(Kendaraan!A:A,A19)&gt;0)</f>
        <v>1</v>
      </c>
    </row>
    <row r="20" spans="1:9" x14ac:dyDescent="0.45">
      <c r="A20" s="4">
        <v>45393</v>
      </c>
      <c r="B20" t="s">
        <v>466</v>
      </c>
      <c r="C20" t="s">
        <v>3339</v>
      </c>
      <c r="D20" t="s">
        <v>3710</v>
      </c>
      <c r="E20" t="s">
        <v>3999</v>
      </c>
      <c r="F20" t="s">
        <v>2377</v>
      </c>
      <c r="G20" s="1">
        <v>2069</v>
      </c>
      <c r="H20">
        <v>24</v>
      </c>
      <c r="I20" t="b">
        <f>AND(COUNTIF(CO!A:A,A20)&gt;0,COUNTIF('NO2'!A:A,A20)&gt;0,COUNTIF('O3'!A:A,A20)&gt;0,COUNTIF('PM10'!A:A,A20)&gt;0,COUNTIF('PM2.5'!A:A,A20)&gt;0,COUNTIF(Kendaraan!A:A,A20)&gt;0)</f>
        <v>1</v>
      </c>
    </row>
    <row r="21" spans="1:9" x14ac:dyDescent="0.45">
      <c r="A21" s="4">
        <v>45394</v>
      </c>
      <c r="B21" t="s">
        <v>671</v>
      </c>
      <c r="C21" t="s">
        <v>3242</v>
      </c>
      <c r="D21" t="s">
        <v>823</v>
      </c>
      <c r="E21" t="s">
        <v>3183</v>
      </c>
      <c r="F21" t="s">
        <v>3831</v>
      </c>
      <c r="G21" s="1">
        <v>3075</v>
      </c>
      <c r="H21">
        <v>24</v>
      </c>
      <c r="I21" t="b">
        <f>AND(COUNTIF(CO!A:A,A21)&gt;0,COUNTIF('NO2'!A:A,A21)&gt;0,COUNTIF('O3'!A:A,A21)&gt;0,COUNTIF('PM10'!A:A,A21)&gt;0,COUNTIF('PM2.5'!A:A,A21)&gt;0,COUNTIF(Kendaraan!A:A,A21)&gt;0)</f>
        <v>1</v>
      </c>
    </row>
    <row r="22" spans="1:9" x14ac:dyDescent="0.45">
      <c r="A22" s="4">
        <v>45395</v>
      </c>
      <c r="B22" t="s">
        <v>3248</v>
      </c>
      <c r="C22" t="s">
        <v>2869</v>
      </c>
      <c r="D22" t="s">
        <v>3658</v>
      </c>
      <c r="E22" t="s">
        <v>3749</v>
      </c>
      <c r="F22" t="s">
        <v>2801</v>
      </c>
      <c r="G22" t="s">
        <v>4000</v>
      </c>
      <c r="H22">
        <v>24</v>
      </c>
      <c r="I22" t="b">
        <f>AND(COUNTIF(CO!A:A,A22)&gt;0,COUNTIF('NO2'!A:A,A22)&gt;0,COUNTIF('O3'!A:A,A22)&gt;0,COUNTIF('PM10'!A:A,A22)&gt;0,COUNTIF('PM2.5'!A:A,A22)&gt;0,COUNTIF(Kendaraan!A:A,A22)&gt;0)</f>
        <v>1</v>
      </c>
    </row>
    <row r="23" spans="1:9" x14ac:dyDescent="0.45">
      <c r="A23" s="4">
        <v>45396</v>
      </c>
      <c r="B23" t="s">
        <v>663</v>
      </c>
      <c r="C23" t="s">
        <v>1528</v>
      </c>
      <c r="D23" t="s">
        <v>3546</v>
      </c>
      <c r="E23" t="s">
        <v>2339</v>
      </c>
      <c r="F23" t="s">
        <v>2020</v>
      </c>
      <c r="G23" s="1">
        <v>1999</v>
      </c>
      <c r="H23">
        <v>24</v>
      </c>
      <c r="I23" t="b">
        <f>AND(COUNTIF(CO!A:A,A23)&gt;0,COUNTIF('NO2'!A:A,A23)&gt;0,COUNTIF('O3'!A:A,A23)&gt;0,COUNTIF('PM10'!A:A,A23)&gt;0,COUNTIF('PM2.5'!A:A,A23)&gt;0,COUNTIF(Kendaraan!A:A,A23)&gt;0)</f>
        <v>1</v>
      </c>
    </row>
    <row r="24" spans="1:9" x14ac:dyDescent="0.45">
      <c r="A24" s="4">
        <v>45397</v>
      </c>
      <c r="B24" t="s">
        <v>1999</v>
      </c>
      <c r="C24" t="s">
        <v>481</v>
      </c>
      <c r="D24" t="s">
        <v>625</v>
      </c>
      <c r="E24" t="s">
        <v>1474</v>
      </c>
      <c r="F24" t="s">
        <v>3521</v>
      </c>
      <c r="G24" s="1">
        <v>2106</v>
      </c>
      <c r="H24">
        <v>24</v>
      </c>
      <c r="I24" t="b">
        <f>AND(COUNTIF(CO!A:A,A24)&gt;0,COUNTIF('NO2'!A:A,A24)&gt;0,COUNTIF('O3'!A:A,A24)&gt;0,COUNTIF('PM10'!A:A,A24)&gt;0,COUNTIF('PM2.5'!A:A,A24)&gt;0,COUNTIF(Kendaraan!A:A,A24)&gt;0)</f>
        <v>1</v>
      </c>
    </row>
    <row r="25" spans="1:9" x14ac:dyDescent="0.45">
      <c r="A25" s="4">
        <v>45398</v>
      </c>
      <c r="B25" t="s">
        <v>1508</v>
      </c>
      <c r="C25" t="s">
        <v>1850</v>
      </c>
      <c r="D25" t="s">
        <v>3200</v>
      </c>
      <c r="E25" t="s">
        <v>1149</v>
      </c>
      <c r="F25" t="s">
        <v>1443</v>
      </c>
      <c r="G25" t="s">
        <v>467</v>
      </c>
      <c r="H25">
        <v>24</v>
      </c>
      <c r="I25" t="b">
        <f>AND(COUNTIF(CO!A:A,A25)&gt;0,COUNTIF('NO2'!A:A,A25)&gt;0,COUNTIF('O3'!A:A,A25)&gt;0,COUNTIF('PM10'!A:A,A25)&gt;0,COUNTIF('PM2.5'!A:A,A25)&gt;0,COUNTIF(Kendaraan!A:A,A25)&gt;0)</f>
        <v>1</v>
      </c>
    </row>
    <row r="26" spans="1:9" x14ac:dyDescent="0.45">
      <c r="A26" s="4">
        <v>45399</v>
      </c>
      <c r="B26" t="s">
        <v>1629</v>
      </c>
      <c r="C26" t="s">
        <v>1473</v>
      </c>
      <c r="D26" t="s">
        <v>930</v>
      </c>
      <c r="E26" t="s">
        <v>1181</v>
      </c>
      <c r="F26" t="s">
        <v>1999</v>
      </c>
      <c r="G26" s="1">
        <v>1104</v>
      </c>
      <c r="H26">
        <v>24</v>
      </c>
      <c r="I26" t="b">
        <f>AND(COUNTIF(CO!A:A,A26)&gt;0,COUNTIF('NO2'!A:A,A26)&gt;0,COUNTIF('O3'!A:A,A26)&gt;0,COUNTIF('PM10'!A:A,A26)&gt;0,COUNTIF('PM2.5'!A:A,A26)&gt;0,COUNTIF(Kendaraan!A:A,A26)&gt;0)</f>
        <v>1</v>
      </c>
    </row>
    <row r="27" spans="1:9" x14ac:dyDescent="0.45">
      <c r="A27" s="4">
        <v>45400</v>
      </c>
      <c r="B27" t="s">
        <v>1270</v>
      </c>
      <c r="C27" t="s">
        <v>1479</v>
      </c>
      <c r="D27" t="s">
        <v>1239</v>
      </c>
      <c r="E27" t="s">
        <v>1411</v>
      </c>
      <c r="F27" t="s">
        <v>437</v>
      </c>
      <c r="G27" t="s">
        <v>1018</v>
      </c>
      <c r="H27">
        <v>24</v>
      </c>
      <c r="I27" t="b">
        <f>AND(COUNTIF(CO!A:A,A27)&gt;0,COUNTIF('NO2'!A:A,A27)&gt;0,COUNTIF('O3'!A:A,A27)&gt;0,COUNTIF('PM10'!A:A,A27)&gt;0,COUNTIF('PM2.5'!A:A,A27)&gt;0,COUNTIF(Kendaraan!A:A,A27)&gt;0)</f>
        <v>1</v>
      </c>
    </row>
    <row r="28" spans="1:9" x14ac:dyDescent="0.45">
      <c r="A28" s="4">
        <v>45401</v>
      </c>
      <c r="B28" t="s">
        <v>1240</v>
      </c>
      <c r="C28" t="s">
        <v>1404</v>
      </c>
      <c r="D28" t="s">
        <v>423</v>
      </c>
      <c r="E28" t="s">
        <v>614</v>
      </c>
      <c r="F28" t="s">
        <v>3129</v>
      </c>
      <c r="G28" t="s">
        <v>4001</v>
      </c>
      <c r="H28">
        <v>24</v>
      </c>
      <c r="I28" t="b">
        <f>AND(COUNTIF(CO!A:A,A28)&gt;0,COUNTIF('NO2'!A:A,A28)&gt;0,COUNTIF('O3'!A:A,A28)&gt;0,COUNTIF('PM10'!A:A,A28)&gt;0,COUNTIF('PM2.5'!A:A,A28)&gt;0,COUNTIF(Kendaraan!A:A,A28)&gt;0)</f>
        <v>1</v>
      </c>
    </row>
    <row r="29" spans="1:9" x14ac:dyDescent="0.45">
      <c r="A29" s="4">
        <v>45402</v>
      </c>
      <c r="B29" t="s">
        <v>462</v>
      </c>
      <c r="C29" t="s">
        <v>416</v>
      </c>
      <c r="D29" t="s">
        <v>1407</v>
      </c>
      <c r="E29" t="s">
        <v>2148</v>
      </c>
      <c r="F29" t="s">
        <v>1414</v>
      </c>
      <c r="G29" t="s">
        <v>853</v>
      </c>
      <c r="H29">
        <v>24</v>
      </c>
      <c r="I29" t="b">
        <f>AND(COUNTIF(CO!A:A,A29)&gt;0,COUNTIF('NO2'!A:A,A29)&gt;0,COUNTIF('O3'!A:A,A29)&gt;0,COUNTIF('PM10'!A:A,A29)&gt;0,COUNTIF('PM2.5'!A:A,A29)&gt;0,COUNTIF(Kendaraan!A:A,A29)&gt;0)</f>
        <v>1</v>
      </c>
    </row>
    <row r="30" spans="1:9" x14ac:dyDescent="0.45">
      <c r="A30" s="4">
        <v>45403</v>
      </c>
      <c r="B30" t="s">
        <v>439</v>
      </c>
      <c r="C30" t="s">
        <v>435</v>
      </c>
      <c r="D30" t="s">
        <v>434</v>
      </c>
      <c r="E30" t="s">
        <v>1408</v>
      </c>
      <c r="F30" t="s">
        <v>3961</v>
      </c>
      <c r="G30" t="s">
        <v>4002</v>
      </c>
      <c r="H30">
        <v>24</v>
      </c>
      <c r="I30" t="b">
        <f>AND(COUNTIF(CO!A:A,A30)&gt;0,COUNTIF('NO2'!A:A,A30)&gt;0,COUNTIF('O3'!A:A,A30)&gt;0,COUNTIF('PM10'!A:A,A30)&gt;0,COUNTIF('PM2.5'!A:A,A30)&gt;0,COUNTIF(Kendaraan!A:A,A30)&gt;0)</f>
        <v>1</v>
      </c>
    </row>
    <row r="31" spans="1:9" x14ac:dyDescent="0.45">
      <c r="A31" s="4">
        <v>45404</v>
      </c>
      <c r="B31" t="s">
        <v>1145</v>
      </c>
      <c r="C31" t="s">
        <v>3456</v>
      </c>
      <c r="D31" t="s">
        <v>3475</v>
      </c>
      <c r="E31" t="s">
        <v>1227</v>
      </c>
      <c r="F31" t="s">
        <v>1972</v>
      </c>
      <c r="G31" s="1">
        <v>1524</v>
      </c>
      <c r="H31">
        <v>24</v>
      </c>
      <c r="I31" t="b">
        <f>AND(COUNTIF(CO!A:A,A31)&gt;0,COUNTIF('NO2'!A:A,A31)&gt;0,COUNTIF('O3'!A:A,A31)&gt;0,COUNTIF('PM10'!A:A,A31)&gt;0,COUNTIF('PM2.5'!A:A,A31)&gt;0,COUNTIF(Kendaraan!A:A,A31)&gt;0)</f>
        <v>1</v>
      </c>
    </row>
    <row r="32" spans="1:9" x14ac:dyDescent="0.45">
      <c r="A32" s="4">
        <v>45405</v>
      </c>
      <c r="B32" t="s">
        <v>1510</v>
      </c>
      <c r="C32" t="s">
        <v>3758</v>
      </c>
      <c r="D32" t="s">
        <v>1662</v>
      </c>
      <c r="E32" t="s">
        <v>1139</v>
      </c>
      <c r="F32" t="s">
        <v>402</v>
      </c>
      <c r="G32" s="1">
        <v>5874</v>
      </c>
      <c r="H32">
        <v>24</v>
      </c>
      <c r="I32" t="b">
        <f>AND(COUNTIF(CO!A:A,A32)&gt;0,COUNTIF('NO2'!A:A,A32)&gt;0,COUNTIF('O3'!A:A,A32)&gt;0,COUNTIF('PM10'!A:A,A32)&gt;0,COUNTIF('PM2.5'!A:A,A32)&gt;0,COUNTIF(Kendaraan!A:A,A32)&gt;0)</f>
        <v>1</v>
      </c>
    </row>
    <row r="33" spans="1:9" x14ac:dyDescent="0.45">
      <c r="A33" s="4">
        <v>45406</v>
      </c>
      <c r="B33" t="s">
        <v>534</v>
      </c>
      <c r="C33" t="s">
        <v>4003</v>
      </c>
      <c r="D33" t="s">
        <v>4004</v>
      </c>
      <c r="E33" t="s">
        <v>3671</v>
      </c>
      <c r="F33" t="s">
        <v>4005</v>
      </c>
      <c r="G33" s="1">
        <v>3605</v>
      </c>
      <c r="H33">
        <v>24</v>
      </c>
      <c r="I33" t="b">
        <f>AND(COUNTIF(CO!A:A,A33)&gt;0,COUNTIF('NO2'!A:A,A33)&gt;0,COUNTIF('O3'!A:A,A33)&gt;0,COUNTIF('PM10'!A:A,A33)&gt;0,COUNTIF('PM2.5'!A:A,A33)&gt;0,COUNTIF(Kendaraan!A:A,A33)&gt;0)</f>
        <v>1</v>
      </c>
    </row>
    <row r="34" spans="1:9" x14ac:dyDescent="0.45">
      <c r="A34" s="4">
        <v>45407</v>
      </c>
      <c r="B34" t="s">
        <v>1742</v>
      </c>
      <c r="C34" t="s">
        <v>527</v>
      </c>
      <c r="D34" t="s">
        <v>3148</v>
      </c>
      <c r="E34" t="s">
        <v>885</v>
      </c>
      <c r="F34" t="s">
        <v>3542</v>
      </c>
      <c r="G34" t="s">
        <v>4006</v>
      </c>
      <c r="H34">
        <v>24</v>
      </c>
      <c r="I34" t="b">
        <f>AND(COUNTIF(CO!A:A,A34)&gt;0,COUNTIF('NO2'!A:A,A34)&gt;0,COUNTIF('O3'!A:A,A34)&gt;0,COUNTIF('PM10'!A:A,A34)&gt;0,COUNTIF('PM2.5'!A:A,A34)&gt;0,COUNTIF(Kendaraan!A:A,A34)&gt;0)</f>
        <v>1</v>
      </c>
    </row>
    <row r="35" spans="1:9" x14ac:dyDescent="0.45">
      <c r="A35" s="4">
        <v>45408</v>
      </c>
      <c r="B35" t="s">
        <v>1089</v>
      </c>
      <c r="C35" t="s">
        <v>1742</v>
      </c>
      <c r="D35" t="s">
        <v>935</v>
      </c>
      <c r="E35" t="s">
        <v>3113</v>
      </c>
      <c r="F35" t="s">
        <v>3141</v>
      </c>
      <c r="G35" t="s">
        <v>3377</v>
      </c>
      <c r="H35">
        <v>24</v>
      </c>
      <c r="I35" t="b">
        <f>AND(COUNTIF(CO!A:A,A35)&gt;0,COUNTIF('NO2'!A:A,A35)&gt;0,COUNTIF('O3'!A:A,A35)&gt;0,COUNTIF('PM10'!A:A,A35)&gt;0,COUNTIF('PM2.5'!A:A,A35)&gt;0,COUNTIF(Kendaraan!A:A,A35)&gt;0)</f>
        <v>1</v>
      </c>
    </row>
    <row r="36" spans="1:9" x14ac:dyDescent="0.45">
      <c r="A36" s="4">
        <v>45409</v>
      </c>
      <c r="B36" t="s">
        <v>1857</v>
      </c>
      <c r="C36" t="s">
        <v>1224</v>
      </c>
      <c r="D36" t="s">
        <v>2608</v>
      </c>
      <c r="E36" t="s">
        <v>2746</v>
      </c>
      <c r="F36" t="s">
        <v>2408</v>
      </c>
      <c r="G36" s="1">
        <v>1328</v>
      </c>
      <c r="H36">
        <v>24</v>
      </c>
      <c r="I36" t="b">
        <f>AND(COUNTIF(CO!A:A,A36)&gt;0,COUNTIF('NO2'!A:A,A36)&gt;0,COUNTIF('O3'!A:A,A36)&gt;0,COUNTIF('PM10'!A:A,A36)&gt;0,COUNTIF('PM2.5'!A:A,A36)&gt;0,COUNTIF(Kendaraan!A:A,A36)&gt;0)</f>
        <v>1</v>
      </c>
    </row>
    <row r="37" spans="1:9" x14ac:dyDescent="0.45">
      <c r="A37" s="4">
        <v>45410</v>
      </c>
      <c r="B37" t="s">
        <v>2589</v>
      </c>
      <c r="C37" t="s">
        <v>1395</v>
      </c>
      <c r="D37" t="s">
        <v>614</v>
      </c>
      <c r="E37" t="s">
        <v>1272</v>
      </c>
      <c r="F37" t="s">
        <v>3468</v>
      </c>
      <c r="G37" t="s">
        <v>3343</v>
      </c>
      <c r="H37">
        <v>24</v>
      </c>
      <c r="I37" t="b">
        <f>AND(COUNTIF(CO!A:A,A37)&gt;0,COUNTIF('NO2'!A:A,A37)&gt;0,COUNTIF('O3'!A:A,A37)&gt;0,COUNTIF('PM10'!A:A,A37)&gt;0,COUNTIF('PM2.5'!A:A,A37)&gt;0,COUNTIF(Kendaraan!A:A,A37)&gt;0)</f>
        <v>1</v>
      </c>
    </row>
    <row r="38" spans="1:9" x14ac:dyDescent="0.45">
      <c r="A38" s="4">
        <v>45411</v>
      </c>
      <c r="B38" t="s">
        <v>341</v>
      </c>
      <c r="C38" t="s">
        <v>1154</v>
      </c>
      <c r="D38" t="s">
        <v>1466</v>
      </c>
      <c r="E38" t="s">
        <v>2004</v>
      </c>
      <c r="F38" t="s">
        <v>1161</v>
      </c>
      <c r="G38" t="s">
        <v>4007</v>
      </c>
      <c r="H38">
        <v>24</v>
      </c>
      <c r="I38" t="b">
        <f>AND(COUNTIF(CO!A:A,A38)&gt;0,COUNTIF('NO2'!A:A,A38)&gt;0,COUNTIF('O3'!A:A,A38)&gt;0,COUNTIF('PM10'!A:A,A38)&gt;0,COUNTIF('PM2.5'!A:A,A38)&gt;0,COUNTIF(Kendaraan!A:A,A38)&gt;0)</f>
        <v>1</v>
      </c>
    </row>
    <row r="39" spans="1:9" x14ac:dyDescent="0.45">
      <c r="A39" s="4">
        <v>45412</v>
      </c>
      <c r="B39" t="s">
        <v>1254</v>
      </c>
      <c r="C39" t="s">
        <v>505</v>
      </c>
      <c r="D39" t="s">
        <v>1974</v>
      </c>
      <c r="E39" t="s">
        <v>1270</v>
      </c>
      <c r="F39" t="s">
        <v>1259</v>
      </c>
      <c r="G39" s="1">
        <v>1444</v>
      </c>
      <c r="H39">
        <v>24</v>
      </c>
      <c r="I39" t="b">
        <f>AND(COUNTIF(CO!A:A,A39)&gt;0,COUNTIF('NO2'!A:A,A39)&gt;0,COUNTIF('O3'!A:A,A39)&gt;0,COUNTIF('PM10'!A:A,A39)&gt;0,COUNTIF('PM2.5'!A:A,A39)&gt;0,COUNTIF(Kendaraan!A:A,A39)&gt;0)</f>
        <v>1</v>
      </c>
    </row>
    <row r="40" spans="1:9" x14ac:dyDescent="0.45">
      <c r="A40" s="4">
        <v>45413</v>
      </c>
      <c r="B40" t="s">
        <v>2964</v>
      </c>
      <c r="C40" t="s">
        <v>1906</v>
      </c>
      <c r="D40" t="s">
        <v>439</v>
      </c>
      <c r="E40" t="s">
        <v>3641</v>
      </c>
      <c r="F40" t="s">
        <v>4008</v>
      </c>
      <c r="G40" t="s">
        <v>1624</v>
      </c>
      <c r="H40">
        <v>24</v>
      </c>
      <c r="I40" t="b">
        <f>AND(COUNTIF(CO!A:A,A40)&gt;0,COUNTIF('NO2'!A:A,A40)&gt;0,COUNTIF('O3'!A:A,A40)&gt;0,COUNTIF('PM10'!A:A,A40)&gt;0,COUNTIF('PM2.5'!A:A,A40)&gt;0,COUNTIF(Kendaraan!A:A,A40)&gt;0)</f>
        <v>1</v>
      </c>
    </row>
    <row r="41" spans="1:9" x14ac:dyDescent="0.45">
      <c r="A41" s="4">
        <v>45414</v>
      </c>
      <c r="B41" t="s">
        <v>865</v>
      </c>
      <c r="C41" t="s">
        <v>3098</v>
      </c>
      <c r="D41" t="s">
        <v>3678</v>
      </c>
      <c r="E41" t="s">
        <v>2965</v>
      </c>
      <c r="F41" t="s">
        <v>1583</v>
      </c>
      <c r="G41" t="s">
        <v>1110</v>
      </c>
      <c r="H41">
        <v>24</v>
      </c>
      <c r="I41" t="b">
        <f>AND(COUNTIF(CO!A:A,A41)&gt;0,COUNTIF('NO2'!A:A,A41)&gt;0,COUNTIF('O3'!A:A,A41)&gt;0,COUNTIF('PM10'!A:A,A41)&gt;0,COUNTIF('PM2.5'!A:A,A41)&gt;0,COUNTIF(Kendaraan!A:A,A41)&gt;0)</f>
        <v>1</v>
      </c>
    </row>
    <row r="42" spans="1:9" x14ac:dyDescent="0.45">
      <c r="A42" s="4">
        <v>45415</v>
      </c>
      <c r="B42" t="s">
        <v>1469</v>
      </c>
      <c r="C42" t="s">
        <v>431</v>
      </c>
      <c r="D42" t="s">
        <v>1482</v>
      </c>
      <c r="E42" t="s">
        <v>2594</v>
      </c>
      <c r="F42" t="s">
        <v>3681</v>
      </c>
      <c r="G42" t="s">
        <v>853</v>
      </c>
      <c r="H42">
        <v>24</v>
      </c>
      <c r="I42" t="b">
        <f>AND(COUNTIF(CO!A:A,A42)&gt;0,COUNTIF('NO2'!A:A,A42)&gt;0,COUNTIF('O3'!A:A,A42)&gt;0,COUNTIF('PM10'!A:A,A42)&gt;0,COUNTIF('PM2.5'!A:A,A42)&gt;0,COUNTIF(Kendaraan!A:A,A42)&gt;0)</f>
        <v>1</v>
      </c>
    </row>
    <row r="43" spans="1:9" x14ac:dyDescent="0.45">
      <c r="A43" s="4">
        <v>45416</v>
      </c>
      <c r="B43" t="s">
        <v>863</v>
      </c>
      <c r="C43" t="s">
        <v>1572</v>
      </c>
      <c r="D43" t="s">
        <v>3394</v>
      </c>
      <c r="E43" t="s">
        <v>915</v>
      </c>
      <c r="F43" t="s">
        <v>1575</v>
      </c>
      <c r="G43" t="s">
        <v>894</v>
      </c>
      <c r="H43">
        <v>16</v>
      </c>
      <c r="I43" t="b">
        <f>AND(COUNTIF(CO!A:A,A43)&gt;0,COUNTIF('NO2'!A:A,A43)&gt;0,COUNTIF('O3'!A:A,A43)&gt;0,COUNTIF('PM10'!A:A,A43)&gt;0,COUNTIF('PM2.5'!A:A,A43)&gt;0,COUNTIF(Kendaraan!A:A,A43)&gt;0)</f>
        <v>1</v>
      </c>
    </row>
    <row r="44" spans="1:9" x14ac:dyDescent="0.45">
      <c r="A44" s="4">
        <v>45417</v>
      </c>
      <c r="B44" t="s">
        <v>669</v>
      </c>
      <c r="C44" t="s">
        <v>1259</v>
      </c>
      <c r="D44" t="s">
        <v>679</v>
      </c>
      <c r="E44" t="s">
        <v>411</v>
      </c>
      <c r="F44" t="s">
        <v>3182</v>
      </c>
      <c r="G44" t="s">
        <v>4009</v>
      </c>
      <c r="H44">
        <v>20</v>
      </c>
      <c r="I44" t="b">
        <f>AND(COUNTIF(CO!A:A,A44)&gt;0,COUNTIF('NO2'!A:A,A44)&gt;0,COUNTIF('O3'!A:A,A44)&gt;0,COUNTIF('PM10'!A:A,A44)&gt;0,COUNTIF('PM2.5'!A:A,A44)&gt;0,COUNTIF(Kendaraan!A:A,A44)&gt;0)</f>
        <v>1</v>
      </c>
    </row>
    <row r="45" spans="1:9" x14ac:dyDescent="0.45">
      <c r="A45" s="4">
        <v>45418</v>
      </c>
      <c r="B45" t="s">
        <v>1918</v>
      </c>
      <c r="C45" t="s">
        <v>475</v>
      </c>
      <c r="D45" t="s">
        <v>667</v>
      </c>
      <c r="E45" t="s">
        <v>3358</v>
      </c>
      <c r="F45" t="s">
        <v>2581</v>
      </c>
      <c r="G45" t="s">
        <v>3819</v>
      </c>
      <c r="H45">
        <v>24</v>
      </c>
      <c r="I45" t="b">
        <f>AND(COUNTIF(CO!A:A,A45)&gt;0,COUNTIF('NO2'!A:A,A45)&gt;0,COUNTIF('O3'!A:A,A45)&gt;0,COUNTIF('PM10'!A:A,A45)&gt;0,COUNTIF('PM2.5'!A:A,A45)&gt;0,COUNTIF(Kendaraan!A:A,A45)&gt;0)</f>
        <v>1</v>
      </c>
    </row>
    <row r="46" spans="1:9" x14ac:dyDescent="0.45">
      <c r="A46" s="4">
        <v>45419</v>
      </c>
      <c r="B46" t="s">
        <v>3588</v>
      </c>
      <c r="C46" t="s">
        <v>823</v>
      </c>
      <c r="D46" t="s">
        <v>3179</v>
      </c>
      <c r="E46" t="s">
        <v>1390</v>
      </c>
      <c r="F46" t="s">
        <v>653</v>
      </c>
      <c r="G46" t="s">
        <v>4010</v>
      </c>
      <c r="H46">
        <v>24</v>
      </c>
      <c r="I46" t="b">
        <f>AND(COUNTIF(CO!A:A,A46)&gt;0,COUNTIF('NO2'!A:A,A46)&gt;0,COUNTIF('O3'!A:A,A46)&gt;0,COUNTIF('PM10'!A:A,A46)&gt;0,COUNTIF('PM2.5'!A:A,A46)&gt;0,COUNTIF(Kendaraan!A:A,A46)&gt;0)</f>
        <v>1</v>
      </c>
    </row>
    <row r="47" spans="1:9" x14ac:dyDescent="0.45">
      <c r="A47" s="4">
        <v>45420</v>
      </c>
      <c r="B47" t="s">
        <v>1413</v>
      </c>
      <c r="C47" t="s">
        <v>3262</v>
      </c>
      <c r="D47" t="s">
        <v>1991</v>
      </c>
      <c r="E47" t="s">
        <v>409</v>
      </c>
      <c r="F47" t="s">
        <v>584</v>
      </c>
      <c r="G47" s="1">
        <v>1982</v>
      </c>
      <c r="H47">
        <v>24</v>
      </c>
      <c r="I47" t="b">
        <f>AND(COUNTIF(CO!A:A,A47)&gt;0,COUNTIF('NO2'!A:A,A47)&gt;0,COUNTIF('O3'!A:A,A47)&gt;0,COUNTIF('PM10'!A:A,A47)&gt;0,COUNTIF('PM2.5'!A:A,A47)&gt;0,COUNTIF(Kendaraan!A:A,A47)&gt;0)</f>
        <v>1</v>
      </c>
    </row>
    <row r="48" spans="1:9" x14ac:dyDescent="0.45">
      <c r="A48" s="4">
        <v>45421</v>
      </c>
      <c r="B48" t="s">
        <v>2031</v>
      </c>
      <c r="C48">
        <v>33</v>
      </c>
      <c r="D48" t="s">
        <v>3186</v>
      </c>
      <c r="E48" t="s">
        <v>2552</v>
      </c>
      <c r="F48" t="s">
        <v>3187</v>
      </c>
      <c r="G48" s="1">
        <v>1338</v>
      </c>
      <c r="H48">
        <v>24</v>
      </c>
      <c r="I48" t="b">
        <f>AND(COUNTIF(CO!A:A,A48)&gt;0,COUNTIF('NO2'!A:A,A48)&gt;0,COUNTIF('O3'!A:A,A48)&gt;0,COUNTIF('PM10'!A:A,A48)&gt;0,COUNTIF('PM2.5'!A:A,A48)&gt;0,COUNTIF(Kendaraan!A:A,A48)&gt;0)</f>
        <v>1</v>
      </c>
    </row>
    <row r="49" spans="1:9" x14ac:dyDescent="0.45">
      <c r="A49" s="4">
        <v>45422</v>
      </c>
      <c r="B49" t="s">
        <v>415</v>
      </c>
      <c r="C49" t="s">
        <v>3156</v>
      </c>
      <c r="D49" t="s">
        <v>522</v>
      </c>
      <c r="E49" t="s">
        <v>599</v>
      </c>
      <c r="F49" t="s">
        <v>3489</v>
      </c>
      <c r="G49" t="s">
        <v>2710</v>
      </c>
      <c r="H49">
        <v>24</v>
      </c>
      <c r="I49" t="b">
        <f>AND(COUNTIF(CO!A:A,A49)&gt;0,COUNTIF('NO2'!A:A,A49)&gt;0,COUNTIF('O3'!A:A,A49)&gt;0,COUNTIF('PM10'!A:A,A49)&gt;0,COUNTIF('PM2.5'!A:A,A49)&gt;0,COUNTIF(Kendaraan!A:A,A49)&gt;0)</f>
        <v>1</v>
      </c>
    </row>
    <row r="50" spans="1:9" x14ac:dyDescent="0.45">
      <c r="A50" s="4">
        <v>45423</v>
      </c>
      <c r="B50" t="s">
        <v>405</v>
      </c>
      <c r="C50" t="s">
        <v>631</v>
      </c>
      <c r="D50" t="s">
        <v>3179</v>
      </c>
      <c r="E50" t="s">
        <v>458</v>
      </c>
      <c r="F50" t="s">
        <v>607</v>
      </c>
      <c r="G50" t="s">
        <v>4011</v>
      </c>
      <c r="H50">
        <v>24</v>
      </c>
      <c r="I50" t="b">
        <f>AND(COUNTIF(CO!A:A,A50)&gt;0,COUNTIF('NO2'!A:A,A50)&gt;0,COUNTIF('O3'!A:A,A50)&gt;0,COUNTIF('PM10'!A:A,A50)&gt;0,COUNTIF('PM2.5'!A:A,A50)&gt;0,COUNTIF(Kendaraan!A:A,A50)&gt;0)</f>
        <v>1</v>
      </c>
    </row>
    <row r="51" spans="1:9" x14ac:dyDescent="0.45">
      <c r="A51" s="4">
        <v>45424</v>
      </c>
      <c r="B51" t="s">
        <v>1400</v>
      </c>
      <c r="C51" t="s">
        <v>515</v>
      </c>
      <c r="D51" t="s">
        <v>433</v>
      </c>
      <c r="E51" t="s">
        <v>410</v>
      </c>
      <c r="F51" t="s">
        <v>624</v>
      </c>
      <c r="G51" t="s">
        <v>2450</v>
      </c>
      <c r="H51">
        <v>24</v>
      </c>
      <c r="I51" t="b">
        <f>AND(COUNTIF(CO!A:A,A51)&gt;0,COUNTIF('NO2'!A:A,A51)&gt;0,COUNTIF('O3'!A:A,A51)&gt;0,COUNTIF('PM10'!A:A,A51)&gt;0,COUNTIF('PM2.5'!A:A,A51)&gt;0,COUNTIF(Kendaraan!A:A,A51)&gt;0)</f>
        <v>1</v>
      </c>
    </row>
    <row r="52" spans="1:9" x14ac:dyDescent="0.45">
      <c r="A52" s="4">
        <v>45425</v>
      </c>
      <c r="B52" t="s">
        <v>3181</v>
      </c>
      <c r="C52">
        <v>27</v>
      </c>
      <c r="D52" t="s">
        <v>483</v>
      </c>
      <c r="E52" t="s">
        <v>3962</v>
      </c>
      <c r="F52" t="s">
        <v>3541</v>
      </c>
      <c r="G52" t="s">
        <v>3203</v>
      </c>
      <c r="H52">
        <v>24</v>
      </c>
      <c r="I52" t="b">
        <f>AND(COUNTIF(CO!A:A,A52)&gt;0,COUNTIF('NO2'!A:A,A52)&gt;0,COUNTIF('O3'!A:A,A52)&gt;0,COUNTIF('PM10'!A:A,A52)&gt;0,COUNTIF('PM2.5'!A:A,A52)&gt;0,COUNTIF(Kendaraan!A:A,A52)&gt;0)</f>
        <v>1</v>
      </c>
    </row>
    <row r="53" spans="1:9" x14ac:dyDescent="0.45">
      <c r="A53" s="4">
        <v>45426</v>
      </c>
      <c r="B53" t="s">
        <v>408</v>
      </c>
      <c r="C53" t="s">
        <v>1558</v>
      </c>
      <c r="D53" t="s">
        <v>563</v>
      </c>
      <c r="E53" t="s">
        <v>517</v>
      </c>
      <c r="F53" t="s">
        <v>565</v>
      </c>
      <c r="G53" t="s">
        <v>3865</v>
      </c>
      <c r="H53">
        <v>24</v>
      </c>
      <c r="I53" t="b">
        <f>AND(COUNTIF(CO!A:A,A53)&gt;0,COUNTIF('NO2'!A:A,A53)&gt;0,COUNTIF('O3'!A:A,A53)&gt;0,COUNTIF('PM10'!A:A,A53)&gt;0,COUNTIF('PM2.5'!A:A,A53)&gt;0,COUNTIF(Kendaraan!A:A,A53)&gt;0)</f>
        <v>1</v>
      </c>
    </row>
    <row r="54" spans="1:9" x14ac:dyDescent="0.45">
      <c r="A54" s="4">
        <v>45427</v>
      </c>
      <c r="B54" t="s">
        <v>529</v>
      </c>
      <c r="C54" t="s">
        <v>1530</v>
      </c>
      <c r="D54" t="s">
        <v>2970</v>
      </c>
      <c r="E54" t="s">
        <v>2557</v>
      </c>
      <c r="F54" t="s">
        <v>1517</v>
      </c>
      <c r="G54" t="s">
        <v>1169</v>
      </c>
      <c r="H54">
        <v>24</v>
      </c>
      <c r="I54" t="b">
        <f>AND(COUNTIF(CO!A:A,A54)&gt;0,COUNTIF('NO2'!A:A,A54)&gt;0,COUNTIF('O3'!A:A,A54)&gt;0,COUNTIF('PM10'!A:A,A54)&gt;0,COUNTIF('PM2.5'!A:A,A54)&gt;0,COUNTIF(Kendaraan!A:A,A54)&gt;0)</f>
        <v>1</v>
      </c>
    </row>
    <row r="55" spans="1:9" x14ac:dyDescent="0.45">
      <c r="A55" s="4">
        <v>45428</v>
      </c>
      <c r="B55" t="s">
        <v>1198</v>
      </c>
      <c r="C55" t="s">
        <v>545</v>
      </c>
      <c r="D55" t="s">
        <v>2972</v>
      </c>
      <c r="E55" t="s">
        <v>444</v>
      </c>
      <c r="F55" t="s">
        <v>663</v>
      </c>
      <c r="G55" s="1">
        <v>2356</v>
      </c>
      <c r="H55">
        <v>24</v>
      </c>
      <c r="I55" t="b">
        <f>AND(COUNTIF(CO!A:A,A55)&gt;0,COUNTIF('NO2'!A:A,A55)&gt;0,COUNTIF('O3'!A:A,A55)&gt;0,COUNTIF('PM10'!A:A,A55)&gt;0,COUNTIF('PM2.5'!A:A,A55)&gt;0,COUNTIF(Kendaraan!A:A,A55)&gt;0)</f>
        <v>1</v>
      </c>
    </row>
    <row r="56" spans="1:9" x14ac:dyDescent="0.45">
      <c r="A56" s="4">
        <v>45429</v>
      </c>
      <c r="B56" t="s">
        <v>1254</v>
      </c>
      <c r="C56" t="s">
        <v>438</v>
      </c>
      <c r="D56" t="s">
        <v>2965</v>
      </c>
      <c r="E56" t="s">
        <v>2594</v>
      </c>
      <c r="F56" t="s">
        <v>2050</v>
      </c>
      <c r="G56" t="s">
        <v>2722</v>
      </c>
      <c r="H56">
        <v>24</v>
      </c>
      <c r="I56" t="b">
        <f>AND(COUNTIF(CO!A:A,A56)&gt;0,COUNTIF('NO2'!A:A,A56)&gt;0,COUNTIF('O3'!A:A,A56)&gt;0,COUNTIF('PM10'!A:A,A56)&gt;0,COUNTIF('PM2.5'!A:A,A56)&gt;0,COUNTIF(Kendaraan!A:A,A56)&gt;0)</f>
        <v>1</v>
      </c>
    </row>
    <row r="57" spans="1:9" x14ac:dyDescent="0.45">
      <c r="A57" s="4">
        <v>45430</v>
      </c>
      <c r="B57" t="s">
        <v>913</v>
      </c>
      <c r="C57" t="s">
        <v>1247</v>
      </c>
      <c r="D57" t="s">
        <v>1925</v>
      </c>
      <c r="E57" t="s">
        <v>2964</v>
      </c>
      <c r="F57" t="s">
        <v>1393</v>
      </c>
      <c r="G57" t="s">
        <v>1119</v>
      </c>
      <c r="H57">
        <v>24</v>
      </c>
      <c r="I57" t="b">
        <f>AND(COUNTIF(CO!A:A,A57)&gt;0,COUNTIF('NO2'!A:A,A57)&gt;0,COUNTIF('O3'!A:A,A57)&gt;0,COUNTIF('PM10'!A:A,A57)&gt;0,COUNTIF('PM2.5'!A:A,A57)&gt;0,COUNTIF(Kendaraan!A:A,A57)&gt;0)</f>
        <v>1</v>
      </c>
    </row>
    <row r="58" spans="1:9" x14ac:dyDescent="0.45">
      <c r="A58" s="4">
        <v>45431</v>
      </c>
      <c r="B58" t="s">
        <v>2004</v>
      </c>
      <c r="C58" t="s">
        <v>1239</v>
      </c>
      <c r="D58" t="s">
        <v>3467</v>
      </c>
      <c r="E58" t="s">
        <v>1197</v>
      </c>
      <c r="F58" t="s">
        <v>2589</v>
      </c>
      <c r="G58" t="s">
        <v>919</v>
      </c>
      <c r="H58">
        <v>24</v>
      </c>
      <c r="I58" t="b">
        <f>AND(COUNTIF(CO!A:A,A58)&gt;0,COUNTIF('NO2'!A:A,A58)&gt;0,COUNTIF('O3'!A:A,A58)&gt;0,COUNTIF('PM10'!A:A,A58)&gt;0,COUNTIF('PM2.5'!A:A,A58)&gt;0,COUNTIF(Kendaraan!A:A,A58)&gt;0)</f>
        <v>1</v>
      </c>
    </row>
    <row r="59" spans="1:9" x14ac:dyDescent="0.45">
      <c r="A59" s="4">
        <v>45432</v>
      </c>
      <c r="B59" t="s">
        <v>1156</v>
      </c>
      <c r="C59" t="s">
        <v>892</v>
      </c>
      <c r="D59" t="s">
        <v>1216</v>
      </c>
      <c r="E59" t="s">
        <v>3625</v>
      </c>
      <c r="F59" t="s">
        <v>1219</v>
      </c>
      <c r="G59" t="s">
        <v>4012</v>
      </c>
      <c r="H59">
        <v>24</v>
      </c>
      <c r="I59" t="b">
        <f>AND(COUNTIF(CO!A:A,A59)&gt;0,COUNTIF('NO2'!A:A,A59)&gt;0,COUNTIF('O3'!A:A,A59)&gt;0,COUNTIF('PM10'!A:A,A59)&gt;0,COUNTIF('PM2.5'!A:A,A59)&gt;0,COUNTIF(Kendaraan!A:A,A59)&gt;0)</f>
        <v>1</v>
      </c>
    </row>
    <row r="60" spans="1:9" x14ac:dyDescent="0.45">
      <c r="A60" s="4">
        <v>45433</v>
      </c>
      <c r="B60" t="s">
        <v>885</v>
      </c>
      <c r="C60" t="s">
        <v>1395</v>
      </c>
      <c r="D60" t="s">
        <v>4013</v>
      </c>
      <c r="E60" t="s">
        <v>3649</v>
      </c>
      <c r="F60" t="s">
        <v>673</v>
      </c>
      <c r="G60" t="s">
        <v>4014</v>
      </c>
      <c r="H60">
        <v>24</v>
      </c>
      <c r="I60" t="b">
        <f>AND(COUNTIF(CO!A:A,A60)&gt;0,COUNTIF('NO2'!A:A,A60)&gt;0,COUNTIF('O3'!A:A,A60)&gt;0,COUNTIF('PM10'!A:A,A60)&gt;0,COUNTIF('PM2.5'!A:A,A60)&gt;0,COUNTIF(Kendaraan!A:A,A60)&gt;0)</f>
        <v>1</v>
      </c>
    </row>
    <row r="61" spans="1:9" x14ac:dyDescent="0.45">
      <c r="A61" s="4">
        <v>45434</v>
      </c>
      <c r="B61" t="s">
        <v>669</v>
      </c>
      <c r="C61" t="s">
        <v>509</v>
      </c>
      <c r="D61" t="s">
        <v>914</v>
      </c>
      <c r="E61" t="s">
        <v>412</v>
      </c>
      <c r="F61" t="s">
        <v>823</v>
      </c>
      <c r="G61" t="s">
        <v>4015</v>
      </c>
      <c r="H61">
        <v>18</v>
      </c>
      <c r="I61" t="b">
        <f>AND(COUNTIF(CO!A:A,A61)&gt;0,COUNTIF('NO2'!A:A,A61)&gt;0,COUNTIF('O3'!A:A,A61)&gt;0,COUNTIF('PM10'!A:A,A61)&gt;0,COUNTIF('PM2.5'!A:A,A61)&gt;0,COUNTIF(Kendaraan!A:A,A61)&gt;0)</f>
        <v>1</v>
      </c>
    </row>
    <row r="62" spans="1:9" x14ac:dyDescent="0.45">
      <c r="A62" s="4">
        <v>45435</v>
      </c>
      <c r="B62" t="s">
        <v>1924</v>
      </c>
      <c r="C62" t="s">
        <v>829</v>
      </c>
      <c r="D62" t="s">
        <v>645</v>
      </c>
      <c r="E62" t="s">
        <v>414</v>
      </c>
      <c r="F62" t="s">
        <v>515</v>
      </c>
      <c r="G62" t="s">
        <v>208</v>
      </c>
      <c r="H62">
        <v>18</v>
      </c>
      <c r="I62" t="b">
        <f>AND(COUNTIF(CO!A:A,A62)&gt;0,COUNTIF('NO2'!A:A,A62)&gt;0,COUNTIF('O3'!A:A,A62)&gt;0,COUNTIF('PM10'!A:A,A62)&gt;0,COUNTIF('PM2.5'!A:A,A62)&gt;0,COUNTIF(Kendaraan!A:A,A62)&gt;0)</f>
        <v>1</v>
      </c>
    </row>
    <row r="63" spans="1:9" x14ac:dyDescent="0.45">
      <c r="A63" s="4">
        <v>45446</v>
      </c>
      <c r="B63" t="s">
        <v>3327</v>
      </c>
      <c r="C63" t="s">
        <v>4016</v>
      </c>
      <c r="D63" t="s">
        <v>4017</v>
      </c>
      <c r="E63">
        <v>43</v>
      </c>
      <c r="F63" t="s">
        <v>4018</v>
      </c>
      <c r="G63" s="1">
        <v>10836</v>
      </c>
      <c r="H63">
        <v>24</v>
      </c>
      <c r="I63" t="b">
        <f>AND(COUNTIF(CO!A:A,A63)&gt;0,COUNTIF('NO2'!A:A,A63)&gt;0,COUNTIF('O3'!A:A,A63)&gt;0,COUNTIF('PM10'!A:A,A63)&gt;0,COUNTIF('PM2.5'!A:A,A63)&gt;0,COUNTIF(Kendaraan!A:A,A63)&gt;0)</f>
        <v>1</v>
      </c>
    </row>
    <row r="64" spans="1:9" x14ac:dyDescent="0.45">
      <c r="A64" s="4">
        <v>45447</v>
      </c>
      <c r="B64" t="s">
        <v>4019</v>
      </c>
      <c r="C64" t="s">
        <v>2640</v>
      </c>
      <c r="D64" t="s">
        <v>4020</v>
      </c>
      <c r="E64" t="s">
        <v>4021</v>
      </c>
      <c r="F64" t="s">
        <v>4022</v>
      </c>
      <c r="G64" s="1">
        <v>11811</v>
      </c>
      <c r="H64">
        <v>24</v>
      </c>
      <c r="I64" t="b">
        <f>AND(COUNTIF(CO!A:A,A64)&gt;0,COUNTIF('NO2'!A:A,A64)&gt;0,COUNTIF('O3'!A:A,A64)&gt;0,COUNTIF('PM10'!A:A,A64)&gt;0,COUNTIF('PM2.5'!A:A,A64)&gt;0,COUNTIF(Kendaraan!A:A,A64)&gt;0)</f>
        <v>1</v>
      </c>
    </row>
    <row r="65" spans="1:9" x14ac:dyDescent="0.45">
      <c r="A65" s="4">
        <v>45448</v>
      </c>
      <c r="B65" t="s">
        <v>4023</v>
      </c>
      <c r="C65" t="s">
        <v>4024</v>
      </c>
      <c r="D65" t="s">
        <v>4025</v>
      </c>
      <c r="E65" t="s">
        <v>4026</v>
      </c>
      <c r="F65" t="s">
        <v>4027</v>
      </c>
      <c r="G65" s="1">
        <v>15951</v>
      </c>
      <c r="H65">
        <v>23</v>
      </c>
      <c r="I65" t="b">
        <f>AND(COUNTIF(CO!A:A,A65)&gt;0,COUNTIF('NO2'!A:A,A65)&gt;0,COUNTIF('O3'!A:A,A65)&gt;0,COUNTIF('PM10'!A:A,A65)&gt;0,COUNTIF('PM2.5'!A:A,A65)&gt;0,COUNTIF(Kendaraan!A:A,A65)&gt;0)</f>
        <v>1</v>
      </c>
    </row>
    <row r="66" spans="1:9" x14ac:dyDescent="0.45">
      <c r="A66" s="4">
        <v>45449</v>
      </c>
      <c r="B66" t="s">
        <v>4028</v>
      </c>
      <c r="C66" t="s">
        <v>4029</v>
      </c>
      <c r="D66" t="s">
        <v>4030</v>
      </c>
      <c r="E66" t="s">
        <v>3430</v>
      </c>
      <c r="F66" t="s">
        <v>4031</v>
      </c>
      <c r="G66" s="1">
        <v>3307</v>
      </c>
      <c r="H66">
        <v>24</v>
      </c>
      <c r="I66" t="b">
        <f>AND(COUNTIF(CO!A:A,A66)&gt;0,COUNTIF('NO2'!A:A,A66)&gt;0,COUNTIF('O3'!A:A,A66)&gt;0,COUNTIF('PM10'!A:A,A66)&gt;0,COUNTIF('PM2.5'!A:A,A66)&gt;0,COUNTIF(Kendaraan!A:A,A66)&gt;0)</f>
        <v>1</v>
      </c>
    </row>
    <row r="67" spans="1:9" x14ac:dyDescent="0.45">
      <c r="A67" s="4">
        <v>45450</v>
      </c>
      <c r="B67" t="s">
        <v>4032</v>
      </c>
      <c r="C67" t="s">
        <v>4033</v>
      </c>
      <c r="D67" t="s">
        <v>3965</v>
      </c>
      <c r="E67" t="s">
        <v>4034</v>
      </c>
      <c r="F67" t="s">
        <v>4035</v>
      </c>
      <c r="G67" t="s">
        <v>203</v>
      </c>
      <c r="H67">
        <v>24</v>
      </c>
      <c r="I67" t="b">
        <f>AND(COUNTIF(CO!A:A,A67)&gt;0,COUNTIF('NO2'!A:A,A67)&gt;0,COUNTIF('O3'!A:A,A67)&gt;0,COUNTIF('PM10'!A:A,A67)&gt;0,COUNTIF('PM2.5'!A:A,A67)&gt;0,COUNTIF(Kendaraan!A:A,A67)&gt;0)</f>
        <v>1</v>
      </c>
    </row>
    <row r="68" spans="1:9" x14ac:dyDescent="0.45">
      <c r="A68" s="4">
        <v>45451</v>
      </c>
      <c r="B68" t="s">
        <v>4036</v>
      </c>
      <c r="C68" t="s">
        <v>4037</v>
      </c>
      <c r="D68" t="s">
        <v>4038</v>
      </c>
      <c r="E68" t="s">
        <v>4039</v>
      </c>
      <c r="F68" t="s">
        <v>4040</v>
      </c>
      <c r="G68" t="s">
        <v>3462</v>
      </c>
      <c r="H68">
        <v>24</v>
      </c>
      <c r="I68" t="b">
        <f>AND(COUNTIF(CO!A:A,A68)&gt;0,COUNTIF('NO2'!A:A,A68)&gt;0,COUNTIF('O3'!A:A,A68)&gt;0,COUNTIF('PM10'!A:A,A68)&gt;0,COUNTIF('PM2.5'!A:A,A68)&gt;0,COUNTIF(Kendaraan!A:A,A68)&gt;0)</f>
        <v>1</v>
      </c>
    </row>
    <row r="69" spans="1:9" x14ac:dyDescent="0.45">
      <c r="A69" s="4">
        <v>45452</v>
      </c>
      <c r="B69" t="s">
        <v>4041</v>
      </c>
      <c r="C69" t="s">
        <v>4042</v>
      </c>
      <c r="D69" t="s">
        <v>3981</v>
      </c>
      <c r="E69" t="s">
        <v>4040</v>
      </c>
      <c r="F69" t="s">
        <v>4043</v>
      </c>
      <c r="G69" t="s">
        <v>4044</v>
      </c>
      <c r="H69">
        <v>24</v>
      </c>
      <c r="I69" t="b">
        <f>AND(COUNTIF(CO!A:A,A69)&gt;0,COUNTIF('NO2'!A:A,A69)&gt;0,COUNTIF('O3'!A:A,A69)&gt;0,COUNTIF('PM10'!A:A,A69)&gt;0,COUNTIF('PM2.5'!A:A,A69)&gt;0,COUNTIF(Kendaraan!A:A,A69)&gt;0)</f>
        <v>1</v>
      </c>
    </row>
    <row r="70" spans="1:9" x14ac:dyDescent="0.45">
      <c r="A70" s="4">
        <v>45453</v>
      </c>
      <c r="B70" t="s">
        <v>4045</v>
      </c>
      <c r="C70" t="s">
        <v>3841</v>
      </c>
      <c r="D70" t="s">
        <v>4046</v>
      </c>
      <c r="E70" t="s">
        <v>4047</v>
      </c>
      <c r="F70" t="s">
        <v>4048</v>
      </c>
      <c r="G70" t="s">
        <v>4010</v>
      </c>
      <c r="H70">
        <v>24</v>
      </c>
      <c r="I70" t="b">
        <f>AND(COUNTIF(CO!A:A,A70)&gt;0,COUNTIF('NO2'!A:A,A70)&gt;0,COUNTIF('O3'!A:A,A70)&gt;0,COUNTIF('PM10'!A:A,A70)&gt;0,COUNTIF('PM2.5'!A:A,A70)&gt;0,COUNTIF(Kendaraan!A:A,A70)&gt;0)</f>
        <v>1</v>
      </c>
    </row>
    <row r="71" spans="1:9" x14ac:dyDescent="0.45">
      <c r="A71" s="4">
        <v>45454</v>
      </c>
      <c r="B71" t="s">
        <v>2417</v>
      </c>
      <c r="C71" t="s">
        <v>4049</v>
      </c>
      <c r="D71" t="s">
        <v>4050</v>
      </c>
      <c r="E71" t="s">
        <v>4051</v>
      </c>
      <c r="F71" t="s">
        <v>2112</v>
      </c>
      <c r="G71" t="s">
        <v>2342</v>
      </c>
      <c r="H71">
        <v>24</v>
      </c>
      <c r="I71" t="b">
        <f>AND(COUNTIF(CO!A:A,A71)&gt;0,COUNTIF('NO2'!A:A,A71)&gt;0,COUNTIF('O3'!A:A,A71)&gt;0,COUNTIF('PM10'!A:A,A71)&gt;0,COUNTIF('PM2.5'!A:A,A71)&gt;0,COUNTIF(Kendaraan!A:A,A71)&gt;0)</f>
        <v>1</v>
      </c>
    </row>
    <row r="72" spans="1:9" x14ac:dyDescent="0.45">
      <c r="A72" s="4">
        <v>45455</v>
      </c>
      <c r="B72" t="s">
        <v>2096</v>
      </c>
      <c r="C72" t="s">
        <v>4052</v>
      </c>
      <c r="D72" t="s">
        <v>4053</v>
      </c>
      <c r="E72" t="s">
        <v>4054</v>
      </c>
      <c r="F72" t="s">
        <v>4055</v>
      </c>
      <c r="G72" t="s">
        <v>4056</v>
      </c>
      <c r="H72">
        <v>24</v>
      </c>
      <c r="I72" t="b">
        <f>AND(COUNTIF(CO!A:A,A72)&gt;0,COUNTIF('NO2'!A:A,A72)&gt;0,COUNTIF('O3'!A:A,A72)&gt;0,COUNTIF('PM10'!A:A,A72)&gt;0,COUNTIF('PM2.5'!A:A,A72)&gt;0,COUNTIF(Kendaraan!A:A,A72)&gt;0)</f>
        <v>1</v>
      </c>
    </row>
    <row r="73" spans="1:9" x14ac:dyDescent="0.45">
      <c r="A73" s="4">
        <v>45456</v>
      </c>
      <c r="B73">
        <v>67</v>
      </c>
      <c r="C73" t="s">
        <v>4057</v>
      </c>
      <c r="D73" t="s">
        <v>2097</v>
      </c>
      <c r="E73" t="s">
        <v>4058</v>
      </c>
      <c r="F73" t="s">
        <v>4059</v>
      </c>
      <c r="G73" s="1">
        <v>1986</v>
      </c>
      <c r="H73">
        <v>24</v>
      </c>
      <c r="I73" t="b">
        <f>AND(COUNTIF(CO!A:A,A73)&gt;0,COUNTIF('NO2'!A:A,A73)&gt;0,COUNTIF('O3'!A:A,A73)&gt;0,COUNTIF('PM10'!A:A,A73)&gt;0,COUNTIF('PM2.5'!A:A,A73)&gt;0,COUNTIF(Kendaraan!A:A,A73)&gt;0)</f>
        <v>1</v>
      </c>
    </row>
    <row r="74" spans="1:9" x14ac:dyDescent="0.45">
      <c r="A74" s="4">
        <v>45457</v>
      </c>
      <c r="B74" t="s">
        <v>4060</v>
      </c>
      <c r="C74" t="s">
        <v>4061</v>
      </c>
      <c r="D74" t="s">
        <v>4062</v>
      </c>
      <c r="E74" t="s">
        <v>3244</v>
      </c>
      <c r="F74" t="s">
        <v>4063</v>
      </c>
      <c r="G74" s="1">
        <v>3499</v>
      </c>
      <c r="H74">
        <v>19</v>
      </c>
      <c r="I74" t="b">
        <f>AND(COUNTIF(CO!A:A,A74)&gt;0,COUNTIF('NO2'!A:A,A74)&gt;0,COUNTIF('O3'!A:A,A74)&gt;0,COUNTIF('PM10'!A:A,A74)&gt;0,COUNTIF('PM2.5'!A:A,A74)&gt;0,COUNTIF(Kendaraan!A:A,A74)&gt;0)</f>
        <v>1</v>
      </c>
    </row>
    <row r="75" spans="1:9" x14ac:dyDescent="0.45">
      <c r="A75" s="4">
        <v>45458</v>
      </c>
      <c r="B75" t="s">
        <v>4064</v>
      </c>
      <c r="C75" t="s">
        <v>3849</v>
      </c>
      <c r="D75" t="s">
        <v>4065</v>
      </c>
      <c r="E75" t="s">
        <v>4066</v>
      </c>
      <c r="F75" t="s">
        <v>2113</v>
      </c>
      <c r="G75" s="1">
        <v>1047</v>
      </c>
      <c r="H75">
        <v>23</v>
      </c>
      <c r="I75" t="b">
        <f>AND(COUNTIF(CO!A:A,A75)&gt;0,COUNTIF('NO2'!A:A,A75)&gt;0,COUNTIF('O3'!A:A,A75)&gt;0,COUNTIF('PM10'!A:A,A75)&gt;0,COUNTIF('PM2.5'!A:A,A75)&gt;0,COUNTIF(Kendaraan!A:A,A75)&gt;0)</f>
        <v>1</v>
      </c>
    </row>
    <row r="76" spans="1:9" x14ac:dyDescent="0.45">
      <c r="A76" s="4">
        <v>45459</v>
      </c>
      <c r="B76" t="s">
        <v>1600</v>
      </c>
      <c r="C76" t="s">
        <v>4067</v>
      </c>
      <c r="D76" t="s">
        <v>4068</v>
      </c>
      <c r="E76" t="s">
        <v>4069</v>
      </c>
      <c r="F76" t="s">
        <v>4070</v>
      </c>
      <c r="G76" t="s">
        <v>2032</v>
      </c>
      <c r="H76">
        <v>25</v>
      </c>
      <c r="I76" t="b">
        <f>AND(COUNTIF(CO!A:A,A76)&gt;0,COUNTIF('NO2'!A:A,A76)&gt;0,COUNTIF('O3'!A:A,A76)&gt;0,COUNTIF('PM10'!A:A,A76)&gt;0,COUNTIF('PM2.5'!A:A,A76)&gt;0,COUNTIF(Kendaraan!A:A,A76)&gt;0)</f>
        <v>1</v>
      </c>
    </row>
    <row r="77" spans="1:9" x14ac:dyDescent="0.45">
      <c r="A77" s="4">
        <v>45460</v>
      </c>
      <c r="B77" t="s">
        <v>4071</v>
      </c>
      <c r="C77" t="s">
        <v>3849</v>
      </c>
      <c r="D77" t="s">
        <v>4051</v>
      </c>
      <c r="E77" t="s">
        <v>4072</v>
      </c>
      <c r="F77" t="s">
        <v>4073</v>
      </c>
      <c r="G77" t="s">
        <v>3748</v>
      </c>
      <c r="H77">
        <v>24</v>
      </c>
      <c r="I77" t="b">
        <f>AND(COUNTIF(CO!A:A,A77)&gt;0,COUNTIF('NO2'!A:A,A77)&gt;0,COUNTIF('O3'!A:A,A77)&gt;0,COUNTIF('PM10'!A:A,A77)&gt;0,COUNTIF('PM2.5'!A:A,A77)&gt;0,COUNTIF(Kendaraan!A:A,A77)&gt;0)</f>
        <v>1</v>
      </c>
    </row>
    <row r="78" spans="1:9" x14ac:dyDescent="0.45">
      <c r="A78" s="4">
        <v>45461</v>
      </c>
      <c r="B78" t="s">
        <v>4074</v>
      </c>
      <c r="C78" t="s">
        <v>4075</v>
      </c>
      <c r="D78" t="s">
        <v>4076</v>
      </c>
      <c r="E78" t="s">
        <v>4077</v>
      </c>
      <c r="F78" t="s">
        <v>4078</v>
      </c>
      <c r="G78" t="s">
        <v>2246</v>
      </c>
      <c r="H78">
        <v>24</v>
      </c>
      <c r="I78" t="b">
        <f>AND(COUNTIF(CO!A:A,A78)&gt;0,COUNTIF('NO2'!A:A,A78)&gt;0,COUNTIF('O3'!A:A,A78)&gt;0,COUNTIF('PM10'!A:A,A78)&gt;0,COUNTIF('PM2.5'!A:A,A78)&gt;0,COUNTIF(Kendaraan!A:A,A78)&gt;0)</f>
        <v>1</v>
      </c>
    </row>
    <row r="79" spans="1:9" x14ac:dyDescent="0.45">
      <c r="A79" s="4">
        <v>45462</v>
      </c>
      <c r="B79" t="s">
        <v>4079</v>
      </c>
      <c r="C79" t="s">
        <v>4080</v>
      </c>
      <c r="D79" t="s">
        <v>4081</v>
      </c>
      <c r="E79" t="s">
        <v>4082</v>
      </c>
      <c r="F79" t="s">
        <v>4083</v>
      </c>
      <c r="G79" t="s">
        <v>3884</v>
      </c>
      <c r="H79">
        <v>24</v>
      </c>
      <c r="I79" t="b">
        <f>AND(COUNTIF(CO!A:A,A79)&gt;0,COUNTIF('NO2'!A:A,A79)&gt;0,COUNTIF('O3'!A:A,A79)&gt;0,COUNTIF('PM10'!A:A,A79)&gt;0,COUNTIF('PM2.5'!A:A,A79)&gt;0,COUNTIF(Kendaraan!A:A,A79)&gt;0)</f>
        <v>1</v>
      </c>
    </row>
    <row r="80" spans="1:9" x14ac:dyDescent="0.45">
      <c r="A80" s="4">
        <v>45463</v>
      </c>
      <c r="B80" t="s">
        <v>4084</v>
      </c>
      <c r="C80" t="s">
        <v>3834</v>
      </c>
      <c r="D80" t="s">
        <v>4085</v>
      </c>
      <c r="E80" t="s">
        <v>4086</v>
      </c>
      <c r="F80" t="s">
        <v>4087</v>
      </c>
      <c r="G80" t="s">
        <v>60</v>
      </c>
      <c r="H80">
        <v>24</v>
      </c>
      <c r="I80" t="b">
        <f>AND(COUNTIF(CO!A:A,A80)&gt;0,COUNTIF('NO2'!A:A,A80)&gt;0,COUNTIF('O3'!A:A,A80)&gt;0,COUNTIF('PM10'!A:A,A80)&gt;0,COUNTIF('PM2.5'!A:A,A80)&gt;0,COUNTIF(Kendaraan!A:A,A80)&gt;0)</f>
        <v>1</v>
      </c>
    </row>
    <row r="81" spans="1:9" x14ac:dyDescent="0.45">
      <c r="A81" s="4">
        <v>45464</v>
      </c>
      <c r="B81" t="s">
        <v>4032</v>
      </c>
      <c r="C81" t="s">
        <v>4071</v>
      </c>
      <c r="D81" t="s">
        <v>3965</v>
      </c>
      <c r="E81" t="s">
        <v>4064</v>
      </c>
      <c r="F81" t="s">
        <v>4037</v>
      </c>
      <c r="G81" t="s">
        <v>993</v>
      </c>
      <c r="H81">
        <v>24</v>
      </c>
      <c r="I81" t="b">
        <f>AND(COUNTIF(CO!A:A,A81)&gt;0,COUNTIF('NO2'!A:A,A81)&gt;0,COUNTIF('O3'!A:A,A81)&gt;0,COUNTIF('PM10'!A:A,A81)&gt;0,COUNTIF('PM2.5'!A:A,A81)&gt;0,COUNTIF(Kendaraan!A:A,A81)&gt;0)</f>
        <v>1</v>
      </c>
    </row>
    <row r="82" spans="1:9" x14ac:dyDescent="0.45">
      <c r="A82" s="4">
        <v>45465</v>
      </c>
      <c r="B82" t="s">
        <v>4088</v>
      </c>
      <c r="C82" t="s">
        <v>4089</v>
      </c>
      <c r="D82" t="s">
        <v>4090</v>
      </c>
      <c r="E82" t="s">
        <v>4091</v>
      </c>
      <c r="F82" t="s">
        <v>3851</v>
      </c>
      <c r="G82" t="s">
        <v>13</v>
      </c>
      <c r="H82">
        <v>24</v>
      </c>
      <c r="I82" t="b">
        <f>AND(COUNTIF(CO!A:A,A82)&gt;0,COUNTIF('NO2'!A:A,A82)&gt;0,COUNTIF('O3'!A:A,A82)&gt;0,COUNTIF('PM10'!A:A,A82)&gt;0,COUNTIF('PM2.5'!A:A,A82)&gt;0,COUNTIF(Kendaraan!A:A,A82)&gt;0)</f>
        <v>1</v>
      </c>
    </row>
    <row r="83" spans="1:9" x14ac:dyDescent="0.45">
      <c r="A83" s="4">
        <v>45466</v>
      </c>
      <c r="B83" t="s">
        <v>4092</v>
      </c>
      <c r="C83" t="s">
        <v>4093</v>
      </c>
      <c r="D83" t="s">
        <v>4047</v>
      </c>
      <c r="E83" t="s">
        <v>4094</v>
      </c>
      <c r="F83" t="s">
        <v>4038</v>
      </c>
      <c r="G83" t="s">
        <v>3703</v>
      </c>
      <c r="H83">
        <v>24</v>
      </c>
      <c r="I83" t="b">
        <f>AND(COUNTIF(CO!A:A,A83)&gt;0,COUNTIF('NO2'!A:A,A83)&gt;0,COUNTIF('O3'!A:A,A83)&gt;0,COUNTIF('PM10'!A:A,A83)&gt;0,COUNTIF('PM2.5'!A:A,A83)&gt;0,COUNTIF(Kendaraan!A:A,A83)&gt;0)</f>
        <v>1</v>
      </c>
    </row>
    <row r="84" spans="1:9" x14ac:dyDescent="0.45">
      <c r="A84" s="4">
        <v>45467</v>
      </c>
      <c r="B84" t="s">
        <v>4095</v>
      </c>
      <c r="C84" t="s">
        <v>2098</v>
      </c>
      <c r="D84" t="s">
        <v>4096</v>
      </c>
      <c r="E84" t="s">
        <v>3842</v>
      </c>
      <c r="F84" t="s">
        <v>2110</v>
      </c>
      <c r="G84" t="s">
        <v>126</v>
      </c>
      <c r="H84">
        <v>24</v>
      </c>
      <c r="I84" t="b">
        <f>AND(COUNTIF(CO!A:A,A84)&gt;0,COUNTIF('NO2'!A:A,A84)&gt;0,COUNTIF('O3'!A:A,A84)&gt;0,COUNTIF('PM10'!A:A,A84)&gt;0,COUNTIF('PM2.5'!A:A,A84)&gt;0,COUNTIF(Kendaraan!A:A,A84)&gt;0)</f>
        <v>1</v>
      </c>
    </row>
    <row r="85" spans="1:9" x14ac:dyDescent="0.45">
      <c r="A85" s="4">
        <v>45468</v>
      </c>
      <c r="B85" t="s">
        <v>2114</v>
      </c>
      <c r="C85" t="s">
        <v>4097</v>
      </c>
      <c r="D85" t="s">
        <v>4098</v>
      </c>
      <c r="E85" t="s">
        <v>4054</v>
      </c>
      <c r="F85" t="s">
        <v>4083</v>
      </c>
      <c r="G85" t="s">
        <v>289</v>
      </c>
      <c r="H85">
        <v>24</v>
      </c>
      <c r="I85" t="b">
        <f>AND(COUNTIF(CO!A:A,A85)&gt;0,COUNTIF('NO2'!A:A,A85)&gt;0,COUNTIF('O3'!A:A,A85)&gt;0,COUNTIF('PM10'!A:A,A85)&gt;0,COUNTIF('PM2.5'!A:A,A85)&gt;0,COUNTIF(Kendaraan!A:A,A85)&gt;0)</f>
        <v>1</v>
      </c>
    </row>
    <row r="86" spans="1:9" x14ac:dyDescent="0.45">
      <c r="A86" s="4">
        <v>45469</v>
      </c>
      <c r="B86" t="s">
        <v>4099</v>
      </c>
      <c r="C86" t="s">
        <v>4100</v>
      </c>
      <c r="D86" t="s">
        <v>2107</v>
      </c>
      <c r="E86" t="s">
        <v>2111</v>
      </c>
      <c r="F86" t="s">
        <v>4101</v>
      </c>
      <c r="G86" t="s">
        <v>4102</v>
      </c>
      <c r="H86">
        <v>24</v>
      </c>
      <c r="I86" t="b">
        <f>AND(COUNTIF(CO!A:A,A86)&gt;0,COUNTIF('NO2'!A:A,A86)&gt;0,COUNTIF('O3'!A:A,A86)&gt;0,COUNTIF('PM10'!A:A,A86)&gt;0,COUNTIF('PM2.5'!A:A,A86)&gt;0,COUNTIF(Kendaraan!A:A,A86)&gt;0)</f>
        <v>1</v>
      </c>
    </row>
    <row r="87" spans="1:9" x14ac:dyDescent="0.45">
      <c r="A87" s="4">
        <v>45470</v>
      </c>
      <c r="B87" t="s">
        <v>4103</v>
      </c>
      <c r="C87" t="s">
        <v>4104</v>
      </c>
      <c r="D87" t="s">
        <v>4105</v>
      </c>
      <c r="E87" t="s">
        <v>4106</v>
      </c>
      <c r="F87" t="s">
        <v>4107</v>
      </c>
      <c r="G87" s="1">
        <v>9679</v>
      </c>
      <c r="H87">
        <v>23</v>
      </c>
      <c r="I87" t="b">
        <f>AND(COUNTIF(CO!A:A,A87)&gt;0,COUNTIF('NO2'!A:A,A87)&gt;0,COUNTIF('O3'!A:A,A87)&gt;0,COUNTIF('PM10'!A:A,A87)&gt;0,COUNTIF('PM2.5'!A:A,A87)&gt;0,COUNTIF(Kendaraan!A:A,A87)&gt;0)</f>
        <v>1</v>
      </c>
    </row>
    <row r="88" spans="1:9" x14ac:dyDescent="0.45">
      <c r="A88" s="4">
        <v>45471</v>
      </c>
      <c r="B88" t="s">
        <v>4108</v>
      </c>
      <c r="C88" t="s">
        <v>4109</v>
      </c>
      <c r="D88" t="s">
        <v>4110</v>
      </c>
      <c r="E88" t="s">
        <v>4111</v>
      </c>
      <c r="F88" t="s">
        <v>4112</v>
      </c>
      <c r="G88" s="1">
        <v>7978</v>
      </c>
      <c r="H88">
        <v>23</v>
      </c>
      <c r="I88" t="b">
        <f>AND(COUNTIF(CO!A:A,A88)&gt;0,COUNTIF('NO2'!A:A,A88)&gt;0,COUNTIF('O3'!A:A,A88)&gt;0,COUNTIF('PM10'!A:A,A88)&gt;0,COUNTIF('PM2.5'!A:A,A88)&gt;0,COUNTIF(Kendaraan!A:A,A88)&gt;0)</f>
        <v>1</v>
      </c>
    </row>
    <row r="89" spans="1:9" x14ac:dyDescent="0.45">
      <c r="A89" s="4">
        <v>45472</v>
      </c>
      <c r="B89" t="s">
        <v>4113</v>
      </c>
      <c r="C89" t="s">
        <v>4109</v>
      </c>
      <c r="D89" t="s">
        <v>4114</v>
      </c>
      <c r="E89" t="s">
        <v>4115</v>
      </c>
      <c r="F89" t="s">
        <v>4116</v>
      </c>
      <c r="G89" s="1">
        <v>1169</v>
      </c>
      <c r="H89">
        <v>24</v>
      </c>
      <c r="I89" t="b">
        <f>AND(COUNTIF(CO!A:A,A89)&gt;0,COUNTIF('NO2'!A:A,A89)&gt;0,COUNTIF('O3'!A:A,A89)&gt;0,COUNTIF('PM10'!A:A,A89)&gt;0,COUNTIF('PM2.5'!A:A,A89)&gt;0,COUNTIF(Kendaraan!A:A,A89)&gt;0)</f>
        <v>1</v>
      </c>
    </row>
    <row r="90" spans="1:9" x14ac:dyDescent="0.45">
      <c r="A90" s="4">
        <v>45473</v>
      </c>
      <c r="B90" t="s">
        <v>4117</v>
      </c>
      <c r="C90" t="s">
        <v>4118</v>
      </c>
      <c r="D90" t="s">
        <v>4119</v>
      </c>
      <c r="E90" t="s">
        <v>4120</v>
      </c>
      <c r="F90" t="s">
        <v>4121</v>
      </c>
      <c r="G90" t="s">
        <v>3592</v>
      </c>
      <c r="H90">
        <v>24</v>
      </c>
      <c r="I90" t="b">
        <f>AND(COUNTIF(CO!A:A,A90)&gt;0,COUNTIF('NO2'!A:A,A90)&gt;0,COUNTIF('O3'!A:A,A90)&gt;0,COUNTIF('PM10'!A:A,A90)&gt;0,COUNTIF('PM2.5'!A:A,A90)&gt;0,COUNTIF(Kendaraan!A:A,A90)&gt;0)</f>
        <v>1</v>
      </c>
    </row>
    <row r="91" spans="1:9" x14ac:dyDescent="0.45">
      <c r="A91" s="4">
        <v>45474</v>
      </c>
      <c r="B91" t="s">
        <v>749</v>
      </c>
      <c r="C91" t="s">
        <v>4122</v>
      </c>
      <c r="D91" t="s">
        <v>4123</v>
      </c>
      <c r="E91" t="s">
        <v>4124</v>
      </c>
      <c r="F91" t="s">
        <v>4125</v>
      </c>
      <c r="G91" s="1">
        <v>1274</v>
      </c>
      <c r="H91">
        <v>24</v>
      </c>
      <c r="I91" t="b">
        <f>AND(COUNTIF(CO!A:A,A91)&gt;0,COUNTIF('NO2'!A:A,A91)&gt;0,COUNTIF('O3'!A:A,A91)&gt;0,COUNTIF('PM10'!A:A,A91)&gt;0,COUNTIF('PM2.5'!A:A,A91)&gt;0,COUNTIF(Kendaraan!A:A,A91)&gt;0)</f>
        <v>1</v>
      </c>
    </row>
    <row r="92" spans="1:9" x14ac:dyDescent="0.45">
      <c r="A92" s="4">
        <v>45475</v>
      </c>
      <c r="B92" t="s">
        <v>4126</v>
      </c>
      <c r="C92" t="s">
        <v>4127</v>
      </c>
      <c r="D92" t="s">
        <v>4128</v>
      </c>
      <c r="E92" t="s">
        <v>4129</v>
      </c>
      <c r="F92" t="s">
        <v>4130</v>
      </c>
      <c r="G92" t="s">
        <v>4131</v>
      </c>
      <c r="H92">
        <v>24</v>
      </c>
      <c r="I92" t="b">
        <f>AND(COUNTIF(CO!A:A,A92)&gt;0,COUNTIF('NO2'!A:A,A92)&gt;0,COUNTIF('O3'!A:A,A92)&gt;0,COUNTIF('PM10'!A:A,A92)&gt;0,COUNTIF('PM2.5'!A:A,A92)&gt;0,COUNTIF(Kendaraan!A:A,A92)&gt;0)</f>
        <v>1</v>
      </c>
    </row>
    <row r="93" spans="1:9" x14ac:dyDescent="0.45">
      <c r="A93" s="4">
        <v>45476</v>
      </c>
      <c r="B93" t="s">
        <v>4132</v>
      </c>
      <c r="C93" t="s">
        <v>4133</v>
      </c>
      <c r="D93" t="s">
        <v>782</v>
      </c>
      <c r="E93" t="s">
        <v>4134</v>
      </c>
      <c r="F93" t="s">
        <v>4135</v>
      </c>
      <c r="G93" t="s">
        <v>2194</v>
      </c>
      <c r="H93">
        <v>23</v>
      </c>
      <c r="I93" t="b">
        <f>AND(COUNTIF(CO!A:A,A93)&gt;0,COUNTIF('NO2'!A:A,A93)&gt;0,COUNTIF('O3'!A:A,A93)&gt;0,COUNTIF('PM10'!A:A,A93)&gt;0,COUNTIF('PM2.5'!A:A,A93)&gt;0,COUNTIF(Kendaraan!A:A,A93)&gt;0)</f>
        <v>1</v>
      </c>
    </row>
    <row r="94" spans="1:9" x14ac:dyDescent="0.45">
      <c r="A94" s="4">
        <v>45477</v>
      </c>
      <c r="B94" t="s">
        <v>4136</v>
      </c>
      <c r="C94" t="s">
        <v>4137</v>
      </c>
      <c r="D94" t="s">
        <v>4138</v>
      </c>
      <c r="E94" t="s">
        <v>4139</v>
      </c>
      <c r="F94" t="s">
        <v>4140</v>
      </c>
      <c r="G94" t="s">
        <v>902</v>
      </c>
      <c r="H94">
        <v>24</v>
      </c>
      <c r="I94" t="b">
        <f>AND(COUNTIF(CO!A:A,A94)&gt;0,COUNTIF('NO2'!A:A,A94)&gt;0,COUNTIF('O3'!A:A,A94)&gt;0,COUNTIF('PM10'!A:A,A94)&gt;0,COUNTIF('PM2.5'!A:A,A94)&gt;0,COUNTIF(Kendaraan!A:A,A94)&gt;0)</f>
        <v>1</v>
      </c>
    </row>
    <row r="95" spans="1:9" x14ac:dyDescent="0.45">
      <c r="A95" s="4">
        <v>45478</v>
      </c>
      <c r="B95" t="s">
        <v>4136</v>
      </c>
      <c r="C95" t="s">
        <v>4141</v>
      </c>
      <c r="D95" t="s">
        <v>4142</v>
      </c>
      <c r="E95" t="s">
        <v>4143</v>
      </c>
      <c r="F95" t="s">
        <v>4144</v>
      </c>
      <c r="G95" t="s">
        <v>4145</v>
      </c>
      <c r="H95">
        <v>24</v>
      </c>
      <c r="I95" t="b">
        <f>AND(COUNTIF(CO!A:A,A95)&gt;0,COUNTIF('NO2'!A:A,A95)&gt;0,COUNTIF('O3'!A:A,A95)&gt;0,COUNTIF('PM10'!A:A,A95)&gt;0,COUNTIF('PM2.5'!A:A,A95)&gt;0,COUNTIF(Kendaraan!A:A,A95)&gt;0)</f>
        <v>1</v>
      </c>
    </row>
    <row r="96" spans="1:9" x14ac:dyDescent="0.45">
      <c r="A96" s="4">
        <v>45479</v>
      </c>
      <c r="B96" t="s">
        <v>4146</v>
      </c>
      <c r="C96" t="s">
        <v>4147</v>
      </c>
      <c r="D96" t="s">
        <v>4148</v>
      </c>
      <c r="E96" t="s">
        <v>4149</v>
      </c>
      <c r="F96" t="s">
        <v>3000</v>
      </c>
      <c r="G96" s="1">
        <v>1049</v>
      </c>
      <c r="H96">
        <v>24</v>
      </c>
      <c r="I96" t="b">
        <f>AND(COUNTIF(CO!A:A,A96)&gt;0,COUNTIF('NO2'!A:A,A96)&gt;0,COUNTIF('O3'!A:A,A96)&gt;0,COUNTIF('PM10'!A:A,A96)&gt;0,COUNTIF('PM2.5'!A:A,A96)&gt;0,COUNTIF(Kendaraan!A:A,A96)&gt;0)</f>
        <v>1</v>
      </c>
    </row>
    <row r="97" spans="1:9" x14ac:dyDescent="0.45">
      <c r="A97" s="4">
        <v>45480</v>
      </c>
      <c r="B97" t="s">
        <v>4150</v>
      </c>
      <c r="C97" t="s">
        <v>4151</v>
      </c>
      <c r="D97" t="s">
        <v>4152</v>
      </c>
      <c r="E97" t="s">
        <v>4153</v>
      </c>
      <c r="F97" t="s">
        <v>4154</v>
      </c>
      <c r="G97" t="s">
        <v>377</v>
      </c>
      <c r="H97">
        <v>24</v>
      </c>
      <c r="I97" t="b">
        <f>AND(COUNTIF(CO!A:A,A97)&gt;0,COUNTIF('NO2'!A:A,A97)&gt;0,COUNTIF('O3'!A:A,A97)&gt;0,COUNTIF('PM10'!A:A,A97)&gt;0,COUNTIF('PM2.5'!A:A,A97)&gt;0,COUNTIF(Kendaraan!A:A,A97)&gt;0)</f>
        <v>1</v>
      </c>
    </row>
    <row r="98" spans="1:9" x14ac:dyDescent="0.45">
      <c r="A98" s="4">
        <v>45481</v>
      </c>
      <c r="B98" t="s">
        <v>4155</v>
      </c>
      <c r="C98" t="s">
        <v>4156</v>
      </c>
      <c r="D98" t="s">
        <v>4157</v>
      </c>
      <c r="E98" t="s">
        <v>4158</v>
      </c>
      <c r="F98" t="s">
        <v>4159</v>
      </c>
      <c r="G98" t="s">
        <v>3361</v>
      </c>
      <c r="H98">
        <v>24</v>
      </c>
      <c r="I98" t="b">
        <f>AND(COUNTIF(CO!A:A,A98)&gt;0,COUNTIF('NO2'!A:A,A98)&gt;0,COUNTIF('O3'!A:A,A98)&gt;0,COUNTIF('PM10'!A:A,A98)&gt;0,COUNTIF('PM2.5'!A:A,A98)&gt;0,COUNTIF(Kendaraan!A:A,A98)&gt;0)</f>
        <v>1</v>
      </c>
    </row>
    <row r="99" spans="1:9" x14ac:dyDescent="0.45">
      <c r="A99" s="4">
        <v>45482</v>
      </c>
      <c r="B99" t="s">
        <v>4160</v>
      </c>
      <c r="C99" t="s">
        <v>4130</v>
      </c>
      <c r="D99" t="s">
        <v>4161</v>
      </c>
      <c r="E99" t="s">
        <v>4162</v>
      </c>
      <c r="F99" t="s">
        <v>4163</v>
      </c>
      <c r="G99" t="s">
        <v>3691</v>
      </c>
      <c r="H99">
        <v>24</v>
      </c>
      <c r="I99" t="b">
        <f>AND(COUNTIF(CO!A:A,A99)&gt;0,COUNTIF('NO2'!A:A,A99)&gt;0,COUNTIF('O3'!A:A,A99)&gt;0,COUNTIF('PM10'!A:A,A99)&gt;0,COUNTIF('PM2.5'!A:A,A99)&gt;0,COUNTIF(Kendaraan!A:A,A99)&gt;0)</f>
        <v>1</v>
      </c>
    </row>
    <row r="100" spans="1:9" x14ac:dyDescent="0.45">
      <c r="A100" s="4">
        <v>45483</v>
      </c>
      <c r="B100" t="s">
        <v>4164</v>
      </c>
      <c r="C100" t="s">
        <v>4165</v>
      </c>
      <c r="D100" t="s">
        <v>4166</v>
      </c>
      <c r="E100" t="s">
        <v>4167</v>
      </c>
      <c r="F100" t="s">
        <v>4168</v>
      </c>
      <c r="G100" t="s">
        <v>2394</v>
      </c>
      <c r="H100">
        <v>15</v>
      </c>
      <c r="I100" t="b">
        <f>AND(COUNTIF(CO!A:A,A100)&gt;0,COUNTIF('NO2'!A:A,A100)&gt;0,COUNTIF('O3'!A:A,A100)&gt;0,COUNTIF('PM10'!A:A,A100)&gt;0,COUNTIF('PM2.5'!A:A,A100)&gt;0,COUNTIF(Kendaraan!A:A,A100)&gt;0)</f>
        <v>1</v>
      </c>
    </row>
    <row r="101" spans="1:9" x14ac:dyDescent="0.45">
      <c r="A101" s="4">
        <v>45484</v>
      </c>
      <c r="B101" t="s">
        <v>4169</v>
      </c>
      <c r="C101" t="s">
        <v>4169</v>
      </c>
      <c r="D101" t="s">
        <v>4169</v>
      </c>
      <c r="E101" t="s">
        <v>4169</v>
      </c>
      <c r="F101" t="s">
        <v>4169</v>
      </c>
      <c r="G101">
        <v>0</v>
      </c>
      <c r="H101">
        <v>1</v>
      </c>
      <c r="I101" t="b">
        <f>AND(COUNTIF(CO!A:A,A101)&gt;0,COUNTIF('NO2'!A:A,A101)&gt;0,COUNTIF('O3'!A:A,A101)&gt;0,COUNTIF('PM10'!A:A,A101)&gt;0,COUNTIF('PM2.5'!A:A,A101)&gt;0,COUNTIF(Kendaraan!A:A,A101)&gt;0)</f>
        <v>1</v>
      </c>
    </row>
    <row r="102" spans="1:9" x14ac:dyDescent="0.45">
      <c r="A102" s="4">
        <v>45485</v>
      </c>
      <c r="B102" t="s">
        <v>4170</v>
      </c>
      <c r="C102" t="s">
        <v>4171</v>
      </c>
      <c r="D102" t="s">
        <v>3978</v>
      </c>
      <c r="E102" t="s">
        <v>4172</v>
      </c>
      <c r="F102" t="s">
        <v>4173</v>
      </c>
      <c r="G102" t="s">
        <v>3628</v>
      </c>
      <c r="H102">
        <v>24</v>
      </c>
      <c r="I102" t="b">
        <f>AND(COUNTIF(CO!A:A,A102)&gt;0,COUNTIF('NO2'!A:A,A102)&gt;0,COUNTIF('O3'!A:A,A102)&gt;0,COUNTIF('PM10'!A:A,A102)&gt;0,COUNTIF('PM2.5'!A:A,A102)&gt;0,COUNTIF(Kendaraan!A:A,A102)&gt;0)</f>
        <v>1</v>
      </c>
    </row>
    <row r="103" spans="1:9" x14ac:dyDescent="0.45">
      <c r="A103" s="4">
        <v>45486</v>
      </c>
      <c r="B103" t="s">
        <v>4174</v>
      </c>
      <c r="C103" t="s">
        <v>383</v>
      </c>
      <c r="D103" t="s">
        <v>4175</v>
      </c>
      <c r="E103" t="s">
        <v>4176</v>
      </c>
      <c r="F103" t="s">
        <v>4177</v>
      </c>
      <c r="G103" s="1">
        <v>1316</v>
      </c>
      <c r="H103">
        <v>24</v>
      </c>
      <c r="I103" t="b">
        <f>AND(COUNTIF(CO!A:A,A103)&gt;0,COUNTIF('NO2'!A:A,A103)&gt;0,COUNTIF('O3'!A:A,A103)&gt;0,COUNTIF('PM10'!A:A,A103)&gt;0,COUNTIF('PM2.5'!A:A,A103)&gt;0,COUNTIF(Kendaraan!A:A,A103)&gt;0)</f>
        <v>1</v>
      </c>
    </row>
    <row r="104" spans="1:9" x14ac:dyDescent="0.45">
      <c r="A104" s="4">
        <v>45487</v>
      </c>
      <c r="B104" t="s">
        <v>4178</v>
      </c>
      <c r="C104">
        <v>74</v>
      </c>
      <c r="D104" t="s">
        <v>4179</v>
      </c>
      <c r="E104" t="s">
        <v>4180</v>
      </c>
      <c r="F104" t="s">
        <v>4181</v>
      </c>
      <c r="G104" t="s">
        <v>1549</v>
      </c>
      <c r="H104">
        <v>24</v>
      </c>
      <c r="I104" t="b">
        <f>AND(COUNTIF(CO!A:A,A104)&gt;0,COUNTIF('NO2'!A:A,A104)&gt;0,COUNTIF('O3'!A:A,A104)&gt;0,COUNTIF('PM10'!A:A,A104)&gt;0,COUNTIF('PM2.5'!A:A,A104)&gt;0,COUNTIF(Kendaraan!A:A,A104)&gt;0)</f>
        <v>1</v>
      </c>
    </row>
    <row r="105" spans="1:9" x14ac:dyDescent="0.45">
      <c r="A105" s="4">
        <v>45488</v>
      </c>
      <c r="B105" t="s">
        <v>4182</v>
      </c>
      <c r="C105" t="s">
        <v>4061</v>
      </c>
      <c r="D105" t="s">
        <v>4183</v>
      </c>
      <c r="E105" t="s">
        <v>2100</v>
      </c>
      <c r="F105" t="s">
        <v>4184</v>
      </c>
      <c r="G105" t="s">
        <v>139</v>
      </c>
      <c r="H105">
        <v>24</v>
      </c>
      <c r="I105" t="b">
        <f>AND(COUNTIF(CO!A:A,A105)&gt;0,COUNTIF('NO2'!A:A,A105)&gt;0,COUNTIF('O3'!A:A,A105)&gt;0,COUNTIF('PM10'!A:A,A105)&gt;0,COUNTIF('PM2.5'!A:A,A105)&gt;0,COUNTIF(Kendaraan!A:A,A105)&gt;0)</f>
        <v>1</v>
      </c>
    </row>
    <row r="106" spans="1:9" x14ac:dyDescent="0.45">
      <c r="A106" s="4">
        <v>45489</v>
      </c>
      <c r="B106" t="s">
        <v>4185</v>
      </c>
      <c r="C106" t="s">
        <v>4186</v>
      </c>
      <c r="D106" t="s">
        <v>4187</v>
      </c>
      <c r="E106" t="s">
        <v>4188</v>
      </c>
      <c r="F106" t="s">
        <v>4189</v>
      </c>
      <c r="G106" s="1">
        <v>1156</v>
      </c>
      <c r="H106">
        <v>24</v>
      </c>
      <c r="I106" t="b">
        <f>AND(COUNTIF(CO!A:A,A106)&gt;0,COUNTIF('NO2'!A:A,A106)&gt;0,COUNTIF('O3'!A:A,A106)&gt;0,COUNTIF('PM10'!A:A,A106)&gt;0,COUNTIF('PM2.5'!A:A,A106)&gt;0,COUNTIF(Kendaraan!A:A,A106)&gt;0)</f>
        <v>1</v>
      </c>
    </row>
    <row r="107" spans="1:9" x14ac:dyDescent="0.45">
      <c r="A107" s="4">
        <v>45490</v>
      </c>
      <c r="B107" t="s">
        <v>4190</v>
      </c>
      <c r="C107" t="s">
        <v>4191</v>
      </c>
      <c r="D107" t="s">
        <v>4173</v>
      </c>
      <c r="E107" t="s">
        <v>4192</v>
      </c>
      <c r="F107" t="s">
        <v>4193</v>
      </c>
      <c r="G107" t="s">
        <v>41</v>
      </c>
      <c r="H107">
        <v>24</v>
      </c>
      <c r="I107" t="b">
        <f>AND(COUNTIF(CO!A:A,A107)&gt;0,COUNTIF('NO2'!A:A,A107)&gt;0,COUNTIF('O3'!A:A,A107)&gt;0,COUNTIF('PM10'!A:A,A107)&gt;0,COUNTIF('PM2.5'!A:A,A107)&gt;0,COUNTIF(Kendaraan!A:A,A107)&gt;0)</f>
        <v>1</v>
      </c>
    </row>
    <row r="108" spans="1:9" x14ac:dyDescent="0.45">
      <c r="A108" s="4">
        <v>45491</v>
      </c>
      <c r="B108" t="s">
        <v>4194</v>
      </c>
      <c r="C108" t="s">
        <v>4195</v>
      </c>
      <c r="D108" t="s">
        <v>4196</v>
      </c>
      <c r="E108" t="s">
        <v>4197</v>
      </c>
      <c r="F108" t="s">
        <v>4198</v>
      </c>
      <c r="G108" t="s">
        <v>4199</v>
      </c>
      <c r="H108">
        <v>24</v>
      </c>
      <c r="I108" t="b">
        <f>AND(COUNTIF(CO!A:A,A108)&gt;0,COUNTIF('NO2'!A:A,A108)&gt;0,COUNTIF('O3'!A:A,A108)&gt;0,COUNTIF('PM10'!A:A,A108)&gt;0,COUNTIF('PM2.5'!A:A,A108)&gt;0,COUNTIF(Kendaraan!A:A,A108)&gt;0)</f>
        <v>1</v>
      </c>
    </row>
    <row r="109" spans="1:9" x14ac:dyDescent="0.45">
      <c r="A109" s="4">
        <v>45492</v>
      </c>
      <c r="B109" t="s">
        <v>4200</v>
      </c>
      <c r="C109" t="s">
        <v>4201</v>
      </c>
      <c r="D109" t="s">
        <v>4202</v>
      </c>
      <c r="E109" t="s">
        <v>4203</v>
      </c>
      <c r="F109" t="s">
        <v>4204</v>
      </c>
      <c r="G109" t="s">
        <v>4205</v>
      </c>
      <c r="H109">
        <v>24</v>
      </c>
      <c r="I109" t="b">
        <f>AND(COUNTIF(CO!A:A,A109)&gt;0,COUNTIF('NO2'!A:A,A109)&gt;0,COUNTIF('O3'!A:A,A109)&gt;0,COUNTIF('PM10'!A:A,A109)&gt;0,COUNTIF('PM2.5'!A:A,A109)&gt;0,COUNTIF(Kendaraan!A:A,A109)&gt;0)</f>
        <v>1</v>
      </c>
    </row>
    <row r="110" spans="1:9" x14ac:dyDescent="0.45">
      <c r="A110" s="4">
        <v>45493</v>
      </c>
      <c r="B110" t="s">
        <v>4172</v>
      </c>
      <c r="C110" t="s">
        <v>4206</v>
      </c>
      <c r="D110" t="s">
        <v>385</v>
      </c>
      <c r="E110" t="s">
        <v>4207</v>
      </c>
      <c r="F110" t="s">
        <v>3977</v>
      </c>
      <c r="G110" t="s">
        <v>296</v>
      </c>
      <c r="H110">
        <v>24</v>
      </c>
      <c r="I110" t="b">
        <f>AND(COUNTIF(CO!A:A,A110)&gt;0,COUNTIF('NO2'!A:A,A110)&gt;0,COUNTIF('O3'!A:A,A110)&gt;0,COUNTIF('PM10'!A:A,A110)&gt;0,COUNTIF('PM2.5'!A:A,A110)&gt;0,COUNTIF(Kendaraan!A:A,A110)&gt;0)</f>
        <v>1</v>
      </c>
    </row>
    <row r="111" spans="1:9" x14ac:dyDescent="0.45">
      <c r="A111" s="4">
        <v>45494</v>
      </c>
      <c r="B111" t="s">
        <v>4063</v>
      </c>
      <c r="C111" t="s">
        <v>4208</v>
      </c>
      <c r="D111" t="s">
        <v>4209</v>
      </c>
      <c r="E111">
        <v>74</v>
      </c>
      <c r="F111" t="s">
        <v>4210</v>
      </c>
      <c r="G111" t="s">
        <v>3957</v>
      </c>
      <c r="H111">
        <v>23</v>
      </c>
      <c r="I111" t="b">
        <f>AND(COUNTIF(CO!A:A,A111)&gt;0,COUNTIF('NO2'!A:A,A111)&gt;0,COUNTIF('O3'!A:A,A111)&gt;0,COUNTIF('PM10'!A:A,A111)&gt;0,COUNTIF('PM2.5'!A:A,A111)&gt;0,COUNTIF(Kendaraan!A:A,A111)&gt;0)</f>
        <v>1</v>
      </c>
    </row>
    <row r="112" spans="1:9" x14ac:dyDescent="0.45">
      <c r="A112" s="4">
        <v>45495</v>
      </c>
      <c r="B112" t="s">
        <v>380</v>
      </c>
      <c r="C112" t="s">
        <v>3978</v>
      </c>
      <c r="D112" t="s">
        <v>2094</v>
      </c>
      <c r="E112" t="s">
        <v>4211</v>
      </c>
      <c r="F112" t="s">
        <v>4212</v>
      </c>
      <c r="G112" t="s">
        <v>919</v>
      </c>
      <c r="H112">
        <v>24</v>
      </c>
      <c r="I112" t="b">
        <f>AND(COUNTIF(CO!A:A,A112)&gt;0,COUNTIF('NO2'!A:A,A112)&gt;0,COUNTIF('O3'!A:A,A112)&gt;0,COUNTIF('PM10'!A:A,A112)&gt;0,COUNTIF('PM2.5'!A:A,A112)&gt;0,COUNTIF(Kendaraan!A:A,A112)&gt;0)</f>
        <v>1</v>
      </c>
    </row>
    <row r="113" spans="1:9" x14ac:dyDescent="0.45">
      <c r="A113" s="4">
        <v>45496</v>
      </c>
      <c r="B113" t="s">
        <v>4186</v>
      </c>
      <c r="C113" t="s">
        <v>4213</v>
      </c>
      <c r="D113" t="s">
        <v>4214</v>
      </c>
      <c r="E113" t="s">
        <v>4215</v>
      </c>
      <c r="F113" t="s">
        <v>4216</v>
      </c>
      <c r="G113" t="s">
        <v>1934</v>
      </c>
      <c r="H113">
        <v>24</v>
      </c>
      <c r="I113" t="b">
        <f>AND(COUNTIF(CO!A:A,A113)&gt;0,COUNTIF('NO2'!A:A,A113)&gt;0,COUNTIF('O3'!A:A,A113)&gt;0,COUNTIF('PM10'!A:A,A113)&gt;0,COUNTIF('PM2.5'!A:A,A113)&gt;0,COUNTIF(Kendaraan!A:A,A113)&gt;0)</f>
        <v>1</v>
      </c>
    </row>
    <row r="114" spans="1:9" x14ac:dyDescent="0.45">
      <c r="A114" s="4">
        <v>45497</v>
      </c>
      <c r="B114" t="s">
        <v>4217</v>
      </c>
      <c r="C114" t="s">
        <v>4218</v>
      </c>
      <c r="D114" t="s">
        <v>4219</v>
      </c>
      <c r="E114" t="s">
        <v>4220</v>
      </c>
      <c r="F114" t="s">
        <v>4221</v>
      </c>
      <c r="G114" t="s">
        <v>183</v>
      </c>
      <c r="H114">
        <v>24</v>
      </c>
      <c r="I114" t="b">
        <f>AND(COUNTIF(CO!A:A,A114)&gt;0,COUNTIF('NO2'!A:A,A114)&gt;0,COUNTIF('O3'!A:A,A114)&gt;0,COUNTIF('PM10'!A:A,A114)&gt;0,COUNTIF('PM2.5'!A:A,A114)&gt;0,COUNTIF(Kendaraan!A:A,A114)&gt;0)</f>
        <v>1</v>
      </c>
    </row>
    <row r="115" spans="1:9" x14ac:dyDescent="0.45">
      <c r="A115" s="4">
        <v>45498</v>
      </c>
      <c r="B115" t="s">
        <v>4222</v>
      </c>
      <c r="C115" t="s">
        <v>4223</v>
      </c>
      <c r="D115" t="s">
        <v>4224</v>
      </c>
      <c r="E115" t="s">
        <v>4225</v>
      </c>
      <c r="F115" t="s">
        <v>4226</v>
      </c>
      <c r="G115" t="s">
        <v>4227</v>
      </c>
      <c r="H115">
        <v>24</v>
      </c>
      <c r="I115" t="b">
        <f>AND(COUNTIF(CO!A:A,A115)&gt;0,COUNTIF('NO2'!A:A,A115)&gt;0,COUNTIF('O3'!A:A,A115)&gt;0,COUNTIF('PM10'!A:A,A115)&gt;0,COUNTIF('PM2.5'!A:A,A115)&gt;0,COUNTIF(Kendaraan!A:A,A115)&gt;0)</f>
        <v>1</v>
      </c>
    </row>
    <row r="116" spans="1:9" x14ac:dyDescent="0.45">
      <c r="A116" s="4">
        <v>45499</v>
      </c>
      <c r="B116" t="s">
        <v>4228</v>
      </c>
      <c r="C116" t="s">
        <v>4217</v>
      </c>
      <c r="D116" t="s">
        <v>4229</v>
      </c>
      <c r="E116" t="s">
        <v>4230</v>
      </c>
      <c r="F116" t="s">
        <v>4231</v>
      </c>
      <c r="G116" t="s">
        <v>3412</v>
      </c>
      <c r="H116">
        <v>24</v>
      </c>
      <c r="I116" t="b">
        <f>AND(COUNTIF(CO!A:A,A116)&gt;0,COUNTIF('NO2'!A:A,A116)&gt;0,COUNTIF('O3'!A:A,A116)&gt;0,COUNTIF('PM10'!A:A,A116)&gt;0,COUNTIF('PM2.5'!A:A,A116)&gt;0,COUNTIF(Kendaraan!A:A,A116)&gt;0)</f>
        <v>1</v>
      </c>
    </row>
    <row r="117" spans="1:9" x14ac:dyDescent="0.45">
      <c r="A117" s="4">
        <v>45500</v>
      </c>
      <c r="B117" t="s">
        <v>4232</v>
      </c>
      <c r="C117" t="s">
        <v>4233</v>
      </c>
      <c r="D117" t="s">
        <v>4234</v>
      </c>
      <c r="E117" t="s">
        <v>4235</v>
      </c>
      <c r="F117" t="s">
        <v>4225</v>
      </c>
      <c r="G117" t="s">
        <v>1137</v>
      </c>
      <c r="H117">
        <v>24</v>
      </c>
      <c r="I117" t="b">
        <f>AND(COUNTIF(CO!A:A,A117)&gt;0,COUNTIF('NO2'!A:A,A117)&gt;0,COUNTIF('O3'!A:A,A117)&gt;0,COUNTIF('PM10'!A:A,A117)&gt;0,COUNTIF('PM2.5'!A:A,A117)&gt;0,COUNTIF(Kendaraan!A:A,A117)&gt;0)</f>
        <v>1</v>
      </c>
    </row>
    <row r="118" spans="1:9" x14ac:dyDescent="0.45">
      <c r="A118" s="4">
        <v>45501</v>
      </c>
      <c r="B118" t="s">
        <v>4236</v>
      </c>
      <c r="C118" t="s">
        <v>4061</v>
      </c>
      <c r="D118" t="s">
        <v>4237</v>
      </c>
      <c r="E118" t="s">
        <v>4178</v>
      </c>
      <c r="F118" t="s">
        <v>4238</v>
      </c>
      <c r="G118" t="s">
        <v>2973</v>
      </c>
      <c r="H118">
        <v>24</v>
      </c>
      <c r="I118" t="b">
        <f>AND(COUNTIF(CO!A:A,A118)&gt;0,COUNTIF('NO2'!A:A,A118)&gt;0,COUNTIF('O3'!A:A,A118)&gt;0,COUNTIF('PM10'!A:A,A118)&gt;0,COUNTIF('PM2.5'!A:A,A118)&gt;0,COUNTIF(Kendaraan!A:A,A118)&gt;0)</f>
        <v>1</v>
      </c>
    </row>
    <row r="119" spans="1:9" x14ac:dyDescent="0.45">
      <c r="A119" s="4">
        <v>45502</v>
      </c>
      <c r="B119" t="s">
        <v>4239</v>
      </c>
      <c r="C119" t="s">
        <v>4240</v>
      </c>
      <c r="D119" t="s">
        <v>4241</v>
      </c>
      <c r="E119" t="s">
        <v>4211</v>
      </c>
      <c r="F119" t="s">
        <v>4242</v>
      </c>
      <c r="G119" t="s">
        <v>3806</v>
      </c>
      <c r="H119">
        <v>24</v>
      </c>
      <c r="I119" t="b">
        <f>AND(COUNTIF(CO!A:A,A119)&gt;0,COUNTIF('NO2'!A:A,A119)&gt;0,COUNTIF('O3'!A:A,A119)&gt;0,COUNTIF('PM10'!A:A,A119)&gt;0,COUNTIF('PM2.5'!A:A,A119)&gt;0,COUNTIF(Kendaraan!A:A,A119)&gt;0)</f>
        <v>1</v>
      </c>
    </row>
    <row r="120" spans="1:9" x14ac:dyDescent="0.45">
      <c r="A120" s="4">
        <v>45503</v>
      </c>
      <c r="B120" t="s">
        <v>4243</v>
      </c>
      <c r="C120" t="s">
        <v>385</v>
      </c>
      <c r="D120" t="s">
        <v>4244</v>
      </c>
      <c r="E120" t="s">
        <v>4219</v>
      </c>
      <c r="F120" t="s">
        <v>4245</v>
      </c>
      <c r="G120" t="s">
        <v>1939</v>
      </c>
      <c r="H120">
        <v>24</v>
      </c>
      <c r="I120" t="b">
        <f>AND(COUNTIF(CO!A:A,A120)&gt;0,COUNTIF('NO2'!A:A,A120)&gt;0,COUNTIF('O3'!A:A,A120)&gt;0,COUNTIF('PM10'!A:A,A120)&gt;0,COUNTIF('PM2.5'!A:A,A120)&gt;0,COUNTIF(Kendaraan!A:A,A120)&gt;0)</f>
        <v>1</v>
      </c>
    </row>
    <row r="121" spans="1:9" x14ac:dyDescent="0.45">
      <c r="A121" s="4">
        <v>45504</v>
      </c>
      <c r="B121" t="s">
        <v>4221</v>
      </c>
      <c r="C121" t="s">
        <v>4246</v>
      </c>
      <c r="D121" t="s">
        <v>4176</v>
      </c>
      <c r="E121" t="s">
        <v>4247</v>
      </c>
      <c r="F121" t="s">
        <v>4248</v>
      </c>
      <c r="G121" t="s">
        <v>113</v>
      </c>
      <c r="H121">
        <v>24</v>
      </c>
      <c r="I121" t="b">
        <f>AND(COUNTIF(CO!A:A,A121)&gt;0,COUNTIF('NO2'!A:A,A121)&gt;0,COUNTIF('O3'!A:A,A121)&gt;0,COUNTIF('PM10'!A:A,A121)&gt;0,COUNTIF('PM2.5'!A:A,A121)&gt;0,COUNTIF(Kendaraan!A:A,A121)&gt;0)</f>
        <v>1</v>
      </c>
    </row>
    <row r="122" spans="1:9" x14ac:dyDescent="0.45">
      <c r="A122" s="4">
        <v>45505</v>
      </c>
      <c r="B122" t="s">
        <v>4249</v>
      </c>
      <c r="C122" t="s">
        <v>4250</v>
      </c>
      <c r="D122" t="s">
        <v>4251</v>
      </c>
      <c r="E122" t="s">
        <v>4252</v>
      </c>
      <c r="F122" t="s">
        <v>4253</v>
      </c>
      <c r="G122" t="s">
        <v>1965</v>
      </c>
      <c r="H122">
        <v>24</v>
      </c>
      <c r="I122" t="b">
        <f>AND(COUNTIF(CO!A:A,A122)&gt;0,COUNTIF('NO2'!A:A,A122)&gt;0,COUNTIF('O3'!A:A,A122)&gt;0,COUNTIF('PM10'!A:A,A122)&gt;0,COUNTIF('PM2.5'!A:A,A122)&gt;0,COUNTIF(Kendaraan!A:A,A122)&gt;0)</f>
        <v>1</v>
      </c>
    </row>
    <row r="123" spans="1:9" x14ac:dyDescent="0.45">
      <c r="A123" s="4">
        <v>45506</v>
      </c>
      <c r="B123" t="s">
        <v>3985</v>
      </c>
      <c r="C123" t="s">
        <v>4254</v>
      </c>
      <c r="D123" t="s">
        <v>4255</v>
      </c>
      <c r="E123" t="s">
        <v>2119</v>
      </c>
      <c r="F123" t="s">
        <v>4256</v>
      </c>
      <c r="G123" s="1">
        <v>1748</v>
      </c>
      <c r="H123">
        <v>24</v>
      </c>
      <c r="I123" t="b">
        <f>AND(COUNTIF(CO!A:A,A123)&gt;0,COUNTIF('NO2'!A:A,A123)&gt;0,COUNTIF('O3'!A:A,A123)&gt;0,COUNTIF('PM10'!A:A,A123)&gt;0,COUNTIF('PM2.5'!A:A,A123)&gt;0,COUNTIF(Kendaraan!A:A,A123)&gt;0)</f>
        <v>1</v>
      </c>
    </row>
    <row r="124" spans="1:9" x14ac:dyDescent="0.45">
      <c r="A124" s="4">
        <v>45507</v>
      </c>
      <c r="B124" t="s">
        <v>4257</v>
      </c>
      <c r="C124" t="s">
        <v>371</v>
      </c>
      <c r="D124" t="s">
        <v>4258</v>
      </c>
      <c r="E124" t="s">
        <v>4259</v>
      </c>
      <c r="F124" t="s">
        <v>4260</v>
      </c>
      <c r="G124" t="s">
        <v>3688</v>
      </c>
      <c r="H124">
        <v>24</v>
      </c>
      <c r="I124" t="b">
        <f>AND(COUNTIF(CO!A:A,A124)&gt;0,COUNTIF('NO2'!A:A,A124)&gt;0,COUNTIF('O3'!A:A,A124)&gt;0,COUNTIF('PM10'!A:A,A124)&gt;0,COUNTIF('PM2.5'!A:A,A124)&gt;0,COUNTIF(Kendaraan!A:A,A124)&gt;0)</f>
        <v>1</v>
      </c>
    </row>
    <row r="125" spans="1:9" x14ac:dyDescent="0.45">
      <c r="A125" s="4">
        <v>45508</v>
      </c>
      <c r="B125" t="s">
        <v>4261</v>
      </c>
      <c r="C125" t="s">
        <v>375</v>
      </c>
      <c r="D125" t="s">
        <v>4254</v>
      </c>
      <c r="E125" t="s">
        <v>4262</v>
      </c>
      <c r="F125" t="s">
        <v>4263</v>
      </c>
      <c r="G125" s="1">
        <v>1629</v>
      </c>
      <c r="H125">
        <v>24</v>
      </c>
      <c r="I125" t="b">
        <f>AND(COUNTIF(CO!A:A,A125)&gt;0,COUNTIF('NO2'!A:A,A125)&gt;0,COUNTIF('O3'!A:A,A125)&gt;0,COUNTIF('PM10'!A:A,A125)&gt;0,COUNTIF('PM2.5'!A:A,A125)&gt;0,COUNTIF(Kendaraan!A:A,A125)&gt;0)</f>
        <v>1</v>
      </c>
    </row>
    <row r="126" spans="1:9" x14ac:dyDescent="0.45">
      <c r="A126" s="4">
        <v>45509</v>
      </c>
      <c r="B126" t="s">
        <v>4253</v>
      </c>
      <c r="C126" t="s">
        <v>4264</v>
      </c>
      <c r="D126" t="s">
        <v>4265</v>
      </c>
      <c r="E126" t="s">
        <v>4266</v>
      </c>
      <c r="F126" t="s">
        <v>4267</v>
      </c>
      <c r="G126" t="s">
        <v>672</v>
      </c>
      <c r="H126">
        <v>24</v>
      </c>
      <c r="I126" t="b">
        <f>AND(COUNTIF(CO!A:A,A126)&gt;0,COUNTIF('NO2'!A:A,A126)&gt;0,COUNTIF('O3'!A:A,A126)&gt;0,COUNTIF('PM10'!A:A,A126)&gt;0,COUNTIF('PM2.5'!A:A,A126)&gt;0,COUNTIF(Kendaraan!A:A,A126)&gt;0)</f>
        <v>1</v>
      </c>
    </row>
    <row r="127" spans="1:9" x14ac:dyDescent="0.45">
      <c r="A127" s="4">
        <v>45510</v>
      </c>
      <c r="B127" t="s">
        <v>4264</v>
      </c>
      <c r="C127" t="s">
        <v>382</v>
      </c>
      <c r="D127" t="s">
        <v>4268</v>
      </c>
      <c r="E127" t="s">
        <v>4269</v>
      </c>
      <c r="F127" t="s">
        <v>4270</v>
      </c>
      <c r="G127" t="s">
        <v>4271</v>
      </c>
      <c r="H127">
        <v>24</v>
      </c>
      <c r="I127" t="b">
        <f>AND(COUNTIF(CO!A:A,A127)&gt;0,COUNTIF('NO2'!A:A,A127)&gt;0,COUNTIF('O3'!A:A,A127)&gt;0,COUNTIF('PM10'!A:A,A127)&gt;0,COUNTIF('PM2.5'!A:A,A127)&gt;0,COUNTIF(Kendaraan!A:A,A127)&gt;0)</f>
        <v>1</v>
      </c>
    </row>
    <row r="128" spans="1:9" x14ac:dyDescent="0.45">
      <c r="A128" s="4">
        <v>45511</v>
      </c>
      <c r="B128" t="s">
        <v>4272</v>
      </c>
      <c r="C128" t="s">
        <v>323</v>
      </c>
      <c r="D128" t="s">
        <v>4273</v>
      </c>
      <c r="E128" t="s">
        <v>4274</v>
      </c>
      <c r="F128" t="s">
        <v>4275</v>
      </c>
      <c r="G128" s="1">
        <v>1201</v>
      </c>
      <c r="H128">
        <v>24</v>
      </c>
      <c r="I128" t="b">
        <f>AND(COUNTIF(CO!A:A,A128)&gt;0,COUNTIF('NO2'!A:A,A128)&gt;0,COUNTIF('O3'!A:A,A128)&gt;0,COUNTIF('PM10'!A:A,A128)&gt;0,COUNTIF('PM2.5'!A:A,A128)&gt;0,COUNTIF(Kendaraan!A:A,A128)&gt;0)</f>
        <v>1</v>
      </c>
    </row>
    <row r="129" spans="1:9" x14ac:dyDescent="0.45">
      <c r="A129" s="4">
        <v>45512</v>
      </c>
      <c r="B129" t="s">
        <v>4276</v>
      </c>
      <c r="C129" t="s">
        <v>4277</v>
      </c>
      <c r="D129" t="s">
        <v>4278</v>
      </c>
      <c r="E129" t="s">
        <v>4279</v>
      </c>
      <c r="F129" t="s">
        <v>4280</v>
      </c>
      <c r="G129" t="s">
        <v>4281</v>
      </c>
      <c r="H129">
        <v>24</v>
      </c>
      <c r="I129" t="b">
        <f>AND(COUNTIF(CO!A:A,A129)&gt;0,COUNTIF('NO2'!A:A,A129)&gt;0,COUNTIF('O3'!A:A,A129)&gt;0,COUNTIF('PM10'!A:A,A129)&gt;0,COUNTIF('PM2.5'!A:A,A129)&gt;0,COUNTIF(Kendaraan!A:A,A129)&gt;0)</f>
        <v>1</v>
      </c>
    </row>
    <row r="130" spans="1:9" x14ac:dyDescent="0.45">
      <c r="A130" s="4">
        <v>45513</v>
      </c>
      <c r="B130" t="s">
        <v>363</v>
      </c>
      <c r="C130" t="s">
        <v>4282</v>
      </c>
      <c r="D130" t="s">
        <v>4283</v>
      </c>
      <c r="E130" t="s">
        <v>3999</v>
      </c>
      <c r="F130" t="s">
        <v>4284</v>
      </c>
      <c r="G130" s="1">
        <v>22998</v>
      </c>
      <c r="H130">
        <v>24</v>
      </c>
      <c r="I130" t="b">
        <f>AND(COUNTIF(CO!A:A,A130)&gt;0,COUNTIF('NO2'!A:A,A130)&gt;0,COUNTIF('O3'!A:A,A130)&gt;0,COUNTIF('PM10'!A:A,A130)&gt;0,COUNTIF('PM2.5'!A:A,A130)&gt;0,COUNTIF(Kendaraan!A:A,A130)&gt;0)</f>
        <v>1</v>
      </c>
    </row>
    <row r="131" spans="1:9" x14ac:dyDescent="0.45">
      <c r="A131" s="4">
        <v>45514</v>
      </c>
      <c r="B131" t="s">
        <v>241</v>
      </c>
      <c r="C131" t="s">
        <v>2084</v>
      </c>
      <c r="D131" t="s">
        <v>3079</v>
      </c>
      <c r="E131" t="s">
        <v>241</v>
      </c>
      <c r="F131" t="s">
        <v>2084</v>
      </c>
      <c r="G131" t="s">
        <v>119</v>
      </c>
      <c r="H131">
        <v>2</v>
      </c>
      <c r="I131" t="b">
        <f>AND(COUNTIF(CO!A:A,A131)&gt;0,COUNTIF('NO2'!A:A,A131)&gt;0,COUNTIF('O3'!A:A,A131)&gt;0,COUNTIF('PM10'!A:A,A131)&gt;0,COUNTIF('PM2.5'!A:A,A131)&gt;0,COUNTIF(Kendaraan!A:A,A131)&gt;0)</f>
        <v>1</v>
      </c>
    </row>
    <row r="132" spans="1:9" x14ac:dyDescent="0.45">
      <c r="A132" s="4">
        <v>45516</v>
      </c>
      <c r="B132" t="s">
        <v>3140</v>
      </c>
      <c r="C132" t="s">
        <v>4285</v>
      </c>
      <c r="D132" t="s">
        <v>850</v>
      </c>
      <c r="E132">
        <v>16</v>
      </c>
      <c r="F132" t="s">
        <v>4286</v>
      </c>
      <c r="G132" s="1">
        <v>14701</v>
      </c>
      <c r="H132">
        <v>8</v>
      </c>
      <c r="I132" t="b">
        <f>AND(COUNTIF(CO!A:A,A132)&gt;0,COUNTIF('NO2'!A:A,A132)&gt;0,COUNTIF('O3'!A:A,A132)&gt;0,COUNTIF('PM10'!A:A,A132)&gt;0,COUNTIF('PM2.5'!A:A,A132)&gt;0,COUNTIF(Kendaraan!A:A,A132)&gt;0)</f>
        <v>1</v>
      </c>
    </row>
    <row r="133" spans="1:9" x14ac:dyDescent="0.45">
      <c r="A133" s="4">
        <v>45517</v>
      </c>
      <c r="B133" t="s">
        <v>4284</v>
      </c>
      <c r="C133" t="s">
        <v>4287</v>
      </c>
      <c r="D133" t="s">
        <v>2092</v>
      </c>
      <c r="E133" t="s">
        <v>4284</v>
      </c>
      <c r="F133" t="s">
        <v>4288</v>
      </c>
      <c r="G133" t="s">
        <v>1484</v>
      </c>
      <c r="H133">
        <v>5</v>
      </c>
      <c r="I133" t="b">
        <f>AND(COUNTIF(CO!A:A,A133)&gt;0,COUNTIF('NO2'!A:A,A133)&gt;0,COUNTIF('O3'!A:A,A133)&gt;0,COUNTIF('PM10'!A:A,A133)&gt;0,COUNTIF('PM2.5'!A:A,A133)&gt;0,COUNTIF(Kendaraan!A:A,A133)&gt;0)</f>
        <v>1</v>
      </c>
    </row>
    <row r="134" spans="1:9" x14ac:dyDescent="0.45">
      <c r="A134" s="4">
        <v>45518</v>
      </c>
      <c r="B134" t="s">
        <v>4289</v>
      </c>
      <c r="C134" t="s">
        <v>4290</v>
      </c>
      <c r="D134" t="s">
        <v>4291</v>
      </c>
      <c r="E134" t="s">
        <v>3971</v>
      </c>
      <c r="F134" t="s">
        <v>2098</v>
      </c>
      <c r="G134" t="s">
        <v>4292</v>
      </c>
      <c r="H134">
        <v>24</v>
      </c>
      <c r="I134" t="b">
        <f>AND(COUNTIF(CO!A:A,A134)&gt;0,COUNTIF('NO2'!A:A,A134)&gt;0,COUNTIF('O3'!A:A,A134)&gt;0,COUNTIF('PM10'!A:A,A134)&gt;0,COUNTIF('PM2.5'!A:A,A134)&gt;0,COUNTIF(Kendaraan!A:A,A134)&gt;0)</f>
        <v>1</v>
      </c>
    </row>
    <row r="135" spans="1:9" x14ac:dyDescent="0.45">
      <c r="A135" s="4">
        <v>45519</v>
      </c>
      <c r="B135" t="s">
        <v>4081</v>
      </c>
      <c r="C135" t="s">
        <v>4083</v>
      </c>
      <c r="D135" t="s">
        <v>4293</v>
      </c>
      <c r="E135" t="s">
        <v>4294</v>
      </c>
      <c r="F135" t="s">
        <v>4098</v>
      </c>
      <c r="G135" t="s">
        <v>1104</v>
      </c>
      <c r="H135">
        <v>15</v>
      </c>
      <c r="I135" t="b">
        <f>AND(COUNTIF(CO!A:A,A135)&gt;0,COUNTIF('NO2'!A:A,A135)&gt;0,COUNTIF('O3'!A:A,A135)&gt;0,COUNTIF('PM10'!A:A,A135)&gt;0,COUNTIF('PM2.5'!A:A,A135)&gt;0,COUNTIF(Kendaraan!A:A,A135)&gt;0)</f>
        <v>1</v>
      </c>
    </row>
    <row r="136" spans="1:9" x14ac:dyDescent="0.45">
      <c r="A136" s="4">
        <v>45521</v>
      </c>
      <c r="B136" t="s">
        <v>4295</v>
      </c>
      <c r="C136">
        <v>124</v>
      </c>
      <c r="D136">
        <v>124</v>
      </c>
      <c r="E136" t="s">
        <v>4296</v>
      </c>
      <c r="F136">
        <v>124</v>
      </c>
      <c r="G136" t="s">
        <v>258</v>
      </c>
      <c r="H136">
        <v>24</v>
      </c>
      <c r="I136" t="b">
        <f>AND(COUNTIF(CO!A:A,A136)&gt;0,COUNTIF('NO2'!A:A,A136)&gt;0,COUNTIF('O3'!A:A,A136)&gt;0,COUNTIF('PM10'!A:A,A136)&gt;0,COUNTIF('PM2.5'!A:A,A136)&gt;0,COUNTIF(Kendaraan!A:A,A136)&gt;0)</f>
        <v>1</v>
      </c>
    </row>
    <row r="137" spans="1:9" x14ac:dyDescent="0.45">
      <c r="A137" s="4">
        <v>45522</v>
      </c>
      <c r="B137">
        <v>124</v>
      </c>
      <c r="C137">
        <v>124</v>
      </c>
      <c r="D137">
        <v>124</v>
      </c>
      <c r="E137">
        <v>124</v>
      </c>
      <c r="F137">
        <v>124</v>
      </c>
      <c r="G137">
        <v>0</v>
      </c>
      <c r="H137">
        <v>24</v>
      </c>
      <c r="I137" t="b">
        <f>AND(COUNTIF(CO!A:A,A137)&gt;0,COUNTIF('NO2'!A:A,A137)&gt;0,COUNTIF('O3'!A:A,A137)&gt;0,COUNTIF('PM10'!A:A,A137)&gt;0,COUNTIF('PM2.5'!A:A,A137)&gt;0,COUNTIF(Kendaraan!A:A,A137)&gt;0)</f>
        <v>1</v>
      </c>
    </row>
    <row r="138" spans="1:9" x14ac:dyDescent="0.45">
      <c r="A138" s="4">
        <v>45523</v>
      </c>
      <c r="B138">
        <v>124</v>
      </c>
      <c r="C138">
        <v>124</v>
      </c>
      <c r="D138">
        <v>124</v>
      </c>
      <c r="E138">
        <v>124</v>
      </c>
      <c r="F138">
        <v>124</v>
      </c>
      <c r="G138">
        <v>0</v>
      </c>
      <c r="H138">
        <v>24</v>
      </c>
      <c r="I138" t="b">
        <f>AND(COUNTIF(CO!A:A,A138)&gt;0,COUNTIF('NO2'!A:A,A138)&gt;0,COUNTIF('O3'!A:A,A138)&gt;0,COUNTIF('PM10'!A:A,A138)&gt;0,COUNTIF('PM2.5'!A:A,A138)&gt;0,COUNTIF(Kendaraan!A:A,A138)&gt;0)</f>
        <v>1</v>
      </c>
    </row>
    <row r="139" spans="1:9" x14ac:dyDescent="0.45">
      <c r="A139" s="4">
        <v>45524</v>
      </c>
      <c r="B139">
        <v>124</v>
      </c>
      <c r="C139">
        <v>124</v>
      </c>
      <c r="D139">
        <v>124</v>
      </c>
      <c r="E139">
        <v>124</v>
      </c>
      <c r="F139">
        <v>124</v>
      </c>
      <c r="G139">
        <v>0</v>
      </c>
      <c r="H139">
        <v>22</v>
      </c>
      <c r="I139" t="b">
        <f>AND(COUNTIF(CO!A:A,A139)&gt;0,COUNTIF('NO2'!A:A,A139)&gt;0,COUNTIF('O3'!A:A,A139)&gt;0,COUNTIF('PM10'!A:A,A139)&gt;0,COUNTIF('PM2.5'!A:A,A139)&gt;0,COUNTIF(Kendaraan!A:A,A139)&gt;0)</f>
        <v>1</v>
      </c>
    </row>
    <row r="140" spans="1:9" x14ac:dyDescent="0.45">
      <c r="A140" s="4">
        <v>45525</v>
      </c>
      <c r="B140">
        <v>124</v>
      </c>
      <c r="C140">
        <v>124</v>
      </c>
      <c r="D140">
        <v>124</v>
      </c>
      <c r="E140">
        <v>124</v>
      </c>
      <c r="F140">
        <v>124</v>
      </c>
      <c r="G140">
        <v>0</v>
      </c>
      <c r="H140">
        <v>24</v>
      </c>
      <c r="I140" t="b">
        <f>AND(COUNTIF(CO!A:A,A140)&gt;0,COUNTIF('NO2'!A:A,A140)&gt;0,COUNTIF('O3'!A:A,A140)&gt;0,COUNTIF('PM10'!A:A,A140)&gt;0,COUNTIF('PM2.5'!A:A,A140)&gt;0,COUNTIF(Kendaraan!A:A,A140)&gt;0)</f>
        <v>1</v>
      </c>
    </row>
    <row r="141" spans="1:9" x14ac:dyDescent="0.45">
      <c r="A141" s="4">
        <v>45526</v>
      </c>
      <c r="B141">
        <v>124</v>
      </c>
      <c r="C141">
        <v>124</v>
      </c>
      <c r="D141">
        <v>124</v>
      </c>
      <c r="E141">
        <v>124</v>
      </c>
      <c r="F141">
        <v>124</v>
      </c>
      <c r="G141">
        <v>0</v>
      </c>
      <c r="H141">
        <v>24</v>
      </c>
      <c r="I141" t="b">
        <f>AND(COUNTIF(CO!A:A,A141)&gt;0,COUNTIF('NO2'!A:A,A141)&gt;0,COUNTIF('O3'!A:A,A141)&gt;0,COUNTIF('PM10'!A:A,A141)&gt;0,COUNTIF('PM2.5'!A:A,A141)&gt;0,COUNTIF(Kendaraan!A:A,A141)&gt;0)</f>
        <v>1</v>
      </c>
    </row>
    <row r="142" spans="1:9" x14ac:dyDescent="0.45">
      <c r="A142" s="4">
        <v>45527</v>
      </c>
      <c r="B142" t="s">
        <v>4297</v>
      </c>
      <c r="C142">
        <v>124</v>
      </c>
      <c r="D142" t="s">
        <v>981</v>
      </c>
      <c r="E142" t="s">
        <v>4298</v>
      </c>
      <c r="F142" t="s">
        <v>4299</v>
      </c>
      <c r="G142" s="1">
        <v>20832</v>
      </c>
      <c r="H142">
        <v>24</v>
      </c>
      <c r="I142" t="b">
        <f>AND(COUNTIF(CO!A:A,A142)&gt;0,COUNTIF('NO2'!A:A,A142)&gt;0,COUNTIF('O3'!A:A,A142)&gt;0,COUNTIF('PM10'!A:A,A142)&gt;0,COUNTIF('PM2.5'!A:A,A142)&gt;0,COUNTIF(Kendaraan!A:A,A142)&gt;0)</f>
        <v>1</v>
      </c>
    </row>
    <row r="143" spans="1:9" x14ac:dyDescent="0.45">
      <c r="A143" s="4">
        <v>45528</v>
      </c>
      <c r="B143" t="s">
        <v>4300</v>
      </c>
      <c r="C143" t="s">
        <v>4301</v>
      </c>
      <c r="D143" t="s">
        <v>4302</v>
      </c>
      <c r="E143" t="s">
        <v>2539</v>
      </c>
      <c r="F143" t="s">
        <v>4303</v>
      </c>
      <c r="G143" s="1">
        <v>2642</v>
      </c>
      <c r="H143">
        <v>24</v>
      </c>
      <c r="I143" t="b">
        <f>AND(COUNTIF(CO!A:A,A143)&gt;0,COUNTIF('NO2'!A:A,A143)&gt;0,COUNTIF('O3'!A:A,A143)&gt;0,COUNTIF('PM10'!A:A,A143)&gt;0,COUNTIF('PM2.5'!A:A,A143)&gt;0,COUNTIF(Kendaraan!A:A,A143)&gt;0)</f>
        <v>1</v>
      </c>
    </row>
    <row r="144" spans="1:9" x14ac:dyDescent="0.45">
      <c r="A144" s="4">
        <v>45529</v>
      </c>
      <c r="B144" t="s">
        <v>4304</v>
      </c>
      <c r="C144" t="s">
        <v>4305</v>
      </c>
      <c r="D144" t="s">
        <v>460</v>
      </c>
      <c r="E144" t="s">
        <v>4306</v>
      </c>
      <c r="F144" t="s">
        <v>4307</v>
      </c>
      <c r="G144" s="1">
        <v>3791</v>
      </c>
      <c r="H144">
        <v>24</v>
      </c>
      <c r="I144" t="b">
        <f>AND(COUNTIF(CO!A:A,A144)&gt;0,COUNTIF('NO2'!A:A,A144)&gt;0,COUNTIF('O3'!A:A,A144)&gt;0,COUNTIF('PM10'!A:A,A144)&gt;0,COUNTIF('PM2.5'!A:A,A144)&gt;0,COUNTIF(Kendaraan!A:A,A144)&gt;0)</f>
        <v>1</v>
      </c>
    </row>
    <row r="145" spans="1:9" x14ac:dyDescent="0.45">
      <c r="A145" s="4">
        <v>45530</v>
      </c>
      <c r="B145" t="s">
        <v>4308</v>
      </c>
      <c r="C145" t="s">
        <v>4309</v>
      </c>
      <c r="D145" t="s">
        <v>4310</v>
      </c>
      <c r="E145" t="s">
        <v>2118</v>
      </c>
      <c r="F145" t="s">
        <v>4311</v>
      </c>
      <c r="G145" t="s">
        <v>1283</v>
      </c>
      <c r="H145">
        <v>24</v>
      </c>
      <c r="I145" t="b">
        <f>AND(COUNTIF(CO!A:A,A145)&gt;0,COUNTIF('NO2'!A:A,A145)&gt;0,COUNTIF('O3'!A:A,A145)&gt;0,COUNTIF('PM10'!A:A,A145)&gt;0,COUNTIF('PM2.5'!A:A,A145)&gt;0,COUNTIF(Kendaraan!A:A,A145)&gt;0)</f>
        <v>1</v>
      </c>
    </row>
    <row r="146" spans="1:9" x14ac:dyDescent="0.45">
      <c r="A146" s="4">
        <v>45531</v>
      </c>
      <c r="B146" t="s">
        <v>448</v>
      </c>
      <c r="C146" t="s">
        <v>4312</v>
      </c>
      <c r="D146" t="s">
        <v>4313</v>
      </c>
      <c r="E146" t="s">
        <v>4314</v>
      </c>
      <c r="F146" t="s">
        <v>4315</v>
      </c>
      <c r="G146" s="1">
        <v>2467</v>
      </c>
      <c r="H146">
        <v>24</v>
      </c>
      <c r="I146" t="b">
        <f>AND(COUNTIF(CO!A:A,A146)&gt;0,COUNTIF('NO2'!A:A,A146)&gt;0,COUNTIF('O3'!A:A,A146)&gt;0,COUNTIF('PM10'!A:A,A146)&gt;0,COUNTIF('PM2.5'!A:A,A146)&gt;0,COUNTIF(Kendaraan!A:A,A146)&gt;0)</f>
        <v>1</v>
      </c>
    </row>
    <row r="147" spans="1:9" x14ac:dyDescent="0.45">
      <c r="A147" s="4">
        <v>45532</v>
      </c>
      <c r="B147" t="s">
        <v>4316</v>
      </c>
      <c r="C147" t="s">
        <v>4317</v>
      </c>
      <c r="D147" t="s">
        <v>4318</v>
      </c>
      <c r="E147" t="s">
        <v>4319</v>
      </c>
      <c r="F147" t="s">
        <v>311</v>
      </c>
      <c r="G147" t="s">
        <v>4320</v>
      </c>
      <c r="H147">
        <v>24</v>
      </c>
      <c r="I147" t="b">
        <f>AND(COUNTIF(CO!A:A,A147)&gt;0,COUNTIF('NO2'!A:A,A147)&gt;0,COUNTIF('O3'!A:A,A147)&gt;0,COUNTIF('PM10'!A:A,A147)&gt;0,COUNTIF('PM2.5'!A:A,A147)&gt;0,COUNTIF(Kendaraan!A:A,A147)&gt;0)</f>
        <v>1</v>
      </c>
    </row>
    <row r="148" spans="1:9" x14ac:dyDescent="0.45">
      <c r="A148" s="4">
        <v>45533</v>
      </c>
      <c r="B148" t="s">
        <v>374</v>
      </c>
      <c r="C148" t="s">
        <v>314</v>
      </c>
      <c r="D148" t="s">
        <v>4321</v>
      </c>
      <c r="E148" t="s">
        <v>4322</v>
      </c>
      <c r="F148" t="s">
        <v>312</v>
      </c>
      <c r="G148" t="s">
        <v>3494</v>
      </c>
      <c r="H148">
        <v>24</v>
      </c>
      <c r="I148" t="b">
        <f>AND(COUNTIF(CO!A:A,A148)&gt;0,COUNTIF('NO2'!A:A,A148)&gt;0,COUNTIF('O3'!A:A,A148)&gt;0,COUNTIF('PM10'!A:A,A148)&gt;0,COUNTIF('PM2.5'!A:A,A148)&gt;0,COUNTIF(Kendaraan!A:A,A148)&gt;0)</f>
        <v>1</v>
      </c>
    </row>
    <row r="149" spans="1:9" x14ac:dyDescent="0.45">
      <c r="A149" s="4">
        <v>45534</v>
      </c>
      <c r="B149" t="s">
        <v>4323</v>
      </c>
      <c r="C149" t="s">
        <v>4324</v>
      </c>
      <c r="D149" t="s">
        <v>4325</v>
      </c>
      <c r="E149" t="s">
        <v>4326</v>
      </c>
      <c r="F149" t="s">
        <v>4327</v>
      </c>
      <c r="G149" s="1">
        <v>1684</v>
      </c>
      <c r="H149">
        <v>24</v>
      </c>
      <c r="I149" t="b">
        <f>AND(COUNTIF(CO!A:A,A149)&gt;0,COUNTIF('NO2'!A:A,A149)&gt;0,COUNTIF('O3'!A:A,A149)&gt;0,COUNTIF('PM10'!A:A,A149)&gt;0,COUNTIF('PM2.5'!A:A,A149)&gt;0,COUNTIF(Kendaraan!A:A,A149)&gt;0)</f>
        <v>1</v>
      </c>
    </row>
    <row r="150" spans="1:9" x14ac:dyDescent="0.45">
      <c r="A150" s="4">
        <v>45535</v>
      </c>
      <c r="B150" t="s">
        <v>4328</v>
      </c>
      <c r="C150">
        <v>108</v>
      </c>
      <c r="D150">
        <v>108</v>
      </c>
      <c r="E150" t="s">
        <v>4329</v>
      </c>
      <c r="F150">
        <v>108</v>
      </c>
      <c r="G150" s="1">
        <v>5843</v>
      </c>
      <c r="H150">
        <v>24</v>
      </c>
      <c r="I150" t="b">
        <f>AND(COUNTIF(CO!A:A,A150)&gt;0,COUNTIF('NO2'!A:A,A150)&gt;0,COUNTIF('O3'!A:A,A150)&gt;0,COUNTIF('PM10'!A:A,A150)&gt;0,COUNTIF('PM2.5'!A:A,A150)&gt;0,COUNTIF(Kendaraan!A:A,A150)&gt;0)</f>
        <v>1</v>
      </c>
    </row>
    <row r="151" spans="1:9" x14ac:dyDescent="0.45">
      <c r="A151" s="4">
        <v>45536</v>
      </c>
      <c r="B151">
        <v>108</v>
      </c>
      <c r="C151">
        <v>108</v>
      </c>
      <c r="D151">
        <v>108</v>
      </c>
      <c r="E151">
        <v>108</v>
      </c>
      <c r="F151">
        <v>108</v>
      </c>
      <c r="G151">
        <v>0</v>
      </c>
      <c r="H151">
        <v>24</v>
      </c>
      <c r="I151" t="b">
        <f>AND(COUNTIF(CO!A:A,A151)&gt;0,COUNTIF('NO2'!A:A,A151)&gt;0,COUNTIF('O3'!A:A,A151)&gt;0,COUNTIF('PM10'!A:A,A151)&gt;0,COUNTIF('PM2.5'!A:A,A151)&gt;0,COUNTIF(Kendaraan!A:A,A151)&gt;0)</f>
        <v>1</v>
      </c>
    </row>
    <row r="152" spans="1:9" x14ac:dyDescent="0.45">
      <c r="A152" s="4">
        <v>45537</v>
      </c>
      <c r="B152">
        <v>108</v>
      </c>
      <c r="C152" t="s">
        <v>4330</v>
      </c>
      <c r="D152" t="s">
        <v>4331</v>
      </c>
      <c r="E152">
        <v>108</v>
      </c>
      <c r="F152" t="s">
        <v>4332</v>
      </c>
      <c r="G152" s="1">
        <v>5605</v>
      </c>
      <c r="H152">
        <v>24</v>
      </c>
      <c r="I152" t="b">
        <f>AND(COUNTIF(CO!A:A,A152)&gt;0,COUNTIF('NO2'!A:A,A152)&gt;0,COUNTIF('O3'!A:A,A152)&gt;0,COUNTIF('PM10'!A:A,A152)&gt;0,COUNTIF('PM2.5'!A:A,A152)&gt;0,COUNTIF(Kendaraan!A:A,A152)&gt;0)</f>
        <v>1</v>
      </c>
    </row>
    <row r="153" spans="1:9" x14ac:dyDescent="0.45">
      <c r="A153" s="4">
        <v>45538</v>
      </c>
      <c r="B153" t="s">
        <v>4155</v>
      </c>
      <c r="C153" t="s">
        <v>4333</v>
      </c>
      <c r="D153" t="s">
        <v>4334</v>
      </c>
      <c r="E153" t="s">
        <v>4128</v>
      </c>
      <c r="F153" t="s">
        <v>4335</v>
      </c>
      <c r="G153" t="s">
        <v>4336</v>
      </c>
      <c r="H153">
        <v>24</v>
      </c>
      <c r="I153" t="b">
        <f>AND(COUNTIF(CO!A:A,A153)&gt;0,COUNTIF('NO2'!A:A,A153)&gt;0,COUNTIF('O3'!A:A,A153)&gt;0,COUNTIF('PM10'!A:A,A153)&gt;0,COUNTIF('PM2.5'!A:A,A153)&gt;0,COUNTIF(Kendaraan!A:A,A153)&gt;0)</f>
        <v>1</v>
      </c>
    </row>
    <row r="154" spans="1:9" x14ac:dyDescent="0.45">
      <c r="A154" s="4">
        <v>45539</v>
      </c>
      <c r="B154" t="s">
        <v>4337</v>
      </c>
      <c r="C154" t="s">
        <v>4338</v>
      </c>
      <c r="D154" t="s">
        <v>4339</v>
      </c>
      <c r="E154" t="s">
        <v>4340</v>
      </c>
      <c r="F154" t="s">
        <v>4341</v>
      </c>
      <c r="G154" s="1">
        <v>1196</v>
      </c>
      <c r="H154">
        <v>24</v>
      </c>
      <c r="I154" t="b">
        <f>AND(COUNTIF(CO!A:A,A154)&gt;0,COUNTIF('NO2'!A:A,A154)&gt;0,COUNTIF('O3'!A:A,A154)&gt;0,COUNTIF('PM10'!A:A,A154)&gt;0,COUNTIF('PM2.5'!A:A,A154)&gt;0,COUNTIF(Kendaraan!A:A,A154)&gt;0)</f>
        <v>1</v>
      </c>
    </row>
    <row r="155" spans="1:9" x14ac:dyDescent="0.45">
      <c r="A155" s="4">
        <v>45540</v>
      </c>
      <c r="B155" t="s">
        <v>4342</v>
      </c>
      <c r="C155" t="s">
        <v>4338</v>
      </c>
      <c r="D155" t="s">
        <v>4343</v>
      </c>
      <c r="E155" t="s">
        <v>4344</v>
      </c>
      <c r="F155" t="s">
        <v>3022</v>
      </c>
      <c r="G155" t="s">
        <v>58</v>
      </c>
      <c r="H155">
        <v>24</v>
      </c>
      <c r="I155" t="b">
        <f>AND(COUNTIF(CO!A:A,A155)&gt;0,COUNTIF('NO2'!A:A,A155)&gt;0,COUNTIF('O3'!A:A,A155)&gt;0,COUNTIF('PM10'!A:A,A155)&gt;0,COUNTIF('PM2.5'!A:A,A155)&gt;0,COUNTIF(Kendaraan!A:A,A155)&gt;0)</f>
        <v>1</v>
      </c>
    </row>
    <row r="156" spans="1:9" x14ac:dyDescent="0.45">
      <c r="A156" s="4">
        <v>45541</v>
      </c>
      <c r="B156" t="s">
        <v>4345</v>
      </c>
      <c r="C156" t="s">
        <v>4346</v>
      </c>
      <c r="D156" t="s">
        <v>4347</v>
      </c>
      <c r="E156" t="s">
        <v>4348</v>
      </c>
      <c r="F156" t="s">
        <v>4349</v>
      </c>
      <c r="G156" t="s">
        <v>1418</v>
      </c>
      <c r="H156">
        <v>24</v>
      </c>
      <c r="I156" t="b">
        <f>AND(COUNTIF(CO!A:A,A156)&gt;0,COUNTIF('NO2'!A:A,A156)&gt;0,COUNTIF('O3'!A:A,A156)&gt;0,COUNTIF('PM10'!A:A,A156)&gt;0,COUNTIF('PM2.5'!A:A,A156)&gt;0,COUNTIF(Kendaraan!A:A,A156)&gt;0)</f>
        <v>1</v>
      </c>
    </row>
    <row r="157" spans="1:9" x14ac:dyDescent="0.45">
      <c r="A157" s="4">
        <v>45542</v>
      </c>
      <c r="B157" t="s">
        <v>4350</v>
      </c>
      <c r="C157" t="s">
        <v>4351</v>
      </c>
      <c r="D157" t="s">
        <v>4352</v>
      </c>
      <c r="E157" t="s">
        <v>4353</v>
      </c>
      <c r="F157" t="s">
        <v>4354</v>
      </c>
      <c r="G157" t="s">
        <v>4355</v>
      </c>
      <c r="H157">
        <v>22</v>
      </c>
      <c r="I157" t="b">
        <f>AND(COUNTIF(CO!A:A,A157)&gt;0,COUNTIF('NO2'!A:A,A157)&gt;0,COUNTIF('O3'!A:A,A157)&gt;0,COUNTIF('PM10'!A:A,A157)&gt;0,COUNTIF('PM2.5'!A:A,A157)&gt;0,COUNTIF(Kendaraan!A:A,A157)&gt;0)</f>
        <v>1</v>
      </c>
    </row>
    <row r="158" spans="1:9" x14ac:dyDescent="0.45">
      <c r="A158" s="4">
        <v>45543</v>
      </c>
      <c r="B158">
        <v>127</v>
      </c>
      <c r="C158" t="s">
        <v>2469</v>
      </c>
      <c r="D158" t="s">
        <v>4356</v>
      </c>
      <c r="E158" t="s">
        <v>4357</v>
      </c>
      <c r="F158" t="s">
        <v>4358</v>
      </c>
      <c r="G158" s="1">
        <v>1847</v>
      </c>
      <c r="H158">
        <v>24</v>
      </c>
      <c r="I158" t="b">
        <f>AND(COUNTIF(CO!A:A,A158)&gt;0,COUNTIF('NO2'!A:A,A158)&gt;0,COUNTIF('O3'!A:A,A158)&gt;0,COUNTIF('PM10'!A:A,A158)&gt;0,COUNTIF('PM2.5'!A:A,A158)&gt;0,COUNTIF(Kendaraan!A:A,A158)&gt;0)</f>
        <v>1</v>
      </c>
    </row>
    <row r="159" spans="1:9" x14ac:dyDescent="0.45">
      <c r="A159" s="4">
        <v>45544</v>
      </c>
      <c r="B159" t="s">
        <v>4359</v>
      </c>
      <c r="C159" t="s">
        <v>2448</v>
      </c>
      <c r="D159" t="s">
        <v>2465</v>
      </c>
      <c r="E159" t="s">
        <v>4360</v>
      </c>
      <c r="F159" t="s">
        <v>4361</v>
      </c>
      <c r="G159" s="1">
        <v>2194</v>
      </c>
      <c r="H159">
        <v>24</v>
      </c>
      <c r="I159" t="b">
        <f>AND(COUNTIF(CO!A:A,A159)&gt;0,COUNTIF('NO2'!A:A,A159)&gt;0,COUNTIF('O3'!A:A,A159)&gt;0,COUNTIF('PM10'!A:A,A159)&gt;0,COUNTIF('PM2.5'!A:A,A159)&gt;0,COUNTIF(Kendaraan!A:A,A159)&gt;0)</f>
        <v>1</v>
      </c>
    </row>
    <row r="160" spans="1:9" x14ac:dyDescent="0.45">
      <c r="A160" s="4">
        <v>45545</v>
      </c>
      <c r="B160" t="s">
        <v>4362</v>
      </c>
      <c r="C160" t="s">
        <v>4363</v>
      </c>
      <c r="D160" t="s">
        <v>4364</v>
      </c>
      <c r="E160" t="s">
        <v>4365</v>
      </c>
      <c r="F160" t="s">
        <v>4366</v>
      </c>
      <c r="G160" s="1">
        <v>1554</v>
      </c>
      <c r="H160">
        <v>24</v>
      </c>
      <c r="I160" t="b">
        <f>AND(COUNTIF(CO!A:A,A160)&gt;0,COUNTIF('NO2'!A:A,A160)&gt;0,COUNTIF('O3'!A:A,A160)&gt;0,COUNTIF('PM10'!A:A,A160)&gt;0,COUNTIF('PM2.5'!A:A,A160)&gt;0,COUNTIF(Kendaraan!A:A,A160)&gt;0)</f>
        <v>1</v>
      </c>
    </row>
    <row r="161" spans="1:9" x14ac:dyDescent="0.45">
      <c r="A161" s="4">
        <v>45546</v>
      </c>
      <c r="B161" t="s">
        <v>4367</v>
      </c>
      <c r="C161" t="s">
        <v>4368</v>
      </c>
      <c r="D161" t="s">
        <v>4369</v>
      </c>
      <c r="E161" t="s">
        <v>4370</v>
      </c>
      <c r="F161" t="s">
        <v>4371</v>
      </c>
      <c r="G161" t="s">
        <v>3238</v>
      </c>
      <c r="H161">
        <v>24</v>
      </c>
      <c r="I161" t="b">
        <f>AND(COUNTIF(CO!A:A,A161)&gt;0,COUNTIF('NO2'!A:A,A161)&gt;0,COUNTIF('O3'!A:A,A161)&gt;0,COUNTIF('PM10'!A:A,A161)&gt;0,COUNTIF('PM2.5'!A:A,A161)&gt;0,COUNTIF(Kendaraan!A:A,A161)&gt;0)</f>
        <v>1</v>
      </c>
    </row>
    <row r="162" spans="1:9" x14ac:dyDescent="0.45">
      <c r="A162" s="4">
        <v>45547</v>
      </c>
      <c r="B162" t="s">
        <v>4372</v>
      </c>
      <c r="C162" t="s">
        <v>4373</v>
      </c>
      <c r="D162" t="s">
        <v>4374</v>
      </c>
      <c r="E162" t="s">
        <v>4375</v>
      </c>
      <c r="F162" t="s">
        <v>2477</v>
      </c>
      <c r="G162" t="s">
        <v>4376</v>
      </c>
      <c r="H162">
        <v>24</v>
      </c>
      <c r="I162" t="b">
        <f>AND(COUNTIF(CO!A:A,A162)&gt;0,COUNTIF('NO2'!A:A,A162)&gt;0,COUNTIF('O3'!A:A,A162)&gt;0,COUNTIF('PM10'!A:A,A162)&gt;0,COUNTIF('PM2.5'!A:A,A162)&gt;0,COUNTIF(Kendaraan!A:A,A162)&gt;0)</f>
        <v>1</v>
      </c>
    </row>
    <row r="163" spans="1:9" x14ac:dyDescent="0.45">
      <c r="A163" s="4">
        <v>45548</v>
      </c>
      <c r="B163" t="s">
        <v>4377</v>
      </c>
      <c r="C163" t="s">
        <v>4378</v>
      </c>
      <c r="D163" t="s">
        <v>4379</v>
      </c>
      <c r="E163" t="s">
        <v>4380</v>
      </c>
      <c r="F163" t="s">
        <v>4381</v>
      </c>
      <c r="G163" t="s">
        <v>2752</v>
      </c>
      <c r="H163">
        <v>24</v>
      </c>
      <c r="I163" t="b">
        <f>AND(COUNTIF(CO!A:A,A163)&gt;0,COUNTIF('NO2'!A:A,A163)&gt;0,COUNTIF('O3'!A:A,A163)&gt;0,COUNTIF('PM10'!A:A,A163)&gt;0,COUNTIF('PM2.5'!A:A,A163)&gt;0,COUNTIF(Kendaraan!A:A,A163)&gt;0)</f>
        <v>1</v>
      </c>
    </row>
    <row r="164" spans="1:9" x14ac:dyDescent="0.45">
      <c r="A164" s="4">
        <v>45549</v>
      </c>
      <c r="B164" t="s">
        <v>4382</v>
      </c>
      <c r="C164" t="s">
        <v>4383</v>
      </c>
      <c r="D164" t="s">
        <v>4384</v>
      </c>
      <c r="E164" t="s">
        <v>4385</v>
      </c>
      <c r="F164" t="s">
        <v>4386</v>
      </c>
      <c r="G164" s="1">
        <v>1334</v>
      </c>
      <c r="H164">
        <v>24</v>
      </c>
      <c r="I164" t="b">
        <f>AND(COUNTIF(CO!A:A,A164)&gt;0,COUNTIF('NO2'!A:A,A164)&gt;0,COUNTIF('O3'!A:A,A164)&gt;0,COUNTIF('PM10'!A:A,A164)&gt;0,COUNTIF('PM2.5'!A:A,A164)&gt;0,COUNTIF(Kendaraan!A:A,A164)&gt;0)</f>
        <v>1</v>
      </c>
    </row>
    <row r="165" spans="1:9" x14ac:dyDescent="0.45">
      <c r="A165" s="4">
        <v>45550</v>
      </c>
      <c r="B165" t="s">
        <v>4146</v>
      </c>
      <c r="C165" t="s">
        <v>4387</v>
      </c>
      <c r="D165" t="s">
        <v>4112</v>
      </c>
      <c r="E165" t="s">
        <v>4388</v>
      </c>
      <c r="F165" t="s">
        <v>4389</v>
      </c>
      <c r="G165" t="s">
        <v>4390</v>
      </c>
      <c r="H165">
        <v>24</v>
      </c>
      <c r="I165" t="b">
        <f>AND(COUNTIF(CO!A:A,A165)&gt;0,COUNTIF('NO2'!A:A,A165)&gt;0,COUNTIF('O3'!A:A,A165)&gt;0,COUNTIF('PM10'!A:A,A165)&gt;0,COUNTIF('PM2.5'!A:A,A165)&gt;0,COUNTIF(Kendaraan!A:A,A165)&gt;0)</f>
        <v>1</v>
      </c>
    </row>
    <row r="166" spans="1:9" x14ac:dyDescent="0.45">
      <c r="A166" s="4">
        <v>45551</v>
      </c>
      <c r="B166" t="s">
        <v>4391</v>
      </c>
      <c r="C166" t="s">
        <v>4392</v>
      </c>
      <c r="D166" t="s">
        <v>4393</v>
      </c>
      <c r="E166" t="s">
        <v>4394</v>
      </c>
      <c r="F166" t="s">
        <v>4395</v>
      </c>
      <c r="G166" t="s">
        <v>25</v>
      </c>
      <c r="H166">
        <v>24</v>
      </c>
      <c r="I166" t="b">
        <f>AND(COUNTIF(CO!A:A,A166)&gt;0,COUNTIF('NO2'!A:A,A166)&gt;0,COUNTIF('O3'!A:A,A166)&gt;0,COUNTIF('PM10'!A:A,A166)&gt;0,COUNTIF('PM2.5'!A:A,A166)&gt;0,COUNTIF(Kendaraan!A:A,A166)&gt;0)</f>
        <v>1</v>
      </c>
    </row>
    <row r="167" spans="1:9" x14ac:dyDescent="0.45">
      <c r="A167" s="4">
        <v>45552</v>
      </c>
      <c r="B167" t="s">
        <v>4396</v>
      </c>
      <c r="C167" t="s">
        <v>4397</v>
      </c>
      <c r="D167" t="s">
        <v>4398</v>
      </c>
      <c r="E167" t="s">
        <v>4399</v>
      </c>
      <c r="F167" t="s">
        <v>4400</v>
      </c>
      <c r="G167" s="1">
        <v>4938</v>
      </c>
      <c r="H167">
        <v>24</v>
      </c>
      <c r="I167" t="b">
        <f>AND(COUNTIF(CO!A:A,A167)&gt;0,COUNTIF('NO2'!A:A,A167)&gt;0,COUNTIF('O3'!A:A,A167)&gt;0,COUNTIF('PM10'!A:A,A167)&gt;0,COUNTIF('PM2.5'!A:A,A167)&gt;0,COUNTIF(Kendaraan!A:A,A167)&gt;0)</f>
        <v>1</v>
      </c>
    </row>
    <row r="168" spans="1:9" x14ac:dyDescent="0.45">
      <c r="A168" s="4">
        <v>45553</v>
      </c>
      <c r="B168" t="s">
        <v>4401</v>
      </c>
      <c r="C168">
        <v>141</v>
      </c>
      <c r="D168">
        <v>141</v>
      </c>
      <c r="E168">
        <v>141</v>
      </c>
      <c r="F168">
        <v>141</v>
      </c>
      <c r="G168" t="s">
        <v>2739</v>
      </c>
      <c r="H168">
        <v>24</v>
      </c>
      <c r="I168" t="b">
        <f>AND(COUNTIF(CO!A:A,A168)&gt;0,COUNTIF('NO2'!A:A,A168)&gt;0,COUNTIF('O3'!A:A,A168)&gt;0,COUNTIF('PM10'!A:A,A168)&gt;0,COUNTIF('PM2.5'!A:A,A168)&gt;0,COUNTIF(Kendaraan!A:A,A168)&gt;0)</f>
        <v>1</v>
      </c>
    </row>
    <row r="169" spans="1:9" x14ac:dyDescent="0.45">
      <c r="A169" s="4">
        <v>45554</v>
      </c>
      <c r="B169">
        <v>141</v>
      </c>
      <c r="C169">
        <v>141</v>
      </c>
      <c r="D169">
        <v>141</v>
      </c>
      <c r="E169">
        <v>141</v>
      </c>
      <c r="F169">
        <v>141</v>
      </c>
      <c r="G169">
        <v>0</v>
      </c>
      <c r="H169">
        <v>24</v>
      </c>
      <c r="I169" t="b">
        <f>AND(COUNTIF(CO!A:A,A169)&gt;0,COUNTIF('NO2'!A:A,A169)&gt;0,COUNTIF('O3'!A:A,A169)&gt;0,COUNTIF('PM10'!A:A,A169)&gt;0,COUNTIF('PM2.5'!A:A,A169)&gt;0,COUNTIF(Kendaraan!A:A,A169)&gt;0)</f>
        <v>1</v>
      </c>
    </row>
    <row r="170" spans="1:9" x14ac:dyDescent="0.45">
      <c r="A170" s="4">
        <v>45555</v>
      </c>
      <c r="B170">
        <v>141</v>
      </c>
      <c r="C170">
        <v>141</v>
      </c>
      <c r="D170">
        <v>141</v>
      </c>
      <c r="E170">
        <v>141</v>
      </c>
      <c r="F170">
        <v>141</v>
      </c>
      <c r="G170">
        <v>0</v>
      </c>
      <c r="H170">
        <v>24</v>
      </c>
      <c r="I170" t="b">
        <f>AND(COUNTIF(CO!A:A,A170)&gt;0,COUNTIF('NO2'!A:A,A170)&gt;0,COUNTIF('O3'!A:A,A170)&gt;0,COUNTIF('PM10'!A:A,A170)&gt;0,COUNTIF('PM2.5'!A:A,A170)&gt;0,COUNTIF(Kendaraan!A:A,A170)&gt;0)</f>
        <v>1</v>
      </c>
    </row>
    <row r="171" spans="1:9" x14ac:dyDescent="0.45">
      <c r="A171" s="4">
        <v>45556</v>
      </c>
      <c r="B171">
        <v>141</v>
      </c>
      <c r="C171">
        <v>141</v>
      </c>
      <c r="D171">
        <v>141</v>
      </c>
      <c r="E171">
        <v>141</v>
      </c>
      <c r="F171">
        <v>141</v>
      </c>
      <c r="G171">
        <v>0</v>
      </c>
      <c r="H171">
        <v>24</v>
      </c>
      <c r="I171" t="b">
        <f>AND(COUNTIF(CO!A:A,A171)&gt;0,COUNTIF('NO2'!A:A,A171)&gt;0,COUNTIF('O3'!A:A,A171)&gt;0,COUNTIF('PM10'!A:A,A171)&gt;0,COUNTIF('PM2.5'!A:A,A171)&gt;0,COUNTIF(Kendaraan!A:A,A171)&gt;0)</f>
        <v>1</v>
      </c>
    </row>
    <row r="172" spans="1:9" x14ac:dyDescent="0.45">
      <c r="A172" s="4">
        <v>45557</v>
      </c>
      <c r="B172">
        <v>141</v>
      </c>
      <c r="C172">
        <v>141</v>
      </c>
      <c r="D172">
        <v>141</v>
      </c>
      <c r="E172">
        <v>141</v>
      </c>
      <c r="F172">
        <v>141</v>
      </c>
      <c r="G172">
        <v>0</v>
      </c>
      <c r="H172">
        <v>24</v>
      </c>
      <c r="I172" t="b">
        <f>AND(COUNTIF(CO!A:A,A172)&gt;0,COUNTIF('NO2'!A:A,A172)&gt;0,COUNTIF('O3'!A:A,A172)&gt;0,COUNTIF('PM10'!A:A,A172)&gt;0,COUNTIF('PM2.5'!A:A,A172)&gt;0,COUNTIF(Kendaraan!A:A,A172)&gt;0)</f>
        <v>1</v>
      </c>
    </row>
    <row r="173" spans="1:9" x14ac:dyDescent="0.45">
      <c r="A173" s="4">
        <v>45558</v>
      </c>
      <c r="B173">
        <v>141</v>
      </c>
      <c r="C173">
        <v>141</v>
      </c>
      <c r="D173">
        <v>141</v>
      </c>
      <c r="E173">
        <v>141</v>
      </c>
      <c r="F173">
        <v>141</v>
      </c>
      <c r="G173">
        <v>0</v>
      </c>
      <c r="H173">
        <v>24</v>
      </c>
      <c r="I173" t="b">
        <f>AND(COUNTIF(CO!A:A,A173)&gt;0,COUNTIF('NO2'!A:A,A173)&gt;0,COUNTIF('O3'!A:A,A173)&gt;0,COUNTIF('PM10'!A:A,A173)&gt;0,COUNTIF('PM2.5'!A:A,A173)&gt;0,COUNTIF(Kendaraan!A:A,A173)&gt;0)</f>
        <v>1</v>
      </c>
    </row>
    <row r="174" spans="1:9" x14ac:dyDescent="0.45">
      <c r="A174" s="4">
        <v>45559</v>
      </c>
      <c r="B174">
        <v>141</v>
      </c>
      <c r="C174">
        <v>141</v>
      </c>
      <c r="D174">
        <v>141</v>
      </c>
      <c r="E174">
        <v>141</v>
      </c>
      <c r="F174">
        <v>141</v>
      </c>
      <c r="G174">
        <v>0</v>
      </c>
      <c r="H174">
        <v>24</v>
      </c>
      <c r="I174" t="b">
        <f>AND(COUNTIF(CO!A:A,A174)&gt;0,COUNTIF('NO2'!A:A,A174)&gt;0,COUNTIF('O3'!A:A,A174)&gt;0,COUNTIF('PM10'!A:A,A174)&gt;0,COUNTIF('PM2.5'!A:A,A174)&gt;0,COUNTIF(Kendaraan!A:A,A174)&gt;0)</f>
        <v>1</v>
      </c>
    </row>
    <row r="175" spans="1:9" x14ac:dyDescent="0.45">
      <c r="A175" s="4">
        <v>45560</v>
      </c>
      <c r="B175">
        <v>141</v>
      </c>
      <c r="C175">
        <v>141</v>
      </c>
      <c r="D175">
        <v>141</v>
      </c>
      <c r="E175">
        <v>141</v>
      </c>
      <c r="F175">
        <v>141</v>
      </c>
      <c r="G175">
        <v>0</v>
      </c>
      <c r="H175">
        <v>24</v>
      </c>
      <c r="I175" t="b">
        <f>AND(COUNTIF(CO!A:A,A175)&gt;0,COUNTIF('NO2'!A:A,A175)&gt;0,COUNTIF('O3'!A:A,A175)&gt;0,COUNTIF('PM10'!A:A,A175)&gt;0,COUNTIF('PM2.5'!A:A,A175)&gt;0,COUNTIF(Kendaraan!A:A,A175)&gt;0)</f>
        <v>1</v>
      </c>
    </row>
    <row r="176" spans="1:9" x14ac:dyDescent="0.45">
      <c r="A176" s="4">
        <v>45561</v>
      </c>
      <c r="B176">
        <v>141</v>
      </c>
      <c r="C176">
        <v>141</v>
      </c>
      <c r="D176">
        <v>141</v>
      </c>
      <c r="E176">
        <v>141</v>
      </c>
      <c r="F176">
        <v>141</v>
      </c>
      <c r="G176">
        <v>0</v>
      </c>
      <c r="H176">
        <v>24</v>
      </c>
      <c r="I176" t="b">
        <f>AND(COUNTIF(CO!A:A,A176)&gt;0,COUNTIF('NO2'!A:A,A176)&gt;0,COUNTIF('O3'!A:A,A176)&gt;0,COUNTIF('PM10'!A:A,A176)&gt;0,COUNTIF('PM2.5'!A:A,A176)&gt;0,COUNTIF(Kendaraan!A:A,A176)&gt;0)</f>
        <v>1</v>
      </c>
    </row>
    <row r="177" spans="1:9" x14ac:dyDescent="0.45">
      <c r="A177" s="4">
        <v>45562</v>
      </c>
      <c r="B177">
        <v>141</v>
      </c>
      <c r="C177">
        <v>141</v>
      </c>
      <c r="D177">
        <v>141</v>
      </c>
      <c r="E177">
        <v>141</v>
      </c>
      <c r="F177">
        <v>141</v>
      </c>
      <c r="G177">
        <v>0</v>
      </c>
      <c r="H177">
        <v>24</v>
      </c>
      <c r="I177" t="b">
        <f>AND(COUNTIF(CO!A:A,A177)&gt;0,COUNTIF('NO2'!A:A,A177)&gt;0,COUNTIF('O3'!A:A,A177)&gt;0,COUNTIF('PM10'!A:A,A177)&gt;0,COUNTIF('PM2.5'!A:A,A177)&gt;0,COUNTIF(Kendaraan!A:A,A177)&gt;0)</f>
        <v>1</v>
      </c>
    </row>
    <row r="178" spans="1:9" x14ac:dyDescent="0.45">
      <c r="A178" s="4">
        <v>45563</v>
      </c>
      <c r="B178">
        <v>141</v>
      </c>
      <c r="C178">
        <v>141</v>
      </c>
      <c r="D178">
        <v>141</v>
      </c>
      <c r="E178">
        <v>141</v>
      </c>
      <c r="F178">
        <v>141</v>
      </c>
      <c r="G178">
        <v>0</v>
      </c>
      <c r="H178">
        <v>24</v>
      </c>
      <c r="I178" t="b">
        <f>AND(COUNTIF(CO!A:A,A178)&gt;0,COUNTIF('NO2'!A:A,A178)&gt;0,COUNTIF('O3'!A:A,A178)&gt;0,COUNTIF('PM10'!A:A,A178)&gt;0,COUNTIF('PM2.5'!A:A,A178)&gt;0,COUNTIF(Kendaraan!A:A,A178)&gt;0)</f>
        <v>1</v>
      </c>
    </row>
    <row r="179" spans="1:9" x14ac:dyDescent="0.45">
      <c r="A179" s="4">
        <v>45564</v>
      </c>
      <c r="B179">
        <v>141</v>
      </c>
      <c r="C179">
        <v>141</v>
      </c>
      <c r="D179">
        <v>141</v>
      </c>
      <c r="E179">
        <v>141</v>
      </c>
      <c r="F179">
        <v>141</v>
      </c>
      <c r="G179">
        <v>0</v>
      </c>
      <c r="H179">
        <v>24</v>
      </c>
      <c r="I179" t="b">
        <f>AND(COUNTIF(CO!A:A,A179)&gt;0,COUNTIF('NO2'!A:A,A179)&gt;0,COUNTIF('O3'!A:A,A179)&gt;0,COUNTIF('PM10'!A:A,A179)&gt;0,COUNTIF('PM2.5'!A:A,A179)&gt;0,COUNTIF(Kendaraan!A:A,A179)&gt;0)</f>
        <v>1</v>
      </c>
    </row>
    <row r="180" spans="1:9" x14ac:dyDescent="0.45">
      <c r="A180" s="4">
        <v>45565</v>
      </c>
      <c r="B180">
        <v>141</v>
      </c>
      <c r="C180">
        <v>141</v>
      </c>
      <c r="D180">
        <v>141</v>
      </c>
      <c r="E180">
        <v>141</v>
      </c>
      <c r="F180">
        <v>141</v>
      </c>
      <c r="G180">
        <v>0</v>
      </c>
      <c r="H180">
        <v>24</v>
      </c>
      <c r="I180" t="b">
        <f>AND(COUNTIF(CO!A:A,A180)&gt;0,COUNTIF('NO2'!A:A,A180)&gt;0,COUNTIF('O3'!A:A,A180)&gt;0,COUNTIF('PM10'!A:A,A180)&gt;0,COUNTIF('PM2.5'!A:A,A180)&gt;0,COUNTIF(Kendaraan!A:A,A180)&gt;0)</f>
        <v>1</v>
      </c>
    </row>
    <row r="181" spans="1:9" x14ac:dyDescent="0.45">
      <c r="A181" s="4">
        <v>45566</v>
      </c>
      <c r="B181">
        <v>141</v>
      </c>
      <c r="C181">
        <v>141</v>
      </c>
      <c r="D181">
        <v>141</v>
      </c>
      <c r="E181">
        <v>141</v>
      </c>
      <c r="F181">
        <v>141</v>
      </c>
      <c r="G181">
        <v>0</v>
      </c>
      <c r="H181">
        <v>24</v>
      </c>
      <c r="I181" t="b">
        <f>AND(COUNTIF(CO!A:A,A181)&gt;0,COUNTIF('NO2'!A:A,A181)&gt;0,COUNTIF('O3'!A:A,A181)&gt;0,COUNTIF('PM10'!A:A,A181)&gt;0,COUNTIF('PM2.5'!A:A,A181)&gt;0,COUNTIF(Kendaraan!A:A,A181)&gt;0)</f>
        <v>1</v>
      </c>
    </row>
    <row r="182" spans="1:9" x14ac:dyDescent="0.45">
      <c r="A182" s="4">
        <v>45567</v>
      </c>
      <c r="B182">
        <v>141</v>
      </c>
      <c r="C182">
        <v>141</v>
      </c>
      <c r="D182">
        <v>141</v>
      </c>
      <c r="E182">
        <v>141</v>
      </c>
      <c r="F182">
        <v>141</v>
      </c>
      <c r="G182">
        <v>0</v>
      </c>
      <c r="H182">
        <v>24</v>
      </c>
      <c r="I182" t="b">
        <f>AND(COUNTIF(CO!A:A,A182)&gt;0,COUNTIF('NO2'!A:A,A182)&gt;0,COUNTIF('O3'!A:A,A182)&gt;0,COUNTIF('PM10'!A:A,A182)&gt;0,COUNTIF('PM2.5'!A:A,A182)&gt;0,COUNTIF(Kendaraan!A:A,A182)&gt;0)</f>
        <v>1</v>
      </c>
    </row>
    <row r="183" spans="1:9" x14ac:dyDescent="0.45">
      <c r="A183" s="4">
        <v>45568</v>
      </c>
      <c r="B183">
        <v>141</v>
      </c>
      <c r="C183">
        <v>141</v>
      </c>
      <c r="D183">
        <v>141</v>
      </c>
      <c r="E183">
        <v>141</v>
      </c>
      <c r="F183">
        <v>141</v>
      </c>
      <c r="G183">
        <v>0</v>
      </c>
      <c r="H183">
        <v>24</v>
      </c>
      <c r="I183" t="b">
        <f>AND(COUNTIF(CO!A:A,A183)&gt;0,COUNTIF('NO2'!A:A,A183)&gt;0,COUNTIF('O3'!A:A,A183)&gt;0,COUNTIF('PM10'!A:A,A183)&gt;0,COUNTIF('PM2.5'!A:A,A183)&gt;0,COUNTIF(Kendaraan!A:A,A183)&gt;0)</f>
        <v>1</v>
      </c>
    </row>
    <row r="184" spans="1:9" x14ac:dyDescent="0.45">
      <c r="A184" s="4">
        <v>45569</v>
      </c>
      <c r="B184">
        <v>141</v>
      </c>
      <c r="C184">
        <v>141</v>
      </c>
      <c r="D184">
        <v>141</v>
      </c>
      <c r="E184">
        <v>141</v>
      </c>
      <c r="F184">
        <v>141</v>
      </c>
      <c r="G184">
        <v>0</v>
      </c>
      <c r="H184">
        <v>24</v>
      </c>
      <c r="I184" t="b">
        <f>AND(COUNTIF(CO!A:A,A184)&gt;0,COUNTIF('NO2'!A:A,A184)&gt;0,COUNTIF('O3'!A:A,A184)&gt;0,COUNTIF('PM10'!A:A,A184)&gt;0,COUNTIF('PM2.5'!A:A,A184)&gt;0,COUNTIF(Kendaraan!A:A,A184)&gt;0)</f>
        <v>1</v>
      </c>
    </row>
    <row r="185" spans="1:9" x14ac:dyDescent="0.45">
      <c r="A185" s="4">
        <v>45570</v>
      </c>
      <c r="B185">
        <v>141</v>
      </c>
      <c r="C185">
        <v>141</v>
      </c>
      <c r="D185">
        <v>141</v>
      </c>
      <c r="E185">
        <v>141</v>
      </c>
      <c r="F185">
        <v>141</v>
      </c>
      <c r="G185">
        <v>0</v>
      </c>
      <c r="H185">
        <v>24</v>
      </c>
      <c r="I185" t="b">
        <f>AND(COUNTIF(CO!A:A,A185)&gt;0,COUNTIF('NO2'!A:A,A185)&gt;0,COUNTIF('O3'!A:A,A185)&gt;0,COUNTIF('PM10'!A:A,A185)&gt;0,COUNTIF('PM2.5'!A:A,A185)&gt;0,COUNTIF(Kendaraan!A:A,A185)&gt;0)</f>
        <v>1</v>
      </c>
    </row>
    <row r="186" spans="1:9" x14ac:dyDescent="0.45">
      <c r="A186" s="4">
        <v>45571</v>
      </c>
      <c r="B186">
        <v>141</v>
      </c>
      <c r="C186">
        <v>141</v>
      </c>
      <c r="D186">
        <v>141</v>
      </c>
      <c r="E186">
        <v>141</v>
      </c>
      <c r="F186">
        <v>141</v>
      </c>
      <c r="G186">
        <v>0</v>
      </c>
      <c r="H186">
        <v>14</v>
      </c>
      <c r="I186" t="b">
        <f>AND(COUNTIF(CO!A:A,A186)&gt;0,COUNTIF('NO2'!A:A,A186)&gt;0,COUNTIF('O3'!A:A,A186)&gt;0,COUNTIF('PM10'!A:A,A186)&gt;0,COUNTIF('PM2.5'!A:A,A186)&gt;0,COUNTIF(Kendaraan!A:A,A186)&gt;0)</f>
        <v>1</v>
      </c>
    </row>
    <row r="187" spans="1:9" x14ac:dyDescent="0.45">
      <c r="A187" s="4">
        <v>45572</v>
      </c>
      <c r="B187" t="s">
        <v>3566</v>
      </c>
      <c r="C187">
        <v>47</v>
      </c>
      <c r="D187" t="s">
        <v>2053</v>
      </c>
      <c r="E187" t="s">
        <v>4402</v>
      </c>
      <c r="F187" t="s">
        <v>3734</v>
      </c>
      <c r="G187" t="s">
        <v>2001</v>
      </c>
      <c r="H187">
        <v>5</v>
      </c>
      <c r="I187" t="b">
        <f>AND(COUNTIF(CO!A:A,A187)&gt;0,COUNTIF('NO2'!A:A,A187)&gt;0,COUNTIF('O3'!A:A,A187)&gt;0,COUNTIF('PM10'!A:A,A187)&gt;0,COUNTIF('PM2.5'!A:A,A187)&gt;0,COUNTIF(Kendaraan!A:A,A187)&gt;0)</f>
        <v>1</v>
      </c>
    </row>
    <row r="188" spans="1:9" x14ac:dyDescent="0.45">
      <c r="A188" s="4">
        <v>45573</v>
      </c>
      <c r="B188" t="s">
        <v>2292</v>
      </c>
      <c r="C188" t="s">
        <v>4403</v>
      </c>
      <c r="D188" t="s">
        <v>4212</v>
      </c>
      <c r="E188" t="s">
        <v>4404</v>
      </c>
      <c r="F188" t="s">
        <v>4405</v>
      </c>
      <c r="G188" s="1">
        <v>22384</v>
      </c>
      <c r="H188">
        <v>24</v>
      </c>
      <c r="I188" t="b">
        <f>AND(COUNTIF(CO!A:A,A188)&gt;0,COUNTIF('NO2'!A:A,A188)&gt;0,COUNTIF('O3'!A:A,A188)&gt;0,COUNTIF('PM10'!A:A,A188)&gt;0,COUNTIF('PM2.5'!A:A,A188)&gt;0,COUNTIF(Kendaraan!A:A,A188)&gt;0)</f>
        <v>1</v>
      </c>
    </row>
    <row r="189" spans="1:9" x14ac:dyDescent="0.45">
      <c r="A189" s="4">
        <v>45574</v>
      </c>
      <c r="B189" t="s">
        <v>4406</v>
      </c>
      <c r="C189">
        <v>124</v>
      </c>
      <c r="D189">
        <v>124</v>
      </c>
      <c r="E189">
        <v>124</v>
      </c>
      <c r="F189">
        <v>124</v>
      </c>
      <c r="G189" s="1">
        <v>1346</v>
      </c>
      <c r="H189">
        <v>24</v>
      </c>
      <c r="I189" t="b">
        <f>AND(COUNTIF(CO!A:A,A189)&gt;0,COUNTIF('NO2'!A:A,A189)&gt;0,COUNTIF('O3'!A:A,A189)&gt;0,COUNTIF('PM10'!A:A,A189)&gt;0,COUNTIF('PM2.5'!A:A,A189)&gt;0,COUNTIF(Kendaraan!A:A,A189)&gt;0)</f>
        <v>1</v>
      </c>
    </row>
    <row r="190" spans="1:9" x14ac:dyDescent="0.45">
      <c r="A190" s="4">
        <v>45575</v>
      </c>
      <c r="B190">
        <v>124</v>
      </c>
      <c r="C190">
        <v>124</v>
      </c>
      <c r="D190">
        <v>124</v>
      </c>
      <c r="E190">
        <v>124</v>
      </c>
      <c r="F190">
        <v>124</v>
      </c>
      <c r="G190">
        <v>0</v>
      </c>
      <c r="H190">
        <v>24</v>
      </c>
      <c r="I190" t="b">
        <f>AND(COUNTIF(CO!A:A,A190)&gt;0,COUNTIF('NO2'!A:A,A190)&gt;0,COUNTIF('O3'!A:A,A190)&gt;0,COUNTIF('PM10'!A:A,A190)&gt;0,COUNTIF('PM2.5'!A:A,A190)&gt;0,COUNTIF(Kendaraan!A:A,A190)&gt;0)</f>
        <v>1</v>
      </c>
    </row>
    <row r="191" spans="1:9" x14ac:dyDescent="0.45">
      <c r="A191" s="4">
        <v>45576</v>
      </c>
      <c r="B191">
        <v>124</v>
      </c>
      <c r="C191">
        <v>124</v>
      </c>
      <c r="D191">
        <v>124</v>
      </c>
      <c r="E191">
        <v>124</v>
      </c>
      <c r="F191">
        <v>124</v>
      </c>
      <c r="G191">
        <v>0</v>
      </c>
      <c r="H191">
        <v>24</v>
      </c>
      <c r="I191" t="b">
        <f>AND(COUNTIF(CO!A:A,A191)&gt;0,COUNTIF('NO2'!A:A,A191)&gt;0,COUNTIF('O3'!A:A,A191)&gt;0,COUNTIF('PM10'!A:A,A191)&gt;0,COUNTIF('PM2.5'!A:A,A191)&gt;0,COUNTIF(Kendaraan!A:A,A191)&gt;0)</f>
        <v>1</v>
      </c>
    </row>
    <row r="192" spans="1:9" x14ac:dyDescent="0.45">
      <c r="A192" s="4">
        <v>45577</v>
      </c>
      <c r="B192">
        <v>124</v>
      </c>
      <c r="C192">
        <v>124</v>
      </c>
      <c r="D192">
        <v>124</v>
      </c>
      <c r="E192">
        <v>124</v>
      </c>
      <c r="F192">
        <v>124</v>
      </c>
      <c r="G192">
        <v>0</v>
      </c>
      <c r="H192">
        <v>24</v>
      </c>
      <c r="I192" t="b">
        <f>AND(COUNTIF(CO!A:A,A192)&gt;0,COUNTIF('NO2'!A:A,A192)&gt;0,COUNTIF('O3'!A:A,A192)&gt;0,COUNTIF('PM10'!A:A,A192)&gt;0,COUNTIF('PM2.5'!A:A,A192)&gt;0,COUNTIF(Kendaraan!A:A,A192)&gt;0)</f>
        <v>1</v>
      </c>
    </row>
    <row r="193" spans="1:9" x14ac:dyDescent="0.45">
      <c r="A193" s="4">
        <v>45578</v>
      </c>
      <c r="B193">
        <v>124</v>
      </c>
      <c r="C193">
        <v>124</v>
      </c>
      <c r="D193">
        <v>124</v>
      </c>
      <c r="E193">
        <v>124</v>
      </c>
      <c r="F193">
        <v>124</v>
      </c>
      <c r="G193">
        <v>0</v>
      </c>
      <c r="H193">
        <v>24</v>
      </c>
      <c r="I193" t="b">
        <f>AND(COUNTIF(CO!A:A,A193)&gt;0,COUNTIF('NO2'!A:A,A193)&gt;0,COUNTIF('O3'!A:A,A193)&gt;0,COUNTIF('PM10'!A:A,A193)&gt;0,COUNTIF('PM2.5'!A:A,A193)&gt;0,COUNTIF(Kendaraan!A:A,A193)&gt;0)</f>
        <v>1</v>
      </c>
    </row>
    <row r="194" spans="1:9" x14ac:dyDescent="0.45">
      <c r="A194" s="4">
        <v>45579</v>
      </c>
      <c r="B194">
        <v>124</v>
      </c>
      <c r="C194">
        <v>124</v>
      </c>
      <c r="D194">
        <v>124</v>
      </c>
      <c r="E194">
        <v>124</v>
      </c>
      <c r="F194">
        <v>124</v>
      </c>
      <c r="G194">
        <v>0</v>
      </c>
      <c r="H194">
        <v>24</v>
      </c>
      <c r="I194" t="b">
        <f>AND(COUNTIF(CO!A:A,A194)&gt;0,COUNTIF('NO2'!A:A,A194)&gt;0,COUNTIF('O3'!A:A,A194)&gt;0,COUNTIF('PM10'!A:A,A194)&gt;0,COUNTIF('PM2.5'!A:A,A194)&gt;0,COUNTIF(Kendaraan!A:A,A194)&gt;0)</f>
        <v>1</v>
      </c>
    </row>
    <row r="195" spans="1:9" x14ac:dyDescent="0.45">
      <c r="A195" s="4">
        <v>45580</v>
      </c>
      <c r="B195" t="s">
        <v>4407</v>
      </c>
      <c r="C195">
        <v>124</v>
      </c>
      <c r="D195" t="s">
        <v>4408</v>
      </c>
      <c r="E195" t="s">
        <v>4409</v>
      </c>
      <c r="F195" t="s">
        <v>4410</v>
      </c>
      <c r="G195" s="1">
        <v>7898</v>
      </c>
      <c r="H195">
        <v>24</v>
      </c>
      <c r="I195" t="b">
        <f>AND(COUNTIF(CO!A:A,A195)&gt;0,COUNTIF('NO2'!A:A,A195)&gt;0,COUNTIF('O3'!A:A,A195)&gt;0,COUNTIF('PM10'!A:A,A195)&gt;0,COUNTIF('PM2.5'!A:A,A195)&gt;0,COUNTIF(Kendaraan!A:A,A195)&gt;0)</f>
        <v>1</v>
      </c>
    </row>
    <row r="196" spans="1:9" x14ac:dyDescent="0.45">
      <c r="A196" s="4">
        <v>45581</v>
      </c>
      <c r="B196" t="s">
        <v>4411</v>
      </c>
      <c r="C196" t="s">
        <v>4412</v>
      </c>
      <c r="D196" t="s">
        <v>4413</v>
      </c>
      <c r="E196" t="s">
        <v>4414</v>
      </c>
      <c r="F196" t="s">
        <v>325</v>
      </c>
      <c r="G196" s="1">
        <v>4244</v>
      </c>
      <c r="H196">
        <v>24</v>
      </c>
      <c r="I196" t="b">
        <f>AND(COUNTIF(CO!A:A,A196)&gt;0,COUNTIF('NO2'!A:A,A196)&gt;0,COUNTIF('O3'!A:A,A196)&gt;0,COUNTIF('PM10'!A:A,A196)&gt;0,COUNTIF('PM2.5'!A:A,A196)&gt;0,COUNTIF(Kendaraan!A:A,A196)&gt;0)</f>
        <v>1</v>
      </c>
    </row>
    <row r="197" spans="1:9" x14ac:dyDescent="0.45">
      <c r="A197" s="4">
        <v>45582</v>
      </c>
      <c r="B197" t="s">
        <v>4415</v>
      </c>
      <c r="C197" t="s">
        <v>4416</v>
      </c>
      <c r="D197" t="s">
        <v>4417</v>
      </c>
      <c r="E197" t="s">
        <v>4418</v>
      </c>
      <c r="F197" t="s">
        <v>4419</v>
      </c>
      <c r="G197" t="s">
        <v>196</v>
      </c>
      <c r="H197">
        <v>24</v>
      </c>
      <c r="I197" t="b">
        <f>AND(COUNTIF(CO!A:A,A197)&gt;0,COUNTIF('NO2'!A:A,A197)&gt;0,COUNTIF('O3'!A:A,A197)&gt;0,COUNTIF('PM10'!A:A,A197)&gt;0,COUNTIF('PM2.5'!A:A,A197)&gt;0,COUNTIF(Kendaraan!A:A,A197)&gt;0)</f>
        <v>1</v>
      </c>
    </row>
    <row r="198" spans="1:9" x14ac:dyDescent="0.45">
      <c r="A198" s="4">
        <v>45583</v>
      </c>
      <c r="B198" t="s">
        <v>301</v>
      </c>
      <c r="C198" t="s">
        <v>4420</v>
      </c>
      <c r="D198" t="s">
        <v>4421</v>
      </c>
      <c r="E198" t="s">
        <v>4422</v>
      </c>
      <c r="F198" t="s">
        <v>4423</v>
      </c>
      <c r="G198" s="1">
        <v>1898</v>
      </c>
      <c r="H198">
        <v>24</v>
      </c>
      <c r="I198" t="b">
        <f>AND(COUNTIF(CO!A:A,A198)&gt;0,COUNTIF('NO2'!A:A,A198)&gt;0,COUNTIF('O3'!A:A,A198)&gt;0,COUNTIF('PM10'!A:A,A198)&gt;0,COUNTIF('PM2.5'!A:A,A198)&gt;0,COUNTIF(Kendaraan!A:A,A198)&gt;0)</f>
        <v>1</v>
      </c>
    </row>
    <row r="199" spans="1:9" x14ac:dyDescent="0.45">
      <c r="A199" s="4">
        <v>45584</v>
      </c>
      <c r="B199" t="s">
        <v>391</v>
      </c>
      <c r="C199" t="s">
        <v>4424</v>
      </c>
      <c r="D199" t="s">
        <v>4425</v>
      </c>
      <c r="E199" t="s">
        <v>4426</v>
      </c>
      <c r="F199" t="s">
        <v>4427</v>
      </c>
      <c r="G199" s="1">
        <v>1821</v>
      </c>
      <c r="H199">
        <v>21</v>
      </c>
      <c r="I199" t="b">
        <f>AND(COUNTIF(CO!A:A,A199)&gt;0,COUNTIF('NO2'!A:A,A199)&gt;0,COUNTIF('O3'!A:A,A199)&gt;0,COUNTIF('PM10'!A:A,A199)&gt;0,COUNTIF('PM2.5'!A:A,A199)&gt;0,COUNTIF(Kendaraan!A:A,A199)&gt;0)</f>
        <v>1</v>
      </c>
    </row>
    <row r="200" spans="1:9" x14ac:dyDescent="0.45">
      <c r="A200" s="4">
        <v>45585</v>
      </c>
      <c r="B200" t="s">
        <v>4428</v>
      </c>
      <c r="C200" t="s">
        <v>4429</v>
      </c>
      <c r="D200" t="s">
        <v>4430</v>
      </c>
      <c r="E200" t="s">
        <v>4431</v>
      </c>
      <c r="F200" t="s">
        <v>4432</v>
      </c>
      <c r="G200" s="1">
        <v>1179</v>
      </c>
      <c r="H200">
        <v>24</v>
      </c>
      <c r="I200" t="b">
        <f>AND(COUNTIF(CO!A:A,A200)&gt;0,COUNTIF('NO2'!A:A,A200)&gt;0,COUNTIF('O3'!A:A,A200)&gt;0,COUNTIF('PM10'!A:A,A200)&gt;0,COUNTIF('PM2.5'!A:A,A200)&gt;0,COUNTIF(Kendaraan!A:A,A200)&gt;0)</f>
        <v>1</v>
      </c>
    </row>
    <row r="201" spans="1:9" x14ac:dyDescent="0.45">
      <c r="A201" s="4">
        <v>45586</v>
      </c>
      <c r="B201" t="s">
        <v>4433</v>
      </c>
      <c r="C201" t="s">
        <v>4434</v>
      </c>
      <c r="D201" t="s">
        <v>4435</v>
      </c>
      <c r="E201" t="s">
        <v>4436</v>
      </c>
      <c r="F201" t="s">
        <v>4437</v>
      </c>
      <c r="G201" t="s">
        <v>4438</v>
      </c>
      <c r="H201">
        <v>24</v>
      </c>
      <c r="I201" t="b">
        <f>AND(COUNTIF(CO!A:A,A201)&gt;0,COUNTIF('NO2'!A:A,A201)&gt;0,COUNTIF('O3'!A:A,A201)&gt;0,COUNTIF('PM10'!A:A,A201)&gt;0,COUNTIF('PM2.5'!A:A,A201)&gt;0,COUNTIF(Kendaraan!A:A,A201)&gt;0)</f>
        <v>1</v>
      </c>
    </row>
    <row r="202" spans="1:9" x14ac:dyDescent="0.45">
      <c r="A202" s="4">
        <v>45587</v>
      </c>
      <c r="B202" t="s">
        <v>4439</v>
      </c>
      <c r="C202" t="s">
        <v>4440</v>
      </c>
      <c r="D202" t="s">
        <v>4441</v>
      </c>
      <c r="E202" t="s">
        <v>4442</v>
      </c>
      <c r="F202" t="s">
        <v>4443</v>
      </c>
      <c r="G202" s="1">
        <v>1456</v>
      </c>
      <c r="H202">
        <v>24</v>
      </c>
      <c r="I202" t="b">
        <f>AND(COUNTIF(CO!A:A,A202)&gt;0,COUNTIF('NO2'!A:A,A202)&gt;0,COUNTIF('O3'!A:A,A202)&gt;0,COUNTIF('PM10'!A:A,A202)&gt;0,COUNTIF('PM2.5'!A:A,A202)&gt;0,COUNTIF(Kendaraan!A:A,A202)&gt;0)</f>
        <v>1</v>
      </c>
    </row>
    <row r="203" spans="1:9" x14ac:dyDescent="0.45">
      <c r="A203" s="4">
        <v>45588</v>
      </c>
      <c r="B203" t="s">
        <v>4444</v>
      </c>
      <c r="C203" t="s">
        <v>4445</v>
      </c>
      <c r="D203" t="s">
        <v>4446</v>
      </c>
      <c r="E203" t="s">
        <v>4447</v>
      </c>
      <c r="F203" t="s">
        <v>4448</v>
      </c>
      <c r="G203" s="1">
        <v>20405</v>
      </c>
      <c r="H203">
        <v>24</v>
      </c>
      <c r="I203" t="b">
        <f>AND(COUNTIF(CO!A:A,A203)&gt;0,COUNTIF('NO2'!A:A,A203)&gt;0,COUNTIF('O3'!A:A,A203)&gt;0,COUNTIF('PM10'!A:A,A203)&gt;0,COUNTIF('PM2.5'!A:A,A203)&gt;0,COUNTIF(Kendaraan!A:A,A203)&gt;0)</f>
        <v>1</v>
      </c>
    </row>
    <row r="204" spans="1:9" x14ac:dyDescent="0.45">
      <c r="A204" s="4">
        <v>45589</v>
      </c>
      <c r="B204" t="s">
        <v>1653</v>
      </c>
      <c r="C204" t="s">
        <v>4449</v>
      </c>
      <c r="D204" t="s">
        <v>4450</v>
      </c>
      <c r="E204" t="s">
        <v>1843</v>
      </c>
      <c r="F204" t="s">
        <v>4451</v>
      </c>
      <c r="G204" t="s">
        <v>1306</v>
      </c>
      <c r="H204">
        <v>24</v>
      </c>
      <c r="I204" t="b">
        <f>AND(COUNTIF(CO!A:A,A204)&gt;0,COUNTIF('NO2'!A:A,A204)&gt;0,COUNTIF('O3'!A:A,A204)&gt;0,COUNTIF('PM10'!A:A,A204)&gt;0,COUNTIF('PM2.5'!A:A,A204)&gt;0,COUNTIF(Kendaraan!A:A,A204)&gt;0)</f>
        <v>1</v>
      </c>
    </row>
    <row r="205" spans="1:9" x14ac:dyDescent="0.45">
      <c r="A205" s="4">
        <v>45590</v>
      </c>
      <c r="B205" t="s">
        <v>4452</v>
      </c>
      <c r="C205" t="s">
        <v>3973</v>
      </c>
      <c r="D205" t="s">
        <v>4453</v>
      </c>
      <c r="E205" t="s">
        <v>4454</v>
      </c>
      <c r="F205" t="s">
        <v>4455</v>
      </c>
      <c r="G205" s="1">
        <v>1327</v>
      </c>
      <c r="H205">
        <v>24</v>
      </c>
      <c r="I205" t="b">
        <f>AND(COUNTIF(CO!A:A,A205)&gt;0,COUNTIF('NO2'!A:A,A205)&gt;0,COUNTIF('O3'!A:A,A205)&gt;0,COUNTIF('PM10'!A:A,A205)&gt;0,COUNTIF('PM2.5'!A:A,A205)&gt;0,COUNTIF(Kendaraan!A:A,A205)&gt;0)</f>
        <v>1</v>
      </c>
    </row>
    <row r="206" spans="1:9" x14ac:dyDescent="0.45">
      <c r="A206" s="4">
        <v>45591</v>
      </c>
      <c r="B206" t="s">
        <v>4456</v>
      </c>
      <c r="C206" t="s">
        <v>3642</v>
      </c>
      <c r="D206" t="s">
        <v>4457</v>
      </c>
      <c r="E206" t="s">
        <v>4458</v>
      </c>
      <c r="F206" t="s">
        <v>4459</v>
      </c>
      <c r="G206" s="1">
        <v>1024</v>
      </c>
      <c r="H206">
        <v>24</v>
      </c>
      <c r="I206" t="b">
        <f>AND(COUNTIF(CO!A:A,A206)&gt;0,COUNTIF('NO2'!A:A,A206)&gt;0,COUNTIF('O3'!A:A,A206)&gt;0,COUNTIF('PM10'!A:A,A206)&gt;0,COUNTIF('PM2.5'!A:A,A206)&gt;0,COUNTIF(Kendaraan!A:A,A206)&gt;0)</f>
        <v>1</v>
      </c>
    </row>
    <row r="207" spans="1:9" x14ac:dyDescent="0.45">
      <c r="A207" s="4">
        <v>45592</v>
      </c>
      <c r="B207" t="s">
        <v>4460</v>
      </c>
      <c r="C207" t="s">
        <v>4461</v>
      </c>
      <c r="D207" t="s">
        <v>4462</v>
      </c>
      <c r="E207" t="s">
        <v>4463</v>
      </c>
      <c r="F207" t="s">
        <v>4464</v>
      </c>
      <c r="G207" t="s">
        <v>832</v>
      </c>
      <c r="H207">
        <v>24</v>
      </c>
      <c r="I207" t="b">
        <f>AND(COUNTIF(CO!A:A,A207)&gt;0,COUNTIF('NO2'!A:A,A207)&gt;0,COUNTIF('O3'!A:A,A207)&gt;0,COUNTIF('PM10'!A:A,A207)&gt;0,COUNTIF('PM2.5'!A:A,A207)&gt;0,COUNTIF(Kendaraan!A:A,A207)&gt;0)</f>
        <v>1</v>
      </c>
    </row>
    <row r="208" spans="1:9" x14ac:dyDescent="0.45">
      <c r="A208" s="4">
        <v>45593</v>
      </c>
      <c r="B208" t="s">
        <v>4465</v>
      </c>
      <c r="C208" t="s">
        <v>4466</v>
      </c>
      <c r="D208" t="s">
        <v>4467</v>
      </c>
      <c r="E208" t="s">
        <v>4468</v>
      </c>
      <c r="F208" t="s">
        <v>3839</v>
      </c>
      <c r="G208" t="s">
        <v>304</v>
      </c>
      <c r="H208">
        <v>24</v>
      </c>
      <c r="I208" t="b">
        <f>AND(COUNTIF(CO!A:A,A208)&gt;0,COUNTIF('NO2'!A:A,A208)&gt;0,COUNTIF('O3'!A:A,A208)&gt;0,COUNTIF('PM10'!A:A,A208)&gt;0,COUNTIF('PM2.5'!A:A,A208)&gt;0,COUNTIF(Kendaraan!A:A,A208)&gt;0)</f>
        <v>1</v>
      </c>
    </row>
    <row r="209" spans="1:9" x14ac:dyDescent="0.45">
      <c r="A209" s="4">
        <v>45594</v>
      </c>
      <c r="B209" t="s">
        <v>4453</v>
      </c>
      <c r="C209" t="s">
        <v>4469</v>
      </c>
      <c r="D209" t="s">
        <v>4470</v>
      </c>
      <c r="E209" t="s">
        <v>4471</v>
      </c>
      <c r="F209" t="s">
        <v>4472</v>
      </c>
      <c r="G209" t="s">
        <v>208</v>
      </c>
      <c r="H209">
        <v>24</v>
      </c>
      <c r="I209" t="b">
        <f>AND(COUNTIF(CO!A:A,A209)&gt;0,COUNTIF('NO2'!A:A,A209)&gt;0,COUNTIF('O3'!A:A,A209)&gt;0,COUNTIF('PM10'!A:A,A209)&gt;0,COUNTIF('PM2.5'!A:A,A209)&gt;0,COUNTIF(Kendaraan!A:A,A209)&gt;0)</f>
        <v>1</v>
      </c>
    </row>
    <row r="210" spans="1:9" x14ac:dyDescent="0.45">
      <c r="A210" s="4">
        <v>45595</v>
      </c>
      <c r="B210" t="s">
        <v>4473</v>
      </c>
      <c r="C210" t="s">
        <v>4474</v>
      </c>
      <c r="D210" t="s">
        <v>4475</v>
      </c>
      <c r="E210" t="s">
        <v>4476</v>
      </c>
      <c r="F210" t="s">
        <v>4477</v>
      </c>
      <c r="G210" t="s">
        <v>1262</v>
      </c>
      <c r="H210">
        <v>24</v>
      </c>
      <c r="I210" t="b">
        <f>AND(COUNTIF(CO!A:A,A210)&gt;0,COUNTIF('NO2'!A:A,A210)&gt;0,COUNTIF('O3'!A:A,A210)&gt;0,COUNTIF('PM10'!A:A,A210)&gt;0,COUNTIF('PM2.5'!A:A,A210)&gt;0,COUNTIF(Kendaraan!A:A,A210)&gt;0)</f>
        <v>1</v>
      </c>
    </row>
    <row r="211" spans="1:9" x14ac:dyDescent="0.45">
      <c r="A211" s="4">
        <v>45596</v>
      </c>
      <c r="B211" t="s">
        <v>4478</v>
      </c>
      <c r="C211" t="s">
        <v>4479</v>
      </c>
      <c r="D211" t="s">
        <v>4480</v>
      </c>
      <c r="E211" t="s">
        <v>4481</v>
      </c>
      <c r="F211" t="s">
        <v>4039</v>
      </c>
      <c r="G211" s="1">
        <v>1896</v>
      </c>
      <c r="H211">
        <v>24</v>
      </c>
      <c r="I211" t="b">
        <f>AND(COUNTIF(CO!A:A,A211)&gt;0,COUNTIF('NO2'!A:A,A211)&gt;0,COUNTIF('O3'!A:A,A211)&gt;0,COUNTIF('PM10'!A:A,A211)&gt;0,COUNTIF('PM2.5'!A:A,A211)&gt;0,COUNTIF(Kendaraan!A:A,A211)&gt;0)</f>
        <v>1</v>
      </c>
    </row>
    <row r="212" spans="1:9" x14ac:dyDescent="0.45">
      <c r="A212" s="4">
        <v>45597</v>
      </c>
      <c r="B212" t="s">
        <v>4482</v>
      </c>
      <c r="C212" t="s">
        <v>4483</v>
      </c>
      <c r="D212" t="s">
        <v>4484</v>
      </c>
      <c r="E212" t="s">
        <v>4485</v>
      </c>
      <c r="F212" t="s">
        <v>4486</v>
      </c>
      <c r="G212" s="1">
        <v>4251</v>
      </c>
      <c r="H212">
        <v>24</v>
      </c>
      <c r="I212" t="b">
        <f>AND(COUNTIF(CO!A:A,A212)&gt;0,COUNTIF('NO2'!A:A,A212)&gt;0,COUNTIF('O3'!A:A,A212)&gt;0,COUNTIF('PM10'!A:A,A212)&gt;0,COUNTIF('PM2.5'!A:A,A212)&gt;0,COUNTIF(Kendaraan!A:A,A212)&gt;0)</f>
        <v>1</v>
      </c>
    </row>
    <row r="213" spans="1:9" x14ac:dyDescent="0.45">
      <c r="A213" s="4">
        <v>45598</v>
      </c>
      <c r="B213" t="s">
        <v>4487</v>
      </c>
      <c r="C213" t="s">
        <v>4488</v>
      </c>
      <c r="D213" t="s">
        <v>4489</v>
      </c>
      <c r="E213" t="s">
        <v>4490</v>
      </c>
      <c r="F213" t="s">
        <v>4491</v>
      </c>
      <c r="G213" s="1">
        <v>5344</v>
      </c>
      <c r="H213">
        <v>24</v>
      </c>
      <c r="I213" t="b">
        <f>AND(COUNTIF(CO!A:A,A213)&gt;0,COUNTIF('NO2'!A:A,A213)&gt;0,COUNTIF('O3'!A:A,A213)&gt;0,COUNTIF('PM10'!A:A,A213)&gt;0,COUNTIF('PM2.5'!A:A,A213)&gt;0,COUNTIF(Kendaraan!A:A,A213)&gt;0)</f>
        <v>1</v>
      </c>
    </row>
    <row r="214" spans="1:9" x14ac:dyDescent="0.45">
      <c r="A214" s="4">
        <v>45599</v>
      </c>
      <c r="B214" t="s">
        <v>2116</v>
      </c>
      <c r="C214" t="s">
        <v>4492</v>
      </c>
      <c r="D214" t="s">
        <v>2106</v>
      </c>
      <c r="E214" t="s">
        <v>4493</v>
      </c>
      <c r="F214" t="s">
        <v>3993</v>
      </c>
      <c r="G214" s="1">
        <v>4116</v>
      </c>
      <c r="H214">
        <v>24</v>
      </c>
      <c r="I214" t="b">
        <f>AND(COUNTIF(CO!A:A,A214)&gt;0,COUNTIF('NO2'!A:A,A214)&gt;0,COUNTIF('O3'!A:A,A214)&gt;0,COUNTIF('PM10'!A:A,A214)&gt;0,COUNTIF('PM2.5'!A:A,A214)&gt;0,COUNTIF(Kendaraan!A:A,A214)&gt;0)</f>
        <v>1</v>
      </c>
    </row>
    <row r="215" spans="1:9" x14ac:dyDescent="0.45">
      <c r="A215" s="4">
        <v>45600</v>
      </c>
      <c r="B215" t="s">
        <v>4494</v>
      </c>
      <c r="C215" t="s">
        <v>4495</v>
      </c>
      <c r="D215" t="s">
        <v>4496</v>
      </c>
      <c r="E215" t="s">
        <v>4497</v>
      </c>
      <c r="F215" t="s">
        <v>4498</v>
      </c>
      <c r="G215" s="1">
        <v>1979</v>
      </c>
      <c r="H215">
        <v>24</v>
      </c>
      <c r="I215" t="b">
        <f>AND(COUNTIF(CO!A:A,A215)&gt;0,COUNTIF('NO2'!A:A,A215)&gt;0,COUNTIF('O3'!A:A,A215)&gt;0,COUNTIF('PM10'!A:A,A215)&gt;0,COUNTIF('PM2.5'!A:A,A215)&gt;0,COUNTIF(Kendaraan!A:A,A215)&gt;0)</f>
        <v>1</v>
      </c>
    </row>
    <row r="216" spans="1:9" x14ac:dyDescent="0.45">
      <c r="A216" s="4">
        <v>45601</v>
      </c>
      <c r="B216" t="s">
        <v>3702</v>
      </c>
      <c r="C216" t="s">
        <v>2101</v>
      </c>
      <c r="D216" t="s">
        <v>4499</v>
      </c>
      <c r="E216" t="s">
        <v>3969</v>
      </c>
      <c r="F216" t="s">
        <v>4500</v>
      </c>
      <c r="G216" s="1">
        <v>2016</v>
      </c>
      <c r="H216">
        <v>24</v>
      </c>
      <c r="I216" t="b">
        <f>AND(COUNTIF(CO!A:A,A216)&gt;0,COUNTIF('NO2'!A:A,A216)&gt;0,COUNTIF('O3'!A:A,A216)&gt;0,COUNTIF('PM10'!A:A,A216)&gt;0,COUNTIF('PM2.5'!A:A,A216)&gt;0,COUNTIF(Kendaraan!A:A,A216)&gt;0)</f>
        <v>1</v>
      </c>
    </row>
    <row r="217" spans="1:9" x14ac:dyDescent="0.45">
      <c r="A217" s="4">
        <v>45602</v>
      </c>
      <c r="B217" t="s">
        <v>4501</v>
      </c>
      <c r="C217" t="s">
        <v>4502</v>
      </c>
      <c r="D217" t="s">
        <v>4503</v>
      </c>
      <c r="E217" t="s">
        <v>4504</v>
      </c>
      <c r="F217" t="s">
        <v>4505</v>
      </c>
      <c r="G217" s="1">
        <v>4446</v>
      </c>
      <c r="H217">
        <v>24</v>
      </c>
      <c r="I217" t="b">
        <f>AND(COUNTIF(CO!A:A,A217)&gt;0,COUNTIF('NO2'!A:A,A217)&gt;0,COUNTIF('O3'!A:A,A217)&gt;0,COUNTIF('PM10'!A:A,A217)&gt;0,COUNTIF('PM2.5'!A:A,A217)&gt;0,COUNTIF(Kendaraan!A:A,A217)&gt;0)</f>
        <v>1</v>
      </c>
    </row>
    <row r="218" spans="1:9" x14ac:dyDescent="0.45">
      <c r="A218" s="4">
        <v>45603</v>
      </c>
      <c r="B218" t="s">
        <v>4506</v>
      </c>
      <c r="C218" t="s">
        <v>4507</v>
      </c>
      <c r="D218" t="s">
        <v>381</v>
      </c>
      <c r="E218" t="s">
        <v>4198</v>
      </c>
      <c r="F218" t="s">
        <v>4508</v>
      </c>
      <c r="G218" s="1">
        <v>3981</v>
      </c>
      <c r="H218">
        <v>24</v>
      </c>
      <c r="I218" t="b">
        <f>AND(COUNTIF(CO!A:A,A218)&gt;0,COUNTIF('NO2'!A:A,A218)&gt;0,COUNTIF('O3'!A:A,A218)&gt;0,COUNTIF('PM10'!A:A,A218)&gt;0,COUNTIF('PM2.5'!A:A,A218)&gt;0,COUNTIF(Kendaraan!A:A,A218)&gt;0)</f>
        <v>1</v>
      </c>
    </row>
    <row r="219" spans="1:9" x14ac:dyDescent="0.45">
      <c r="A219" s="4">
        <v>45604</v>
      </c>
      <c r="B219" t="s">
        <v>4106</v>
      </c>
      <c r="C219" t="s">
        <v>4509</v>
      </c>
      <c r="D219" t="s">
        <v>2108</v>
      </c>
      <c r="E219" t="s">
        <v>4510</v>
      </c>
      <c r="F219" t="s">
        <v>1600</v>
      </c>
      <c r="G219" t="s">
        <v>919</v>
      </c>
      <c r="H219">
        <v>24</v>
      </c>
      <c r="I219" t="b">
        <f>AND(COUNTIF(CO!A:A,A219)&gt;0,COUNTIF('NO2'!A:A,A219)&gt;0,COUNTIF('O3'!A:A,A219)&gt;0,COUNTIF('PM10'!A:A,A219)&gt;0,COUNTIF('PM2.5'!A:A,A219)&gt;0,COUNTIF(Kendaraan!A:A,A219)&gt;0)</f>
        <v>1</v>
      </c>
    </row>
    <row r="220" spans="1:9" x14ac:dyDescent="0.45">
      <c r="A220" s="4">
        <v>45605</v>
      </c>
      <c r="B220" t="s">
        <v>4482</v>
      </c>
      <c r="C220" t="s">
        <v>4511</v>
      </c>
      <c r="D220" t="s">
        <v>4067</v>
      </c>
      <c r="E220" t="s">
        <v>4512</v>
      </c>
      <c r="F220" t="s">
        <v>4513</v>
      </c>
      <c r="G220" s="1">
        <v>1733</v>
      </c>
      <c r="H220">
        <v>24</v>
      </c>
      <c r="I220" t="b">
        <f>AND(COUNTIF(CO!A:A,A220)&gt;0,COUNTIF('NO2'!A:A,A220)&gt;0,COUNTIF('O3'!A:A,A220)&gt;0,COUNTIF('PM10'!A:A,A220)&gt;0,COUNTIF('PM2.5'!A:A,A220)&gt;0,COUNTIF(Kendaraan!A:A,A220)&gt;0)</f>
        <v>1</v>
      </c>
    </row>
    <row r="221" spans="1:9" x14ac:dyDescent="0.45">
      <c r="A221" s="4">
        <v>45606</v>
      </c>
      <c r="B221" t="s">
        <v>3968</v>
      </c>
      <c r="C221" t="s">
        <v>4514</v>
      </c>
      <c r="D221" t="s">
        <v>4515</v>
      </c>
      <c r="E221" t="s">
        <v>4516</v>
      </c>
      <c r="F221" t="s">
        <v>4517</v>
      </c>
      <c r="G221" s="1">
        <v>2159</v>
      </c>
      <c r="H221">
        <v>24</v>
      </c>
      <c r="I221" t="b">
        <f>AND(COUNTIF(CO!A:A,A221)&gt;0,COUNTIF('NO2'!A:A,A221)&gt;0,COUNTIF('O3'!A:A,A221)&gt;0,COUNTIF('PM10'!A:A,A221)&gt;0,COUNTIF('PM2.5'!A:A,A221)&gt;0,COUNTIF(Kendaraan!A:A,A221)&gt;0)</f>
        <v>1</v>
      </c>
    </row>
    <row r="222" spans="1:9" x14ac:dyDescent="0.45">
      <c r="A222" s="4">
        <v>45607</v>
      </c>
      <c r="B222" t="s">
        <v>4466</v>
      </c>
      <c r="C222" t="s">
        <v>4518</v>
      </c>
      <c r="D222" t="s">
        <v>4220</v>
      </c>
      <c r="E222" t="s">
        <v>4494</v>
      </c>
      <c r="F222" t="s">
        <v>4519</v>
      </c>
      <c r="G222" s="1">
        <v>5078</v>
      </c>
      <c r="H222">
        <v>24</v>
      </c>
      <c r="I222" t="b">
        <f>AND(COUNTIF(CO!A:A,A222)&gt;0,COUNTIF('NO2'!A:A,A222)&gt;0,COUNTIF('O3'!A:A,A222)&gt;0,COUNTIF('PM10'!A:A,A222)&gt;0,COUNTIF('PM2.5'!A:A,A222)&gt;0,COUNTIF(Kendaraan!A:A,A222)&gt;0)</f>
        <v>1</v>
      </c>
    </row>
    <row r="223" spans="1:9" x14ac:dyDescent="0.45">
      <c r="A223" s="4">
        <v>45608</v>
      </c>
      <c r="B223" t="s">
        <v>4411</v>
      </c>
      <c r="C223" t="s">
        <v>999</v>
      </c>
      <c r="D223" t="s">
        <v>4520</v>
      </c>
      <c r="E223" t="s">
        <v>4521</v>
      </c>
      <c r="F223" t="s">
        <v>4522</v>
      </c>
      <c r="G223" s="1">
        <v>2926</v>
      </c>
      <c r="H223">
        <v>24</v>
      </c>
      <c r="I223" t="b">
        <f>AND(COUNTIF(CO!A:A,A223)&gt;0,COUNTIF('NO2'!A:A,A223)&gt;0,COUNTIF('O3'!A:A,A223)&gt;0,COUNTIF('PM10'!A:A,A223)&gt;0,COUNTIF('PM2.5'!A:A,A223)&gt;0,COUNTIF(Kendaraan!A:A,A223)&gt;0)</f>
        <v>1</v>
      </c>
    </row>
    <row r="224" spans="1:9" x14ac:dyDescent="0.45">
      <c r="A224" s="4">
        <v>45609</v>
      </c>
      <c r="B224" t="s">
        <v>4523</v>
      </c>
      <c r="C224" t="s">
        <v>4524</v>
      </c>
      <c r="D224" t="s">
        <v>4525</v>
      </c>
      <c r="E224" t="s">
        <v>4526</v>
      </c>
      <c r="F224" t="s">
        <v>4527</v>
      </c>
      <c r="G224" s="1">
        <v>1446</v>
      </c>
      <c r="H224">
        <v>24</v>
      </c>
      <c r="I224" t="b">
        <f>AND(COUNTIF(CO!A:A,A224)&gt;0,COUNTIF('NO2'!A:A,A224)&gt;0,COUNTIF('O3'!A:A,A224)&gt;0,COUNTIF('PM10'!A:A,A224)&gt;0,COUNTIF('PM2.5'!A:A,A224)&gt;0,COUNTIF(Kendaraan!A:A,A224)&gt;0)</f>
        <v>1</v>
      </c>
    </row>
    <row r="225" spans="1:9" x14ac:dyDescent="0.45">
      <c r="A225" s="4">
        <v>45610</v>
      </c>
      <c r="B225" t="s">
        <v>4528</v>
      </c>
      <c r="C225" t="s">
        <v>980</v>
      </c>
      <c r="D225" t="s">
        <v>4529</v>
      </c>
      <c r="E225" t="s">
        <v>4530</v>
      </c>
      <c r="F225" t="s">
        <v>4531</v>
      </c>
      <c r="G225" t="s">
        <v>181</v>
      </c>
      <c r="H225">
        <v>24</v>
      </c>
      <c r="I225" t="b">
        <f>AND(COUNTIF(CO!A:A,A225)&gt;0,COUNTIF('NO2'!A:A,A225)&gt;0,COUNTIF('O3'!A:A,A225)&gt;0,COUNTIF('PM10'!A:A,A225)&gt;0,COUNTIF('PM2.5'!A:A,A225)&gt;0,COUNTIF(Kendaraan!A:A,A225)&gt;0)</f>
        <v>1</v>
      </c>
    </row>
    <row r="226" spans="1:9" x14ac:dyDescent="0.45">
      <c r="A226" s="4">
        <v>45611</v>
      </c>
      <c r="B226" t="s">
        <v>4532</v>
      </c>
      <c r="C226" t="s">
        <v>4533</v>
      </c>
      <c r="D226" t="s">
        <v>4534</v>
      </c>
      <c r="E226" t="s">
        <v>4535</v>
      </c>
      <c r="F226" t="s">
        <v>4525</v>
      </c>
      <c r="G226" s="1">
        <v>2795</v>
      </c>
      <c r="H226">
        <v>24</v>
      </c>
      <c r="I226" t="b">
        <f>AND(COUNTIF(CO!A:A,A226)&gt;0,COUNTIF('NO2'!A:A,A226)&gt;0,COUNTIF('O3'!A:A,A226)&gt;0,COUNTIF('PM10'!A:A,A226)&gt;0,COUNTIF('PM2.5'!A:A,A226)&gt;0,COUNTIF(Kendaraan!A:A,A226)&gt;0)</f>
        <v>1</v>
      </c>
    </row>
    <row r="227" spans="1:9" x14ac:dyDescent="0.45">
      <c r="A227" s="4">
        <v>45612</v>
      </c>
      <c r="B227" t="s">
        <v>4536</v>
      </c>
      <c r="C227" t="s">
        <v>4537</v>
      </c>
      <c r="D227" t="s">
        <v>4538</v>
      </c>
      <c r="E227" t="s">
        <v>381</v>
      </c>
      <c r="F227" t="s">
        <v>4539</v>
      </c>
      <c r="G227" s="1">
        <v>4486</v>
      </c>
      <c r="H227">
        <v>24</v>
      </c>
      <c r="I227" t="b">
        <f>AND(COUNTIF(CO!A:A,A227)&gt;0,COUNTIF('NO2'!A:A,A227)&gt;0,COUNTIF('O3'!A:A,A227)&gt;0,COUNTIF('PM10'!A:A,A227)&gt;0,COUNTIF('PM2.5'!A:A,A227)&gt;0,COUNTIF(Kendaraan!A:A,A227)&gt;0)</f>
        <v>1</v>
      </c>
    </row>
    <row r="228" spans="1:9" x14ac:dyDescent="0.45">
      <c r="A228" s="4">
        <v>45613</v>
      </c>
      <c r="B228" t="s">
        <v>386</v>
      </c>
      <c r="C228" t="s">
        <v>320</v>
      </c>
      <c r="D228" t="s">
        <v>311</v>
      </c>
      <c r="E228" t="s">
        <v>4540</v>
      </c>
      <c r="F228" t="s">
        <v>4537</v>
      </c>
      <c r="G228" s="1">
        <v>5363</v>
      </c>
      <c r="H228">
        <v>24</v>
      </c>
      <c r="I228" t="b">
        <f>AND(COUNTIF(CO!A:A,A228)&gt;0,COUNTIF('NO2'!A:A,A228)&gt;0,COUNTIF('O3'!A:A,A228)&gt;0,COUNTIF('PM10'!A:A,A228)&gt;0,COUNTIF('PM2.5'!A:A,A228)&gt;0,COUNTIF(Kendaraan!A:A,A228)&gt;0)</f>
        <v>1</v>
      </c>
    </row>
    <row r="229" spans="1:9" x14ac:dyDescent="0.45">
      <c r="A229" s="4">
        <v>45614</v>
      </c>
      <c r="B229" t="s">
        <v>4541</v>
      </c>
      <c r="C229" t="s">
        <v>1618</v>
      </c>
      <c r="D229" t="s">
        <v>4021</v>
      </c>
      <c r="E229" t="s">
        <v>4252</v>
      </c>
      <c r="F229" t="s">
        <v>4542</v>
      </c>
      <c r="G229" s="1">
        <v>1754</v>
      </c>
      <c r="H229">
        <v>24</v>
      </c>
      <c r="I229" t="b">
        <f>AND(COUNTIF(CO!A:A,A229)&gt;0,COUNTIF('NO2'!A:A,A229)&gt;0,COUNTIF('O3'!A:A,A229)&gt;0,COUNTIF('PM10'!A:A,A229)&gt;0,COUNTIF('PM2.5'!A:A,A229)&gt;0,COUNTIF(Kendaraan!A:A,A229)&gt;0)</f>
        <v>1</v>
      </c>
    </row>
    <row r="230" spans="1:9" x14ac:dyDescent="0.45">
      <c r="A230" s="4">
        <v>45615</v>
      </c>
      <c r="B230" t="s">
        <v>4543</v>
      </c>
      <c r="C230" t="s">
        <v>4215</v>
      </c>
      <c r="D230" t="s">
        <v>4544</v>
      </c>
      <c r="E230" t="s">
        <v>4545</v>
      </c>
      <c r="F230" t="s">
        <v>4181</v>
      </c>
      <c r="G230" t="s">
        <v>3393</v>
      </c>
      <c r="H230">
        <v>24</v>
      </c>
      <c r="I230" t="b">
        <f>AND(COUNTIF(CO!A:A,A230)&gt;0,COUNTIF('NO2'!A:A,A230)&gt;0,COUNTIF('O3'!A:A,A230)&gt;0,COUNTIF('PM10'!A:A,A230)&gt;0,COUNTIF('PM2.5'!A:A,A230)&gt;0,COUNTIF(Kendaraan!A:A,A230)&gt;0)</f>
        <v>1</v>
      </c>
    </row>
    <row r="231" spans="1:9" x14ac:dyDescent="0.45">
      <c r="A231" s="4">
        <v>45616</v>
      </c>
      <c r="B231" t="s">
        <v>4546</v>
      </c>
      <c r="C231" t="s">
        <v>2104</v>
      </c>
      <c r="D231" t="s">
        <v>4547</v>
      </c>
      <c r="E231" t="s">
        <v>4548</v>
      </c>
      <c r="F231" t="s">
        <v>4549</v>
      </c>
      <c r="G231" s="1">
        <v>1361</v>
      </c>
      <c r="H231">
        <v>24</v>
      </c>
      <c r="I231" t="b">
        <f>AND(COUNTIF(CO!A:A,A231)&gt;0,COUNTIF('NO2'!A:A,A231)&gt;0,COUNTIF('O3'!A:A,A231)&gt;0,COUNTIF('PM10'!A:A,A231)&gt;0,COUNTIF('PM2.5'!A:A,A231)&gt;0,COUNTIF(Kendaraan!A:A,A231)&gt;0)</f>
        <v>1</v>
      </c>
    </row>
    <row r="232" spans="1:9" x14ac:dyDescent="0.45">
      <c r="A232" s="4">
        <v>45617</v>
      </c>
      <c r="B232" t="s">
        <v>4550</v>
      </c>
      <c r="C232" t="s">
        <v>4551</v>
      </c>
      <c r="D232" t="s">
        <v>2099</v>
      </c>
      <c r="E232" t="s">
        <v>4548</v>
      </c>
      <c r="F232" t="s">
        <v>4552</v>
      </c>
      <c r="G232" s="1">
        <v>3139</v>
      </c>
      <c r="H232">
        <v>24</v>
      </c>
      <c r="I232" t="b">
        <f>AND(COUNTIF(CO!A:A,A232)&gt;0,COUNTIF('NO2'!A:A,A232)&gt;0,COUNTIF('O3'!A:A,A232)&gt;0,COUNTIF('PM10'!A:A,A232)&gt;0,COUNTIF('PM2.5'!A:A,A232)&gt;0,COUNTIF(Kendaraan!A:A,A232)&gt;0)</f>
        <v>1</v>
      </c>
    </row>
    <row r="233" spans="1:9" x14ac:dyDescent="0.45">
      <c r="A233" s="4">
        <v>45618</v>
      </c>
      <c r="B233" t="s">
        <v>4195</v>
      </c>
      <c r="C233" t="s">
        <v>4553</v>
      </c>
      <c r="D233" t="s">
        <v>303</v>
      </c>
      <c r="E233" t="s">
        <v>4554</v>
      </c>
      <c r="F233" t="s">
        <v>961</v>
      </c>
      <c r="G233" s="1">
        <v>3037</v>
      </c>
      <c r="H233">
        <v>24</v>
      </c>
      <c r="I233" t="b">
        <f>AND(COUNTIF(CO!A:A,A233)&gt;0,COUNTIF('NO2'!A:A,A233)&gt;0,COUNTIF('O3'!A:A,A233)&gt;0,COUNTIF('PM10'!A:A,A233)&gt;0,COUNTIF('PM2.5'!A:A,A233)&gt;0,COUNTIF(Kendaraan!A:A,A233)&gt;0)</f>
        <v>1</v>
      </c>
    </row>
    <row r="234" spans="1:9" x14ac:dyDescent="0.45">
      <c r="A234" s="4">
        <v>45619</v>
      </c>
      <c r="B234">
        <v>79</v>
      </c>
      <c r="C234" t="s">
        <v>1013</v>
      </c>
      <c r="D234" t="s">
        <v>4555</v>
      </c>
      <c r="E234" t="s">
        <v>4556</v>
      </c>
      <c r="F234" t="s">
        <v>4557</v>
      </c>
      <c r="G234" s="1">
        <v>2943</v>
      </c>
      <c r="H234">
        <v>24</v>
      </c>
      <c r="I234" t="b">
        <f>AND(COUNTIF(CO!A:A,A234)&gt;0,COUNTIF('NO2'!A:A,A234)&gt;0,COUNTIF('O3'!A:A,A234)&gt;0,COUNTIF('PM10'!A:A,A234)&gt;0,COUNTIF('PM2.5'!A:A,A234)&gt;0,COUNTIF(Kendaraan!A:A,A234)&gt;0)</f>
        <v>1</v>
      </c>
    </row>
    <row r="235" spans="1:9" x14ac:dyDescent="0.45">
      <c r="A235" s="4">
        <v>45620</v>
      </c>
      <c r="B235" t="s">
        <v>4558</v>
      </c>
      <c r="C235" t="s">
        <v>4559</v>
      </c>
      <c r="D235" t="s">
        <v>390</v>
      </c>
      <c r="E235" t="s">
        <v>4560</v>
      </c>
      <c r="F235" t="s">
        <v>4561</v>
      </c>
      <c r="G235" s="1">
        <v>1415</v>
      </c>
      <c r="H235">
        <v>24</v>
      </c>
      <c r="I235" t="b">
        <f>AND(COUNTIF(CO!A:A,A235)&gt;0,COUNTIF('NO2'!A:A,A235)&gt;0,COUNTIF('O3'!A:A,A235)&gt;0,COUNTIF('PM10'!A:A,A235)&gt;0,COUNTIF('PM2.5'!A:A,A235)&gt;0,COUNTIF(Kendaraan!A:A,A235)&gt;0)</f>
        <v>1</v>
      </c>
    </row>
    <row r="236" spans="1:9" x14ac:dyDescent="0.45">
      <c r="A236" s="4">
        <v>45621</v>
      </c>
      <c r="B236" t="s">
        <v>4562</v>
      </c>
      <c r="C236" t="s">
        <v>4207</v>
      </c>
      <c r="D236" t="s">
        <v>4466</v>
      </c>
      <c r="E236" t="s">
        <v>4563</v>
      </c>
      <c r="F236" t="s">
        <v>4564</v>
      </c>
      <c r="G236" s="1">
        <v>7519</v>
      </c>
      <c r="H236">
        <v>21</v>
      </c>
      <c r="I236" t="b">
        <f>AND(COUNTIF(CO!A:A,A236)&gt;0,COUNTIF('NO2'!A:A,A236)&gt;0,COUNTIF('O3'!A:A,A236)&gt;0,COUNTIF('PM10'!A:A,A236)&gt;0,COUNTIF('PM2.5'!A:A,A236)&gt;0,COUNTIF(Kendaraan!A:A,A236)&gt;0)</f>
        <v>1</v>
      </c>
    </row>
    <row r="237" spans="1:9" x14ac:dyDescent="0.45">
      <c r="A237" s="4">
        <v>45622</v>
      </c>
      <c r="B237" t="s">
        <v>4565</v>
      </c>
      <c r="C237" t="s">
        <v>2134</v>
      </c>
      <c r="D237" t="s">
        <v>4566</v>
      </c>
      <c r="E237" t="s">
        <v>4567</v>
      </c>
      <c r="F237" t="s">
        <v>3333</v>
      </c>
      <c r="G237" t="s">
        <v>146</v>
      </c>
      <c r="H237">
        <v>24</v>
      </c>
      <c r="I237" t="b">
        <f>AND(COUNTIF(CO!A:A,A237)&gt;0,COUNTIF('NO2'!A:A,A237)&gt;0,COUNTIF('O3'!A:A,A237)&gt;0,COUNTIF('PM10'!A:A,A237)&gt;0,COUNTIF('PM2.5'!A:A,A237)&gt;0,COUNTIF(Kendaraan!A:A,A237)&gt;0)</f>
        <v>1</v>
      </c>
    </row>
    <row r="238" spans="1:9" x14ac:dyDescent="0.45">
      <c r="A238" s="4">
        <v>45623</v>
      </c>
      <c r="B238" t="s">
        <v>4568</v>
      </c>
      <c r="C238" t="s">
        <v>3980</v>
      </c>
      <c r="D238" t="s">
        <v>2913</v>
      </c>
      <c r="E238" t="s">
        <v>4569</v>
      </c>
      <c r="F238" t="s">
        <v>4570</v>
      </c>
      <c r="G238" t="s">
        <v>1189</v>
      </c>
      <c r="H238">
        <v>24</v>
      </c>
      <c r="I238" t="b">
        <f>AND(COUNTIF(CO!A:A,A238)&gt;0,COUNTIF('NO2'!A:A,A238)&gt;0,COUNTIF('O3'!A:A,A238)&gt;0,COUNTIF('PM10'!A:A,A238)&gt;0,COUNTIF('PM2.5'!A:A,A238)&gt;0,COUNTIF(Kendaraan!A:A,A238)&gt;0)</f>
        <v>1</v>
      </c>
    </row>
    <row r="239" spans="1:9" x14ac:dyDescent="0.45">
      <c r="A239" s="4">
        <v>45624</v>
      </c>
      <c r="B239" t="s">
        <v>4571</v>
      </c>
      <c r="C239" t="s">
        <v>3958</v>
      </c>
      <c r="D239" t="s">
        <v>4572</v>
      </c>
      <c r="E239" t="s">
        <v>4573</v>
      </c>
      <c r="F239" t="s">
        <v>3661</v>
      </c>
      <c r="G239" t="s">
        <v>4574</v>
      </c>
      <c r="H239">
        <v>24</v>
      </c>
      <c r="I239" t="b">
        <f>AND(COUNTIF(CO!A:A,A239)&gt;0,COUNTIF('NO2'!A:A,A239)&gt;0,COUNTIF('O3'!A:A,A239)&gt;0,COUNTIF('PM10'!A:A,A239)&gt;0,COUNTIF('PM2.5'!A:A,A239)&gt;0,COUNTIF(Kendaraan!A:A,A239)&gt;0)</f>
        <v>1</v>
      </c>
    </row>
    <row r="240" spans="1:9" x14ac:dyDescent="0.45">
      <c r="A240" s="4">
        <v>45625</v>
      </c>
      <c r="B240" t="s">
        <v>2292</v>
      </c>
      <c r="C240" t="s">
        <v>4575</v>
      </c>
      <c r="D240" t="s">
        <v>4576</v>
      </c>
      <c r="E240" t="s">
        <v>4577</v>
      </c>
      <c r="F240" t="s">
        <v>4578</v>
      </c>
      <c r="G240" t="s">
        <v>1392</v>
      </c>
      <c r="H240">
        <v>24</v>
      </c>
      <c r="I240" t="b">
        <f>AND(COUNTIF(CO!A:A,A240)&gt;0,COUNTIF('NO2'!A:A,A240)&gt;0,COUNTIF('O3'!A:A,A240)&gt;0,COUNTIF('PM10'!A:A,A240)&gt;0,COUNTIF('PM2.5'!A:A,A240)&gt;0,COUNTIF(Kendaraan!A:A,A240)&gt;0)</f>
        <v>1</v>
      </c>
    </row>
    <row r="241" spans="1:9" x14ac:dyDescent="0.45">
      <c r="A241" s="4">
        <v>45626</v>
      </c>
      <c r="B241" t="s">
        <v>3517</v>
      </c>
      <c r="C241" t="s">
        <v>2051</v>
      </c>
      <c r="D241" t="s">
        <v>1024</v>
      </c>
      <c r="E241" t="s">
        <v>4402</v>
      </c>
      <c r="F241" t="s">
        <v>3887</v>
      </c>
      <c r="G241" t="s">
        <v>4579</v>
      </c>
      <c r="H241">
        <v>24</v>
      </c>
      <c r="I241" t="b">
        <f>AND(COUNTIF(CO!A:A,A241)&gt;0,COUNTIF('NO2'!A:A,A241)&gt;0,COUNTIF('O3'!A:A,A241)&gt;0,COUNTIF('PM10'!A:A,A241)&gt;0,COUNTIF('PM2.5'!A:A,A241)&gt;0,COUNTIF(Kendaraan!A:A,A241)&gt;0)</f>
        <v>1</v>
      </c>
    </row>
    <row r="242" spans="1:9" x14ac:dyDescent="0.45">
      <c r="A242" s="4">
        <v>45627</v>
      </c>
      <c r="B242" t="s">
        <v>2182</v>
      </c>
      <c r="C242" t="s">
        <v>4580</v>
      </c>
      <c r="D242" t="s">
        <v>4581</v>
      </c>
      <c r="E242" t="s">
        <v>4306</v>
      </c>
      <c r="F242" t="s">
        <v>4582</v>
      </c>
      <c r="G242" t="s">
        <v>2444</v>
      </c>
      <c r="H242">
        <v>24</v>
      </c>
      <c r="I242" t="b">
        <f>AND(COUNTIF(CO!A:A,A242)&gt;0,COUNTIF('NO2'!A:A,A242)&gt;0,COUNTIF('O3'!A:A,A242)&gt;0,COUNTIF('PM10'!A:A,A242)&gt;0,COUNTIF('PM2.5'!A:A,A242)&gt;0,COUNTIF(Kendaraan!A:A,A242)&gt;0)</f>
        <v>1</v>
      </c>
    </row>
    <row r="243" spans="1:9" x14ac:dyDescent="0.45">
      <c r="A243" s="4">
        <v>45628</v>
      </c>
      <c r="B243" t="s">
        <v>4583</v>
      </c>
      <c r="C243" t="s">
        <v>4584</v>
      </c>
      <c r="D243" t="s">
        <v>4585</v>
      </c>
      <c r="E243" t="s">
        <v>3333</v>
      </c>
      <c r="F243" t="s">
        <v>4586</v>
      </c>
      <c r="G243" t="s">
        <v>3979</v>
      </c>
      <c r="H243">
        <v>24</v>
      </c>
      <c r="I243" t="b">
        <f>AND(COUNTIF(CO!A:A,A243)&gt;0,COUNTIF('NO2'!A:A,A243)&gt;0,COUNTIF('O3'!A:A,A243)&gt;0,COUNTIF('PM10'!A:A,A243)&gt;0,COUNTIF('PM2.5'!A:A,A243)&gt;0,COUNTIF(Kendaraan!A:A,A243)&gt;0)</f>
        <v>1</v>
      </c>
    </row>
    <row r="244" spans="1:9" x14ac:dyDescent="0.45">
      <c r="A244" s="4">
        <v>45629</v>
      </c>
      <c r="B244" t="s">
        <v>4587</v>
      </c>
      <c r="C244" t="s">
        <v>3295</v>
      </c>
      <c r="D244" t="s">
        <v>2054</v>
      </c>
      <c r="E244" t="s">
        <v>4588</v>
      </c>
      <c r="F244" t="s">
        <v>4589</v>
      </c>
      <c r="G244" t="s">
        <v>1179</v>
      </c>
      <c r="H244">
        <v>24</v>
      </c>
      <c r="I244" t="b">
        <f>AND(COUNTIF(CO!A:A,A244)&gt;0,COUNTIF('NO2'!A:A,A244)&gt;0,COUNTIF('O3'!A:A,A244)&gt;0,COUNTIF('PM10'!A:A,A244)&gt;0,COUNTIF('PM2.5'!A:A,A244)&gt;0,COUNTIF(Kendaraan!A:A,A244)&gt;0)</f>
        <v>1</v>
      </c>
    </row>
    <row r="245" spans="1:9" x14ac:dyDescent="0.45">
      <c r="A245" s="4">
        <v>45630</v>
      </c>
      <c r="B245" t="s">
        <v>4590</v>
      </c>
      <c r="C245" t="s">
        <v>4591</v>
      </c>
      <c r="D245" t="s">
        <v>4592</v>
      </c>
      <c r="E245" t="s">
        <v>2055</v>
      </c>
      <c r="F245" t="s">
        <v>4593</v>
      </c>
      <c r="G245" t="s">
        <v>3192</v>
      </c>
      <c r="H245">
        <v>24</v>
      </c>
      <c r="I245" t="b">
        <f>AND(COUNTIF(CO!A:A,A245)&gt;0,COUNTIF('NO2'!A:A,A245)&gt;0,COUNTIF('O3'!A:A,A245)&gt;0,COUNTIF('PM10'!A:A,A245)&gt;0,COUNTIF('PM2.5'!A:A,A245)&gt;0,COUNTIF(Kendaraan!A:A,A245)&gt;0)</f>
        <v>1</v>
      </c>
    </row>
    <row r="246" spans="1:9" x14ac:dyDescent="0.45">
      <c r="A246" s="4">
        <v>45631</v>
      </c>
      <c r="B246" t="s">
        <v>4283</v>
      </c>
      <c r="C246" t="s">
        <v>4594</v>
      </c>
      <c r="D246" t="s">
        <v>4595</v>
      </c>
      <c r="E246" t="s">
        <v>4596</v>
      </c>
      <c r="F246" t="s">
        <v>4597</v>
      </c>
      <c r="G246" s="1">
        <v>1774</v>
      </c>
      <c r="H246">
        <v>24</v>
      </c>
      <c r="I246" t="b">
        <f>AND(COUNTIF(CO!A:A,A246)&gt;0,COUNTIF('NO2'!A:A,A246)&gt;0,COUNTIF('O3'!A:A,A246)&gt;0,COUNTIF('PM10'!A:A,A246)&gt;0,COUNTIF('PM2.5'!A:A,A246)&gt;0,COUNTIF(Kendaraan!A:A,A246)&gt;0)</f>
        <v>1</v>
      </c>
    </row>
    <row r="247" spans="1:9" x14ac:dyDescent="0.45">
      <c r="A247" s="4">
        <v>45632</v>
      </c>
      <c r="B247" t="s">
        <v>3830</v>
      </c>
      <c r="C247" t="s">
        <v>4598</v>
      </c>
      <c r="D247" t="s">
        <v>3534</v>
      </c>
      <c r="E247" t="s">
        <v>4599</v>
      </c>
      <c r="F247" t="s">
        <v>4600</v>
      </c>
      <c r="G247" s="1">
        <v>1245</v>
      </c>
      <c r="H247">
        <v>24</v>
      </c>
      <c r="I247" t="b">
        <f>AND(COUNTIF(CO!A:A,A247)&gt;0,COUNTIF('NO2'!A:A,A247)&gt;0,COUNTIF('O3'!A:A,A247)&gt;0,COUNTIF('PM10'!A:A,A247)&gt;0,COUNTIF('PM2.5'!A:A,A247)&gt;0,COUNTIF(Kendaraan!A:A,A247)&gt;0)</f>
        <v>1</v>
      </c>
    </row>
    <row r="248" spans="1:9" x14ac:dyDescent="0.45">
      <c r="A248" s="4">
        <v>45633</v>
      </c>
      <c r="B248" t="s">
        <v>3886</v>
      </c>
      <c r="C248" t="s">
        <v>4601</v>
      </c>
      <c r="D248" t="s">
        <v>4602</v>
      </c>
      <c r="E248" t="s">
        <v>4603</v>
      </c>
      <c r="F248" t="s">
        <v>4604</v>
      </c>
      <c r="G248" s="1">
        <v>1104</v>
      </c>
      <c r="H248">
        <v>24</v>
      </c>
      <c r="I248" t="b">
        <f>AND(COUNTIF(CO!A:A,A248)&gt;0,COUNTIF('NO2'!A:A,A248)&gt;0,COUNTIF('O3'!A:A,A248)&gt;0,COUNTIF('PM10'!A:A,A248)&gt;0,COUNTIF('PM2.5'!A:A,A248)&gt;0,COUNTIF(Kendaraan!A:A,A248)&gt;0)</f>
        <v>1</v>
      </c>
    </row>
    <row r="249" spans="1:9" x14ac:dyDescent="0.45">
      <c r="A249" s="4">
        <v>45634</v>
      </c>
      <c r="B249" t="s">
        <v>4605</v>
      </c>
      <c r="C249" t="s">
        <v>4606</v>
      </c>
      <c r="D249" t="s">
        <v>4308</v>
      </c>
      <c r="E249" t="s">
        <v>4607</v>
      </c>
      <c r="F249" t="s">
        <v>4608</v>
      </c>
      <c r="G249" s="1">
        <v>1055</v>
      </c>
      <c r="H249">
        <v>24</v>
      </c>
      <c r="I249" t="b">
        <f>AND(COUNTIF(CO!A:A,A249)&gt;0,COUNTIF('NO2'!A:A,A249)&gt;0,COUNTIF('O3'!A:A,A249)&gt;0,COUNTIF('PM10'!A:A,A249)&gt;0,COUNTIF('PM2.5'!A:A,A249)&gt;0,COUNTIF(Kendaraan!A:A,A249)&gt;0)</f>
        <v>1</v>
      </c>
    </row>
    <row r="250" spans="1:9" x14ac:dyDescent="0.45">
      <c r="A250" s="4">
        <v>45635</v>
      </c>
      <c r="B250" t="s">
        <v>3417</v>
      </c>
      <c r="C250" t="s">
        <v>2135</v>
      </c>
      <c r="D250" t="s">
        <v>4609</v>
      </c>
      <c r="E250" t="s">
        <v>4610</v>
      </c>
      <c r="F250" t="s">
        <v>4611</v>
      </c>
      <c r="G250" t="s">
        <v>2117</v>
      </c>
      <c r="H250">
        <v>24</v>
      </c>
      <c r="I250" t="b">
        <f>AND(COUNTIF(CO!A:A,A250)&gt;0,COUNTIF('NO2'!A:A,A250)&gt;0,COUNTIF('O3'!A:A,A250)&gt;0,COUNTIF('PM10'!A:A,A250)&gt;0,COUNTIF('PM2.5'!A:A,A250)&gt;0,COUNTIF(Kendaraan!A:A,A250)&gt;0)</f>
        <v>1</v>
      </c>
    </row>
    <row r="251" spans="1:9" x14ac:dyDescent="0.45">
      <c r="A251" s="4">
        <v>45636</v>
      </c>
      <c r="B251" t="s">
        <v>2159</v>
      </c>
      <c r="C251" t="s">
        <v>4612</v>
      </c>
      <c r="D251" t="s">
        <v>4613</v>
      </c>
      <c r="E251" t="s">
        <v>4614</v>
      </c>
      <c r="F251" t="s">
        <v>4615</v>
      </c>
      <c r="G251" t="s">
        <v>4616</v>
      </c>
      <c r="H251">
        <v>24</v>
      </c>
      <c r="I251" t="b">
        <f>AND(COUNTIF(CO!A:A,A251)&gt;0,COUNTIF('NO2'!A:A,A251)&gt;0,COUNTIF('O3'!A:A,A251)&gt;0,COUNTIF('PM10'!A:A,A251)&gt;0,COUNTIF('PM2.5'!A:A,A251)&gt;0,COUNTIF(Kendaraan!A:A,A251)&gt;0)</f>
        <v>1</v>
      </c>
    </row>
    <row r="252" spans="1:9" x14ac:dyDescent="0.45">
      <c r="A252" s="4">
        <v>45637</v>
      </c>
      <c r="B252" t="s">
        <v>4617</v>
      </c>
      <c r="C252" t="s">
        <v>3854</v>
      </c>
      <c r="D252" t="s">
        <v>4618</v>
      </c>
      <c r="E252" t="s">
        <v>4619</v>
      </c>
      <c r="F252" t="s">
        <v>4620</v>
      </c>
      <c r="G252" s="1">
        <v>1552</v>
      </c>
      <c r="H252">
        <v>24</v>
      </c>
      <c r="I252" t="b">
        <f>AND(COUNTIF(CO!A:A,A252)&gt;0,COUNTIF('NO2'!A:A,A252)&gt;0,COUNTIF('O3'!A:A,A252)&gt;0,COUNTIF('PM10'!A:A,A252)&gt;0,COUNTIF('PM2.5'!A:A,A252)&gt;0,COUNTIF(Kendaraan!A:A,A252)&gt;0)</f>
        <v>1</v>
      </c>
    </row>
    <row r="253" spans="1:9" x14ac:dyDescent="0.45">
      <c r="A253" s="4">
        <v>45638</v>
      </c>
      <c r="B253" t="s">
        <v>4621</v>
      </c>
      <c r="C253" t="s">
        <v>3969</v>
      </c>
      <c r="D253" t="s">
        <v>4622</v>
      </c>
      <c r="E253" t="s">
        <v>4623</v>
      </c>
      <c r="F253" t="s">
        <v>3842</v>
      </c>
      <c r="G253" t="s">
        <v>4624</v>
      </c>
      <c r="H253">
        <v>24</v>
      </c>
      <c r="I253" t="b">
        <f>AND(COUNTIF(CO!A:A,A253)&gt;0,COUNTIF('NO2'!A:A,A253)&gt;0,COUNTIF('O3'!A:A,A253)&gt;0,COUNTIF('PM10'!A:A,A253)&gt;0,COUNTIF('PM2.5'!A:A,A253)&gt;0,COUNTIF(Kendaraan!A:A,A253)&gt;0)</f>
        <v>1</v>
      </c>
    </row>
    <row r="254" spans="1:9" x14ac:dyDescent="0.45">
      <c r="A254" s="4">
        <v>45639</v>
      </c>
      <c r="B254" t="s">
        <v>4625</v>
      </c>
      <c r="C254" t="s">
        <v>4626</v>
      </c>
      <c r="D254" t="s">
        <v>4459</v>
      </c>
      <c r="E254" t="s">
        <v>4627</v>
      </c>
      <c r="F254" t="s">
        <v>4047</v>
      </c>
      <c r="G254" s="1">
        <v>4693</v>
      </c>
      <c r="H254">
        <v>24</v>
      </c>
      <c r="I254" t="b">
        <f>AND(COUNTIF(CO!A:A,A254)&gt;0,COUNTIF('NO2'!A:A,A254)&gt;0,COUNTIF('O3'!A:A,A254)&gt;0,COUNTIF('PM10'!A:A,A254)&gt;0,COUNTIF('PM2.5'!A:A,A254)&gt;0,COUNTIF(Kendaraan!A:A,A254)&gt;0)</f>
        <v>1</v>
      </c>
    </row>
    <row r="255" spans="1:9" x14ac:dyDescent="0.45">
      <c r="A255" s="4">
        <v>45640</v>
      </c>
      <c r="B255" t="s">
        <v>2052</v>
      </c>
      <c r="C255" t="s">
        <v>2164</v>
      </c>
      <c r="D255" t="s">
        <v>2120</v>
      </c>
      <c r="E255" t="s">
        <v>4628</v>
      </c>
      <c r="F255" t="s">
        <v>4629</v>
      </c>
      <c r="G255" t="s">
        <v>2595</v>
      </c>
      <c r="H255">
        <v>24</v>
      </c>
      <c r="I255" t="b">
        <f>AND(COUNTIF(CO!A:A,A255)&gt;0,COUNTIF('NO2'!A:A,A255)&gt;0,COUNTIF('O3'!A:A,A255)&gt;0,COUNTIF('PM10'!A:A,A255)&gt;0,COUNTIF('PM2.5'!A:A,A255)&gt;0,COUNTIF(Kendaraan!A:A,A255)&gt;0)</f>
        <v>1</v>
      </c>
    </row>
    <row r="256" spans="1:9" x14ac:dyDescent="0.45">
      <c r="A256" s="4">
        <v>45641</v>
      </c>
      <c r="B256" t="s">
        <v>2486</v>
      </c>
      <c r="C256" t="s">
        <v>4630</v>
      </c>
      <c r="D256" t="s">
        <v>3587</v>
      </c>
      <c r="E256" t="s">
        <v>4631</v>
      </c>
      <c r="F256" t="s">
        <v>4632</v>
      </c>
      <c r="G256" s="1">
        <v>1294</v>
      </c>
      <c r="H256">
        <v>24</v>
      </c>
      <c r="I256" t="b">
        <f>AND(COUNTIF(CO!A:A,A256)&gt;0,COUNTIF('NO2'!A:A,A256)&gt;0,COUNTIF('O3'!A:A,A256)&gt;0,COUNTIF('PM10'!A:A,A256)&gt;0,COUNTIF('PM2.5'!A:A,A256)&gt;0,COUNTIF(Kendaraan!A:A,A256)&gt;0)</f>
        <v>1</v>
      </c>
    </row>
    <row r="257" spans="1:9" x14ac:dyDescent="0.45">
      <c r="A257" s="4">
        <v>45642</v>
      </c>
      <c r="B257" t="s">
        <v>4633</v>
      </c>
      <c r="C257" t="s">
        <v>4623</v>
      </c>
      <c r="D257" t="s">
        <v>4634</v>
      </c>
      <c r="E257" t="s">
        <v>4635</v>
      </c>
      <c r="F257" t="s">
        <v>2517</v>
      </c>
      <c r="G257" s="1">
        <v>3021</v>
      </c>
      <c r="H257">
        <v>24</v>
      </c>
      <c r="I257" t="b">
        <f>AND(COUNTIF(CO!A:A,A257)&gt;0,COUNTIF('NO2'!A:A,A257)&gt;0,COUNTIF('O3'!A:A,A257)&gt;0,COUNTIF('PM10'!A:A,A257)&gt;0,COUNTIF('PM2.5'!A:A,A257)&gt;0,COUNTIF(Kendaraan!A:A,A257)&gt;0)</f>
        <v>1</v>
      </c>
    </row>
    <row r="258" spans="1:9" x14ac:dyDescent="0.45">
      <c r="A258" s="4">
        <v>45643</v>
      </c>
      <c r="B258" t="s">
        <v>4636</v>
      </c>
      <c r="C258" t="s">
        <v>4637</v>
      </c>
      <c r="D258" t="s">
        <v>4601</v>
      </c>
      <c r="E258" t="s">
        <v>4638</v>
      </c>
      <c r="F258" t="s">
        <v>4639</v>
      </c>
      <c r="G258" t="s">
        <v>4640</v>
      </c>
      <c r="H258">
        <v>20</v>
      </c>
      <c r="I258" t="b">
        <f>AND(COUNTIF(CO!A:A,A258)&gt;0,COUNTIF('NO2'!A:A,A258)&gt;0,COUNTIF('O3'!A:A,A258)&gt;0,COUNTIF('PM10'!A:A,A258)&gt;0,COUNTIF('PM2.5'!A:A,A258)&gt;0,COUNTIF(Kendaraan!A:A,A258)&gt;0)</f>
        <v>1</v>
      </c>
    </row>
    <row r="259" spans="1:9" x14ac:dyDescent="0.45">
      <c r="A259" s="4">
        <v>45644</v>
      </c>
      <c r="B259" t="s">
        <v>4641</v>
      </c>
      <c r="C259" t="s">
        <v>4642</v>
      </c>
      <c r="D259" t="s">
        <v>4643</v>
      </c>
      <c r="E259" t="s">
        <v>4644</v>
      </c>
      <c r="F259" t="s">
        <v>1601</v>
      </c>
      <c r="G259" s="1">
        <v>4541</v>
      </c>
      <c r="H259">
        <v>22</v>
      </c>
      <c r="I259" t="b">
        <f>AND(COUNTIF(CO!A:A,A259)&gt;0,COUNTIF('NO2'!A:A,A259)&gt;0,COUNTIF('O3'!A:A,A259)&gt;0,COUNTIF('PM10'!A:A,A259)&gt;0,COUNTIF('PM2.5'!A:A,A259)&gt;0,COUNTIF(Kendaraan!A:A,A259)&gt;0)</f>
        <v>1</v>
      </c>
    </row>
    <row r="260" spans="1:9" x14ac:dyDescent="0.45">
      <c r="A260" s="4">
        <v>45645</v>
      </c>
      <c r="B260" t="s">
        <v>4645</v>
      </c>
      <c r="C260" t="s">
        <v>4646</v>
      </c>
      <c r="D260" t="s">
        <v>4647</v>
      </c>
      <c r="E260" t="s">
        <v>4648</v>
      </c>
      <c r="F260" t="s">
        <v>4649</v>
      </c>
      <c r="G260" s="1">
        <v>3787</v>
      </c>
      <c r="H260">
        <v>24</v>
      </c>
      <c r="I260" t="b">
        <f>AND(COUNTIF(CO!A:A,A260)&gt;0,COUNTIF('NO2'!A:A,A260)&gt;0,COUNTIF('O3'!A:A,A260)&gt;0,COUNTIF('PM10'!A:A,A260)&gt;0,COUNTIF('PM2.5'!A:A,A260)&gt;0,COUNTIF(Kendaraan!A:A,A260)&gt;0)</f>
        <v>1</v>
      </c>
    </row>
    <row r="261" spans="1:9" x14ac:dyDescent="0.45">
      <c r="A261" s="4">
        <v>45646</v>
      </c>
      <c r="B261" t="s">
        <v>318</v>
      </c>
      <c r="C261" t="s">
        <v>4535</v>
      </c>
      <c r="D261" t="s">
        <v>299</v>
      </c>
      <c r="E261" t="s">
        <v>4650</v>
      </c>
      <c r="F261" t="s">
        <v>4651</v>
      </c>
      <c r="G261" s="1">
        <v>2494</v>
      </c>
      <c r="H261">
        <v>24</v>
      </c>
      <c r="I261" t="b">
        <f>AND(COUNTIF(CO!A:A,A261)&gt;0,COUNTIF('NO2'!A:A,A261)&gt;0,COUNTIF('O3'!A:A,A261)&gt;0,COUNTIF('PM10'!A:A,A261)&gt;0,COUNTIF('PM2.5'!A:A,A261)&gt;0,COUNTIF(Kendaraan!A:A,A261)&gt;0)</f>
        <v>1</v>
      </c>
    </row>
    <row r="262" spans="1:9" x14ac:dyDescent="0.45">
      <c r="A262" s="4">
        <v>45647</v>
      </c>
      <c r="B262" t="s">
        <v>4652</v>
      </c>
      <c r="C262" t="s">
        <v>4653</v>
      </c>
      <c r="D262" t="s">
        <v>4654</v>
      </c>
      <c r="E262" t="s">
        <v>4655</v>
      </c>
      <c r="F262" t="s">
        <v>4656</v>
      </c>
      <c r="G262" s="1">
        <v>2193</v>
      </c>
      <c r="H262">
        <v>24</v>
      </c>
      <c r="I262" t="b">
        <f>AND(COUNTIF(CO!A:A,A262)&gt;0,COUNTIF('NO2'!A:A,A262)&gt;0,COUNTIF('O3'!A:A,A262)&gt;0,COUNTIF('PM10'!A:A,A262)&gt;0,COUNTIF('PM2.5'!A:A,A262)&gt;0,COUNTIF(Kendaraan!A:A,A262)&gt;0)</f>
        <v>1</v>
      </c>
    </row>
    <row r="263" spans="1:9" x14ac:dyDescent="0.45">
      <c r="A263" s="4">
        <v>45648</v>
      </c>
      <c r="B263" t="s">
        <v>316</v>
      </c>
      <c r="C263" t="s">
        <v>4657</v>
      </c>
      <c r="D263" t="s">
        <v>321</v>
      </c>
      <c r="E263" t="s">
        <v>4658</v>
      </c>
      <c r="F263" t="s">
        <v>4659</v>
      </c>
      <c r="G263" s="1">
        <v>1504</v>
      </c>
      <c r="H263">
        <v>24</v>
      </c>
      <c r="I263" t="b">
        <f>AND(COUNTIF(CO!A:A,A263)&gt;0,COUNTIF('NO2'!A:A,A263)&gt;0,COUNTIF('O3'!A:A,A263)&gt;0,COUNTIF('PM10'!A:A,A263)&gt;0,COUNTIF('PM2.5'!A:A,A263)&gt;0,COUNTIF(Kendaraan!A:A,A263)&gt;0)</f>
        <v>1</v>
      </c>
    </row>
    <row r="264" spans="1:9" x14ac:dyDescent="0.45">
      <c r="A264" s="4">
        <v>45649</v>
      </c>
      <c r="B264" t="s">
        <v>962</v>
      </c>
      <c r="C264" t="s">
        <v>4660</v>
      </c>
      <c r="D264" t="s">
        <v>4661</v>
      </c>
      <c r="E264" t="s">
        <v>4662</v>
      </c>
      <c r="F264" t="s">
        <v>4663</v>
      </c>
      <c r="G264" s="1">
        <v>3564</v>
      </c>
      <c r="H264">
        <v>24</v>
      </c>
      <c r="I264" t="b">
        <f>AND(COUNTIF(CO!A:A,A264)&gt;0,COUNTIF('NO2'!A:A,A264)&gt;0,COUNTIF('O3'!A:A,A264)&gt;0,COUNTIF('PM10'!A:A,A264)&gt;0,COUNTIF('PM2.5'!A:A,A264)&gt;0,COUNTIF(Kendaraan!A:A,A264)&gt;0)</f>
        <v>1</v>
      </c>
    </row>
    <row r="265" spans="1:9" x14ac:dyDescent="0.45">
      <c r="A265" s="4">
        <v>45650</v>
      </c>
      <c r="B265" t="s">
        <v>4664</v>
      </c>
      <c r="C265" t="s">
        <v>4665</v>
      </c>
      <c r="D265" t="s">
        <v>4666</v>
      </c>
      <c r="E265" t="s">
        <v>4667</v>
      </c>
      <c r="F265" t="s">
        <v>4668</v>
      </c>
      <c r="G265" s="1">
        <v>1481</v>
      </c>
      <c r="H265">
        <v>24</v>
      </c>
      <c r="I265" t="b">
        <f>AND(COUNTIF(CO!A:A,A265)&gt;0,COUNTIF('NO2'!A:A,A265)&gt;0,COUNTIF('O3'!A:A,A265)&gt;0,COUNTIF('PM10'!A:A,A265)&gt;0,COUNTIF('PM2.5'!A:A,A265)&gt;0,COUNTIF(Kendaraan!A:A,A265)&gt;0)</f>
        <v>1</v>
      </c>
    </row>
    <row r="266" spans="1:9" x14ac:dyDescent="0.45">
      <c r="A266" s="4">
        <v>45651</v>
      </c>
      <c r="B266" t="s">
        <v>4669</v>
      </c>
      <c r="C266" t="s">
        <v>4670</v>
      </c>
      <c r="D266" t="s">
        <v>4671</v>
      </c>
      <c r="E266" t="s">
        <v>4672</v>
      </c>
      <c r="F266" t="s">
        <v>4673</v>
      </c>
      <c r="G266" t="s">
        <v>3097</v>
      </c>
      <c r="H266">
        <v>19</v>
      </c>
      <c r="I266" t="b">
        <f>AND(COUNTIF(CO!A:A,A266)&gt;0,COUNTIF('NO2'!A:A,A266)&gt;0,COUNTIF('O3'!A:A,A266)&gt;0,COUNTIF('PM10'!A:A,A266)&gt;0,COUNTIF('PM2.5'!A:A,A266)&gt;0,COUNTIF(Kendaraan!A:A,A266)&gt;0)</f>
        <v>1</v>
      </c>
    </row>
    <row r="267" spans="1:9" x14ac:dyDescent="0.45">
      <c r="A267" s="4">
        <v>45657</v>
      </c>
      <c r="B267" t="s">
        <v>1187</v>
      </c>
      <c r="C267" t="s">
        <v>2721</v>
      </c>
      <c r="D267" t="s">
        <v>2403</v>
      </c>
      <c r="E267" t="s">
        <v>1725</v>
      </c>
      <c r="F267" t="s">
        <v>1090</v>
      </c>
      <c r="G267" t="s">
        <v>187</v>
      </c>
      <c r="H267">
        <v>4</v>
      </c>
      <c r="I267" t="b">
        <f>AND(COUNTIF(CO!A:A,A267)&gt;0,COUNTIF('NO2'!A:A,A267)&gt;0,COUNTIF('O3'!A:A,A267)&gt;0,COUNTIF('PM10'!A:A,A267)&gt;0,COUNTIF('PM2.5'!A:A,A267)&gt;0,COUNTIF(Kendaraan!A:A,A267)&gt;0)</f>
        <v>1</v>
      </c>
    </row>
    <row r="268" spans="1:9" x14ac:dyDescent="0.45">
      <c r="A268" s="4">
        <v>45658</v>
      </c>
      <c r="B268" t="s">
        <v>1054</v>
      </c>
      <c r="C268" t="s">
        <v>1080</v>
      </c>
      <c r="D268" t="s">
        <v>1984</v>
      </c>
      <c r="E268" t="s">
        <v>1326</v>
      </c>
      <c r="F268" t="s">
        <v>1120</v>
      </c>
      <c r="G268" s="1">
        <v>1751</v>
      </c>
      <c r="H268">
        <v>24</v>
      </c>
      <c r="I268" t="b">
        <f>AND(COUNTIF(CO!A:A,A268)&gt;0,COUNTIF('NO2'!A:A,A268)&gt;0,COUNTIF('O3'!A:A,A268)&gt;0,COUNTIF('PM10'!A:A,A268)&gt;0,COUNTIF('PM2.5'!A:A,A268)&gt;0,COUNTIF(Kendaraan!A:A,A268)&gt;0)</f>
        <v>1</v>
      </c>
    </row>
    <row r="269" spans="1:9" x14ac:dyDescent="0.45">
      <c r="A269" s="4">
        <v>45659</v>
      </c>
      <c r="B269" t="s">
        <v>1702</v>
      </c>
      <c r="C269" t="s">
        <v>1452</v>
      </c>
      <c r="D269" t="s">
        <v>2687</v>
      </c>
      <c r="E269" t="s">
        <v>1287</v>
      </c>
      <c r="F269" t="s">
        <v>1173</v>
      </c>
      <c r="G269" t="s">
        <v>3231</v>
      </c>
      <c r="H269">
        <v>24</v>
      </c>
      <c r="I269" t="b">
        <f>AND(COUNTIF(CO!A:A,A269)&gt;0,COUNTIF('NO2'!A:A,A269)&gt;0,COUNTIF('O3'!A:A,A269)&gt;0,COUNTIF('PM10'!A:A,A269)&gt;0,COUNTIF('PM2.5'!A:A,A269)&gt;0,COUNTIF(Kendaraan!A:A,A269)&gt;0)</f>
        <v>1</v>
      </c>
    </row>
    <row r="270" spans="1:9" x14ac:dyDescent="0.45">
      <c r="A270" s="4">
        <v>45660</v>
      </c>
      <c r="B270" t="s">
        <v>1753</v>
      </c>
      <c r="C270" t="s">
        <v>2056</v>
      </c>
      <c r="D270" t="s">
        <v>1196</v>
      </c>
      <c r="E270" t="s">
        <v>1857</v>
      </c>
      <c r="F270" t="s">
        <v>1938</v>
      </c>
      <c r="G270" s="1">
        <v>2831</v>
      </c>
      <c r="H270">
        <v>24</v>
      </c>
      <c r="I270" t="b">
        <f>AND(COUNTIF(CO!A:A,A270)&gt;0,COUNTIF('NO2'!A:A,A270)&gt;0,COUNTIF('O3'!A:A,A270)&gt;0,COUNTIF('PM10'!A:A,A270)&gt;0,COUNTIF('PM2.5'!A:A,A270)&gt;0,COUNTIF(Kendaraan!A:A,A270)&gt;0)</f>
        <v>1</v>
      </c>
    </row>
    <row r="271" spans="1:9" x14ac:dyDescent="0.45">
      <c r="A271" s="4">
        <v>45661</v>
      </c>
      <c r="B271" t="s">
        <v>1795</v>
      </c>
      <c r="C271" t="s">
        <v>3085</v>
      </c>
      <c r="D271" t="s">
        <v>708</v>
      </c>
      <c r="E271" t="s">
        <v>702</v>
      </c>
      <c r="F271" t="s">
        <v>735</v>
      </c>
      <c r="G271" t="s">
        <v>4674</v>
      </c>
      <c r="H271">
        <v>24</v>
      </c>
      <c r="I271" t="b">
        <f>AND(COUNTIF(CO!A:A,A271)&gt;0,COUNTIF('NO2'!A:A,A271)&gt;0,COUNTIF('O3'!A:A,A271)&gt;0,COUNTIF('PM10'!A:A,A271)&gt;0,COUNTIF('PM2.5'!A:A,A271)&gt;0,COUNTIF(Kendaraan!A:A,A271)&gt;0)</f>
        <v>1</v>
      </c>
    </row>
    <row r="272" spans="1:9" x14ac:dyDescent="0.45">
      <c r="A272" s="4">
        <v>45662</v>
      </c>
      <c r="B272" t="s">
        <v>1772</v>
      </c>
      <c r="C272" t="s">
        <v>1344</v>
      </c>
      <c r="D272" t="s">
        <v>2707</v>
      </c>
      <c r="E272" t="s">
        <v>1774</v>
      </c>
      <c r="F272" t="s">
        <v>1880</v>
      </c>
      <c r="G272" s="1">
        <v>1339</v>
      </c>
      <c r="H272">
        <v>24</v>
      </c>
      <c r="I272" t="b">
        <f>AND(COUNTIF(CO!A:A,A272)&gt;0,COUNTIF('NO2'!A:A,A272)&gt;0,COUNTIF('O3'!A:A,A272)&gt;0,COUNTIF('PM10'!A:A,A272)&gt;0,COUNTIF('PM2.5'!A:A,A272)&gt;0,COUNTIF(Kendaraan!A:A,A272)&gt;0)</f>
        <v>1</v>
      </c>
    </row>
    <row r="273" spans="1:9" x14ac:dyDescent="0.45">
      <c r="A273" s="4">
        <v>45663</v>
      </c>
      <c r="B273" t="s">
        <v>941</v>
      </c>
      <c r="C273" t="s">
        <v>1325</v>
      </c>
      <c r="D273" t="s">
        <v>2692</v>
      </c>
      <c r="E273" t="s">
        <v>1810</v>
      </c>
      <c r="F273" t="s">
        <v>1365</v>
      </c>
      <c r="G273" t="s">
        <v>3674</v>
      </c>
      <c r="H273">
        <v>24</v>
      </c>
      <c r="I273" t="b">
        <f>AND(COUNTIF(CO!A:A,A273)&gt;0,COUNTIF('NO2'!A:A,A273)&gt;0,COUNTIF('O3'!A:A,A273)&gt;0,COUNTIF('PM10'!A:A,A273)&gt;0,COUNTIF('PM2.5'!A:A,A273)&gt;0,COUNTIF(Kendaraan!A:A,A273)&gt;0)</f>
        <v>1</v>
      </c>
    </row>
    <row r="274" spans="1:9" x14ac:dyDescent="0.45">
      <c r="A274" s="4">
        <v>45664</v>
      </c>
      <c r="B274" t="s">
        <v>1786</v>
      </c>
      <c r="C274" t="s">
        <v>1466</v>
      </c>
      <c r="D274" t="s">
        <v>1579</v>
      </c>
      <c r="E274" t="s">
        <v>1883</v>
      </c>
      <c r="F274" t="s">
        <v>3635</v>
      </c>
      <c r="G274" s="1">
        <v>2446</v>
      </c>
      <c r="H274">
        <v>24</v>
      </c>
      <c r="I274" t="b">
        <f>AND(COUNTIF(CO!A:A,A274)&gt;0,COUNTIF('NO2'!A:A,A274)&gt;0,COUNTIF('O3'!A:A,A274)&gt;0,COUNTIF('PM10'!A:A,A274)&gt;0,COUNTIF('PM2.5'!A:A,A274)&gt;0,COUNTIF(Kendaraan!A:A,A274)&gt;0)</f>
        <v>1</v>
      </c>
    </row>
    <row r="275" spans="1:9" x14ac:dyDescent="0.45">
      <c r="A275" s="4">
        <v>45665</v>
      </c>
      <c r="B275" t="s">
        <v>1628</v>
      </c>
      <c r="C275" t="s">
        <v>1865</v>
      </c>
      <c r="D275" t="s">
        <v>692</v>
      </c>
      <c r="E275" t="s">
        <v>1698</v>
      </c>
      <c r="F275" t="s">
        <v>3769</v>
      </c>
      <c r="G275" t="s">
        <v>4675</v>
      </c>
      <c r="H275">
        <v>24</v>
      </c>
      <c r="I275" t="b">
        <f>AND(COUNTIF(CO!A:A,A275)&gt;0,COUNTIF('NO2'!A:A,A275)&gt;0,COUNTIF('O3'!A:A,A275)&gt;0,COUNTIF('PM10'!A:A,A275)&gt;0,COUNTIF('PM2.5'!A:A,A275)&gt;0,COUNTIF(Kendaraan!A:A,A275)&gt;0)</f>
        <v>1</v>
      </c>
    </row>
    <row r="276" spans="1:9" x14ac:dyDescent="0.45">
      <c r="A276" s="4">
        <v>45666</v>
      </c>
      <c r="B276" t="s">
        <v>1911</v>
      </c>
      <c r="C276" t="s">
        <v>1121</v>
      </c>
      <c r="D276" t="s">
        <v>3653</v>
      </c>
      <c r="E276" t="s">
        <v>1356</v>
      </c>
      <c r="F276" t="s">
        <v>3025</v>
      </c>
      <c r="G276" s="1">
        <v>2291</v>
      </c>
      <c r="H276">
        <v>24</v>
      </c>
      <c r="I276" t="b">
        <f>AND(COUNTIF(CO!A:A,A276)&gt;0,COUNTIF('NO2'!A:A,A276)&gt;0,COUNTIF('O3'!A:A,A276)&gt;0,COUNTIF('PM10'!A:A,A276)&gt;0,COUNTIF('PM2.5'!A:A,A276)&gt;0,COUNTIF(Kendaraan!A:A,A276)&gt;0)</f>
        <v>1</v>
      </c>
    </row>
    <row r="277" spans="1:9" x14ac:dyDescent="0.45">
      <c r="A277" s="4">
        <v>45667</v>
      </c>
      <c r="B277" t="s">
        <v>2715</v>
      </c>
      <c r="C277" t="s">
        <v>2385</v>
      </c>
      <c r="D277">
        <v>12</v>
      </c>
      <c r="E277" t="s">
        <v>1853</v>
      </c>
      <c r="F277" t="s">
        <v>1313</v>
      </c>
      <c r="G277" s="1">
        <v>1016</v>
      </c>
      <c r="H277">
        <v>24</v>
      </c>
      <c r="I277" t="b">
        <f>AND(COUNTIF(CO!A:A,A277)&gt;0,COUNTIF('NO2'!A:A,A277)&gt;0,COUNTIF('O3'!A:A,A277)&gt;0,COUNTIF('PM10'!A:A,A277)&gt;0,COUNTIF('PM2.5'!A:A,A277)&gt;0,COUNTIF(Kendaraan!A:A,A277)&gt;0)</f>
        <v>1</v>
      </c>
    </row>
    <row r="278" spans="1:9" x14ac:dyDescent="0.45">
      <c r="A278" s="4">
        <v>45668</v>
      </c>
      <c r="B278" t="s">
        <v>1306</v>
      </c>
      <c r="C278" t="s">
        <v>2727</v>
      </c>
      <c r="D278" t="s">
        <v>1309</v>
      </c>
      <c r="E278" t="s">
        <v>2698</v>
      </c>
      <c r="F278" t="s">
        <v>1940</v>
      </c>
      <c r="G278" t="s">
        <v>3219</v>
      </c>
      <c r="H278">
        <v>24</v>
      </c>
      <c r="I278" t="b">
        <f>AND(COUNTIF(CO!A:A,A278)&gt;0,COUNTIF('NO2'!A:A,A278)&gt;0,COUNTIF('O3'!A:A,A278)&gt;0,COUNTIF('PM10'!A:A,A278)&gt;0,COUNTIF('PM2.5'!A:A,A278)&gt;0,COUNTIF(Kendaraan!A:A,A278)&gt;0)</f>
        <v>1</v>
      </c>
    </row>
    <row r="279" spans="1:9" x14ac:dyDescent="0.45">
      <c r="A279" s="4">
        <v>45669</v>
      </c>
      <c r="B279" t="s">
        <v>701</v>
      </c>
      <c r="C279" t="s">
        <v>1848</v>
      </c>
      <c r="D279" t="s">
        <v>1335</v>
      </c>
      <c r="E279" t="s">
        <v>2716</v>
      </c>
      <c r="F279" t="s">
        <v>1319</v>
      </c>
      <c r="G279" s="1">
        <v>1864</v>
      </c>
      <c r="H279">
        <v>24</v>
      </c>
      <c r="I279" t="b">
        <f>AND(COUNTIF(CO!A:A,A279)&gt;0,COUNTIF('NO2'!A:A,A279)&gt;0,COUNTIF('O3'!A:A,A279)&gt;0,COUNTIF('PM10'!A:A,A279)&gt;0,COUNTIF('PM2.5'!A:A,A279)&gt;0,COUNTIF(Kendaraan!A:A,A279)&gt;0)</f>
        <v>1</v>
      </c>
    </row>
    <row r="280" spans="1:9" x14ac:dyDescent="0.45">
      <c r="A280" s="4">
        <v>45670</v>
      </c>
      <c r="B280" t="s">
        <v>3059</v>
      </c>
      <c r="C280" t="s">
        <v>2389</v>
      </c>
      <c r="D280" t="s">
        <v>719</v>
      </c>
      <c r="E280" t="s">
        <v>1795</v>
      </c>
      <c r="F280" t="s">
        <v>1339</v>
      </c>
      <c r="G280" s="1">
        <v>1886</v>
      </c>
      <c r="H280">
        <v>23</v>
      </c>
      <c r="I280" t="b">
        <f>AND(COUNTIF(CO!A:A,A280)&gt;0,COUNTIF('NO2'!A:A,A280)&gt;0,COUNTIF('O3'!A:A,A280)&gt;0,COUNTIF('PM10'!A:A,A280)&gt;0,COUNTIF('PM2.5'!A:A,A280)&gt;0,COUNTIF(Kendaraan!A:A,A280)&gt;0)</f>
        <v>1</v>
      </c>
    </row>
    <row r="281" spans="1:9" x14ac:dyDescent="0.45">
      <c r="A281" s="4">
        <v>45671</v>
      </c>
      <c r="B281" t="s">
        <v>1333</v>
      </c>
      <c r="C281" t="s">
        <v>3091</v>
      </c>
      <c r="D281" t="s">
        <v>2790</v>
      </c>
      <c r="E281" t="s">
        <v>2770</v>
      </c>
      <c r="F281" t="s">
        <v>3093</v>
      </c>
      <c r="G281" t="s">
        <v>1970</v>
      </c>
      <c r="H281">
        <v>18</v>
      </c>
      <c r="I281" t="b">
        <f>AND(COUNTIF(CO!A:A,A281)&gt;0,COUNTIF('NO2'!A:A,A281)&gt;0,COUNTIF('O3'!A:A,A281)&gt;0,COUNTIF('PM10'!A:A,A281)&gt;0,COUNTIF('PM2.5'!A:A,A281)&gt;0,COUNTIF(Kendaraan!A:A,A281)&gt;0)</f>
        <v>1</v>
      </c>
    </row>
    <row r="282" spans="1:9" x14ac:dyDescent="0.45">
      <c r="A282" s="4">
        <v>45672</v>
      </c>
      <c r="B282" t="s">
        <v>2784</v>
      </c>
      <c r="C282" t="s">
        <v>1847</v>
      </c>
      <c r="D282" t="s">
        <v>2746</v>
      </c>
      <c r="E282" t="s">
        <v>2773</v>
      </c>
      <c r="F282" t="s">
        <v>2729</v>
      </c>
      <c r="G282" t="s">
        <v>4676</v>
      </c>
      <c r="H282">
        <v>24</v>
      </c>
      <c r="I282" t="b">
        <f>AND(COUNTIF(CO!A:A,A282)&gt;0,COUNTIF('NO2'!A:A,A282)&gt;0,COUNTIF('O3'!A:A,A282)&gt;0,COUNTIF('PM10'!A:A,A282)&gt;0,COUNTIF('PM2.5'!A:A,A282)&gt;0,COUNTIF(Kendaraan!A:A,A282)&gt;0)</f>
        <v>1</v>
      </c>
    </row>
    <row r="283" spans="1:9" x14ac:dyDescent="0.45">
      <c r="A283" s="4">
        <v>45673</v>
      </c>
      <c r="B283" t="s">
        <v>1734</v>
      </c>
      <c r="C283" t="s">
        <v>2741</v>
      </c>
      <c r="D283" t="s">
        <v>1079</v>
      </c>
      <c r="E283" t="s">
        <v>2776</v>
      </c>
      <c r="F283" t="s">
        <v>2414</v>
      </c>
      <c r="G283" t="s">
        <v>3691</v>
      </c>
      <c r="H283">
        <v>24</v>
      </c>
      <c r="I283" t="b">
        <f>AND(COUNTIF(CO!A:A,A283)&gt;0,COUNTIF('NO2'!A:A,A283)&gt;0,COUNTIF('O3'!A:A,A283)&gt;0,COUNTIF('PM10'!A:A,A283)&gt;0,COUNTIF('PM2.5'!A:A,A283)&gt;0,COUNTIF(Kendaraan!A:A,A283)&gt;0)</f>
        <v>1</v>
      </c>
    </row>
    <row r="284" spans="1:9" x14ac:dyDescent="0.45">
      <c r="A284" s="4">
        <v>45674</v>
      </c>
      <c r="B284" t="s">
        <v>1954</v>
      </c>
      <c r="C284" t="s">
        <v>2389</v>
      </c>
      <c r="D284" t="s">
        <v>1364</v>
      </c>
      <c r="E284" t="s">
        <v>1807</v>
      </c>
      <c r="F284" t="s">
        <v>1344</v>
      </c>
      <c r="G284" t="s">
        <v>197</v>
      </c>
      <c r="H284">
        <v>24</v>
      </c>
      <c r="I284" t="b">
        <f>AND(COUNTIF(CO!A:A,A284)&gt;0,COUNTIF('NO2'!A:A,A284)&gt;0,COUNTIF('O3'!A:A,A284)&gt;0,COUNTIF('PM10'!A:A,A284)&gt;0,COUNTIF('PM2.5'!A:A,A284)&gt;0,COUNTIF(Kendaraan!A:A,A284)&gt;0)</f>
        <v>1</v>
      </c>
    </row>
    <row r="285" spans="1:9" x14ac:dyDescent="0.45">
      <c r="A285" s="4">
        <v>45675</v>
      </c>
      <c r="B285" t="s">
        <v>1952</v>
      </c>
      <c r="C285" t="s">
        <v>1301</v>
      </c>
      <c r="D285" t="s">
        <v>3581</v>
      </c>
      <c r="E285" t="s">
        <v>3799</v>
      </c>
      <c r="F285" t="s">
        <v>1339</v>
      </c>
      <c r="G285" t="s">
        <v>1412</v>
      </c>
      <c r="H285">
        <v>24</v>
      </c>
      <c r="I285" t="b">
        <f>AND(COUNTIF(CO!A:A,A285)&gt;0,COUNTIF('NO2'!A:A,A285)&gt;0,COUNTIF('O3'!A:A,A285)&gt;0,COUNTIF('PM10'!A:A,A285)&gt;0,COUNTIF('PM2.5'!A:A,A285)&gt;0,COUNTIF(Kendaraan!A:A,A285)&gt;0)</f>
        <v>1</v>
      </c>
    </row>
    <row r="286" spans="1:9" x14ac:dyDescent="0.45">
      <c r="A286" s="4">
        <v>45676</v>
      </c>
      <c r="B286" t="s">
        <v>946</v>
      </c>
      <c r="C286" t="s">
        <v>2399</v>
      </c>
      <c r="D286" t="s">
        <v>2393</v>
      </c>
      <c r="E286" t="s">
        <v>1364</v>
      </c>
      <c r="F286" t="s">
        <v>1317</v>
      </c>
      <c r="G286" t="s">
        <v>40</v>
      </c>
      <c r="H286">
        <v>24</v>
      </c>
      <c r="I286" t="b">
        <f>AND(COUNTIF(CO!A:A,A286)&gt;0,COUNTIF('NO2'!A:A,A286)&gt;0,COUNTIF('O3'!A:A,A286)&gt;0,COUNTIF('PM10'!A:A,A286)&gt;0,COUNTIF('PM2.5'!A:A,A286)&gt;0,COUNTIF(Kendaraan!A:A,A286)&gt;0)</f>
        <v>1</v>
      </c>
    </row>
    <row r="287" spans="1:9" x14ac:dyDescent="0.45">
      <c r="A287" s="4">
        <v>45677</v>
      </c>
      <c r="B287" t="s">
        <v>947</v>
      </c>
      <c r="C287" t="s">
        <v>2711</v>
      </c>
      <c r="D287" t="s">
        <v>3490</v>
      </c>
      <c r="E287" t="s">
        <v>3077</v>
      </c>
      <c r="F287" t="s">
        <v>1292</v>
      </c>
      <c r="G287" t="s">
        <v>2954</v>
      </c>
      <c r="H287">
        <v>24</v>
      </c>
      <c r="I287" t="b">
        <f>AND(COUNTIF(CO!A:A,A287)&gt;0,COUNTIF('NO2'!A:A,A287)&gt;0,COUNTIF('O3'!A:A,A287)&gt;0,COUNTIF('PM10'!A:A,A287)&gt;0,COUNTIF('PM2.5'!A:A,A287)&gt;0,COUNTIF(Kendaraan!A:A,A287)&gt;0)</f>
        <v>1</v>
      </c>
    </row>
    <row r="288" spans="1:9" x14ac:dyDescent="0.45">
      <c r="A288" s="4">
        <v>45678</v>
      </c>
      <c r="B288" t="s">
        <v>1802</v>
      </c>
      <c r="C288" t="s">
        <v>1053</v>
      </c>
      <c r="D288" t="s">
        <v>1926</v>
      </c>
      <c r="E288" t="s">
        <v>695</v>
      </c>
      <c r="F288" t="s">
        <v>3399</v>
      </c>
      <c r="G288" t="s">
        <v>81</v>
      </c>
      <c r="H288">
        <v>24</v>
      </c>
      <c r="I288" t="b">
        <f>AND(COUNTIF(CO!A:A,A288)&gt;0,COUNTIF('NO2'!A:A,A288)&gt;0,COUNTIF('O3'!A:A,A288)&gt;0,COUNTIF('PM10'!A:A,A288)&gt;0,COUNTIF('PM2.5'!A:A,A288)&gt;0,COUNTIF(Kendaraan!A:A,A288)&gt;0)</f>
        <v>1</v>
      </c>
    </row>
    <row r="289" spans="1:9" x14ac:dyDescent="0.45">
      <c r="A289" s="4">
        <v>45679</v>
      </c>
      <c r="B289" t="s">
        <v>1280</v>
      </c>
      <c r="C289" t="s">
        <v>1375</v>
      </c>
      <c r="D289" t="s">
        <v>1789</v>
      </c>
      <c r="E289" t="s">
        <v>1911</v>
      </c>
      <c r="F289" t="s">
        <v>1777</v>
      </c>
      <c r="G289" s="1">
        <v>1221</v>
      </c>
      <c r="H289">
        <v>24</v>
      </c>
      <c r="I289" t="b">
        <f>AND(COUNTIF(CO!A:A,A289)&gt;0,COUNTIF('NO2'!A:A,A289)&gt;0,COUNTIF('O3'!A:A,A289)&gt;0,COUNTIF('PM10'!A:A,A289)&gt;0,COUNTIF('PM2.5'!A:A,A289)&gt;0,COUNTIF(Kendaraan!A:A,A289)&gt;0)</f>
        <v>1</v>
      </c>
    </row>
    <row r="290" spans="1:9" x14ac:dyDescent="0.45">
      <c r="A290" s="4">
        <v>45680</v>
      </c>
      <c r="B290" t="s">
        <v>1649</v>
      </c>
      <c r="C290" t="s">
        <v>1697</v>
      </c>
      <c r="D290" t="s">
        <v>1083</v>
      </c>
      <c r="E290" t="s">
        <v>1733</v>
      </c>
      <c r="F290" t="s">
        <v>1178</v>
      </c>
      <c r="G290" s="1">
        <v>1412</v>
      </c>
      <c r="H290">
        <v>24</v>
      </c>
      <c r="I290" t="b">
        <f>AND(COUNTIF(CO!A:A,A290)&gt;0,COUNTIF('NO2'!A:A,A290)&gt;0,COUNTIF('O3'!A:A,A290)&gt;0,COUNTIF('PM10'!A:A,A290)&gt;0,COUNTIF('PM2.5'!A:A,A290)&gt;0,COUNTIF(Kendaraan!A:A,A290)&gt;0)</f>
        <v>1</v>
      </c>
    </row>
    <row r="291" spans="1:9" x14ac:dyDescent="0.45">
      <c r="A291" s="4">
        <v>45681</v>
      </c>
      <c r="B291">
        <v>17</v>
      </c>
      <c r="C291" t="s">
        <v>1983</v>
      </c>
      <c r="D291" t="s">
        <v>3364</v>
      </c>
      <c r="E291" t="s">
        <v>3481</v>
      </c>
      <c r="F291" t="s">
        <v>1455</v>
      </c>
      <c r="G291" t="s">
        <v>8</v>
      </c>
      <c r="H291">
        <v>24</v>
      </c>
      <c r="I291" t="b">
        <f>AND(COUNTIF(CO!A:A,A291)&gt;0,COUNTIF('NO2'!A:A,A291)&gt;0,COUNTIF('O3'!A:A,A291)&gt;0,COUNTIF('PM10'!A:A,A291)&gt;0,COUNTIF('PM2.5'!A:A,A291)&gt;0,COUNTIF(Kendaraan!A:A,A291)&gt;0)</f>
        <v>1</v>
      </c>
    </row>
    <row r="292" spans="1:9" x14ac:dyDescent="0.45">
      <c r="A292" s="4">
        <v>45682</v>
      </c>
      <c r="B292" t="s">
        <v>1138</v>
      </c>
      <c r="C292" t="s">
        <v>1509</v>
      </c>
      <c r="D292" t="s">
        <v>1101</v>
      </c>
      <c r="E292" t="s">
        <v>1163</v>
      </c>
      <c r="F292" t="s">
        <v>2059</v>
      </c>
      <c r="G292" s="1">
        <v>1095</v>
      </c>
      <c r="H292">
        <v>19</v>
      </c>
      <c r="I292" t="b">
        <f>AND(COUNTIF(CO!A:A,A292)&gt;0,COUNTIF('NO2'!A:A,A292)&gt;0,COUNTIF('O3'!A:A,A292)&gt;0,COUNTIF('PM10'!A:A,A292)&gt;0,COUNTIF('PM2.5'!A:A,A292)&gt;0,COUNTIF(Kendaraan!A:A,A292)&gt;0)</f>
        <v>1</v>
      </c>
    </row>
    <row r="293" spans="1:9" x14ac:dyDescent="0.45">
      <c r="A293" s="4">
        <v>45683</v>
      </c>
      <c r="B293" t="s">
        <v>1720</v>
      </c>
      <c r="C293" t="s">
        <v>2719</v>
      </c>
      <c r="D293" t="s">
        <v>1733</v>
      </c>
      <c r="E293" t="s">
        <v>3400</v>
      </c>
      <c r="F293" t="s">
        <v>2376</v>
      </c>
      <c r="G293" t="s">
        <v>4677</v>
      </c>
      <c r="H293">
        <v>24</v>
      </c>
      <c r="I293" t="b">
        <f>AND(COUNTIF(CO!A:A,A293)&gt;0,COUNTIF('NO2'!A:A,A293)&gt;0,COUNTIF('O3'!A:A,A293)&gt;0,COUNTIF('PM10'!A:A,A293)&gt;0,COUNTIF('PM2.5'!A:A,A293)&gt;0,COUNTIF(Kendaraan!A:A,A293)&gt;0)</f>
        <v>1</v>
      </c>
    </row>
    <row r="294" spans="1:9" x14ac:dyDescent="0.45">
      <c r="A294" s="4">
        <v>45684</v>
      </c>
      <c r="B294" t="s">
        <v>1068</v>
      </c>
      <c r="C294" t="s">
        <v>1236</v>
      </c>
      <c r="D294" t="s">
        <v>3040</v>
      </c>
      <c r="E294" t="s">
        <v>3353</v>
      </c>
      <c r="F294" t="s">
        <v>1929</v>
      </c>
      <c r="G294" s="1">
        <v>1441</v>
      </c>
      <c r="H294">
        <v>24</v>
      </c>
      <c r="I294" t="b">
        <f>AND(COUNTIF(CO!A:A,A294)&gt;0,COUNTIF('NO2'!A:A,A294)&gt;0,COUNTIF('O3'!A:A,A294)&gt;0,COUNTIF('PM10'!A:A,A294)&gt;0,COUNTIF('PM2.5'!A:A,A294)&gt;0,COUNTIF(Kendaraan!A:A,A294)&gt;0)</f>
        <v>1</v>
      </c>
    </row>
    <row r="295" spans="1:9" x14ac:dyDescent="0.45">
      <c r="A295" s="4">
        <v>45685</v>
      </c>
      <c r="B295" t="s">
        <v>1118</v>
      </c>
      <c r="C295" t="s">
        <v>1469</v>
      </c>
      <c r="D295" t="s">
        <v>1154</v>
      </c>
      <c r="E295" t="s">
        <v>3193</v>
      </c>
      <c r="F295" t="s">
        <v>1563</v>
      </c>
      <c r="G295" s="1">
        <v>1486</v>
      </c>
      <c r="H295">
        <v>24</v>
      </c>
      <c r="I295" t="b">
        <f>AND(COUNTIF(CO!A:A,A295)&gt;0,COUNTIF('NO2'!A:A,A295)&gt;0,COUNTIF('O3'!A:A,A295)&gt;0,COUNTIF('PM10'!A:A,A295)&gt;0,COUNTIF('PM2.5'!A:A,A295)&gt;0,COUNTIF(Kendaraan!A:A,A295)&gt;0)</f>
        <v>1</v>
      </c>
    </row>
    <row r="296" spans="1:9" x14ac:dyDescent="0.45">
      <c r="A296" s="4">
        <v>45686</v>
      </c>
      <c r="B296" t="s">
        <v>1086</v>
      </c>
      <c r="C296" t="s">
        <v>3096</v>
      </c>
      <c r="D296" t="s">
        <v>1143</v>
      </c>
      <c r="E296" t="s">
        <v>3453</v>
      </c>
      <c r="F296" t="s">
        <v>1141</v>
      </c>
      <c r="G296" t="s">
        <v>4678</v>
      </c>
      <c r="H296">
        <v>24</v>
      </c>
      <c r="I296" t="b">
        <f>AND(COUNTIF(CO!A:A,A296)&gt;0,COUNTIF('NO2'!A:A,A296)&gt;0,COUNTIF('O3'!A:A,A296)&gt;0,COUNTIF('PM10'!A:A,A296)&gt;0,COUNTIF('PM2.5'!A:A,A296)&gt;0,COUNTIF(Kendaraan!A:A,A296)&gt;0)</f>
        <v>1</v>
      </c>
    </row>
    <row r="297" spans="1:9" x14ac:dyDescent="0.45">
      <c r="A297" s="4">
        <v>45687</v>
      </c>
      <c r="B297" t="s">
        <v>1657</v>
      </c>
      <c r="C297" t="s">
        <v>1090</v>
      </c>
      <c r="D297" t="s">
        <v>1431</v>
      </c>
      <c r="E297" t="s">
        <v>2787</v>
      </c>
      <c r="F297" t="s">
        <v>1068</v>
      </c>
      <c r="G297" t="s">
        <v>4679</v>
      </c>
      <c r="H297">
        <v>20</v>
      </c>
      <c r="I297" t="b">
        <f>AND(COUNTIF(CO!A:A,A297)&gt;0,COUNTIF('NO2'!A:A,A297)&gt;0,COUNTIF('O3'!A:A,A297)&gt;0,COUNTIF('PM10'!A:A,A297)&gt;0,COUNTIF('PM2.5'!A:A,A297)&gt;0,COUNTIF(Kendaraan!A:A,A297)&gt;0)</f>
        <v>1</v>
      </c>
    </row>
    <row r="298" spans="1:9" x14ac:dyDescent="0.45">
      <c r="A298" s="4">
        <v>45688</v>
      </c>
      <c r="B298" t="s">
        <v>3643</v>
      </c>
      <c r="C298" t="s">
        <v>1129</v>
      </c>
      <c r="D298" t="s">
        <v>1312</v>
      </c>
      <c r="E298" t="s">
        <v>2066</v>
      </c>
      <c r="F298" t="s">
        <v>2756</v>
      </c>
      <c r="G298" s="1">
        <v>3534</v>
      </c>
      <c r="H298">
        <v>24</v>
      </c>
      <c r="I298" t="b">
        <f>AND(COUNTIF(CO!A:A,A298)&gt;0,COUNTIF('NO2'!A:A,A298)&gt;0,COUNTIF('O3'!A:A,A298)&gt;0,COUNTIF('PM10'!A:A,A298)&gt;0,COUNTIF('PM2.5'!A:A,A298)&gt;0,COUNTIF(Kendaraan!A:A,A298)&gt;0)</f>
        <v>1</v>
      </c>
    </row>
    <row r="299" spans="1:9" x14ac:dyDescent="0.45">
      <c r="A299" s="4">
        <v>45689</v>
      </c>
      <c r="B299" t="s">
        <v>77</v>
      </c>
      <c r="C299" t="s">
        <v>1801</v>
      </c>
      <c r="D299" t="s">
        <v>1828</v>
      </c>
      <c r="E299" t="s">
        <v>112</v>
      </c>
      <c r="F299" t="s">
        <v>3619</v>
      </c>
      <c r="G299" t="s">
        <v>241</v>
      </c>
      <c r="H299">
        <v>6</v>
      </c>
      <c r="I299" t="b">
        <f>AND(COUNTIF(CO!A:A,A299)&gt;0,COUNTIF('NO2'!A:A,A299)&gt;0,COUNTIF('O3'!A:A,A299)&gt;0,COUNTIF('PM10'!A:A,A299)&gt;0,COUNTIF('PM2.5'!A:A,A299)&gt;0,COUNTIF(Kendaraan!A:A,A299)&gt;0)</f>
        <v>1</v>
      </c>
    </row>
    <row r="300" spans="1:9" x14ac:dyDescent="0.45">
      <c r="A300" s="4">
        <v>45691</v>
      </c>
      <c r="B300" t="s">
        <v>121</v>
      </c>
      <c r="C300" t="s">
        <v>3435</v>
      </c>
      <c r="D300" t="s">
        <v>660</v>
      </c>
      <c r="E300" t="s">
        <v>1366</v>
      </c>
      <c r="F300" t="s">
        <v>2886</v>
      </c>
      <c r="G300" s="1">
        <v>14972</v>
      </c>
      <c r="H300">
        <v>23</v>
      </c>
      <c r="I300" t="b">
        <f>AND(COUNTIF(CO!A:A,A300)&gt;0,COUNTIF('NO2'!A:A,A300)&gt;0,COUNTIF('O3'!A:A,A300)&gt;0,COUNTIF('PM10'!A:A,A300)&gt;0,COUNTIF('PM2.5'!A:A,A300)&gt;0,COUNTIF(Kendaraan!A:A,A300)&gt;0)</f>
        <v>1</v>
      </c>
    </row>
    <row r="301" spans="1:9" x14ac:dyDescent="0.45">
      <c r="A301" s="4">
        <v>45692</v>
      </c>
      <c r="B301">
        <v>49</v>
      </c>
      <c r="C301" t="s">
        <v>3932</v>
      </c>
      <c r="D301" t="s">
        <v>3830</v>
      </c>
      <c r="E301" t="s">
        <v>4680</v>
      </c>
      <c r="F301" t="s">
        <v>4605</v>
      </c>
      <c r="G301" s="1">
        <v>1785</v>
      </c>
      <c r="H301">
        <v>24</v>
      </c>
      <c r="I301" t="b">
        <f>AND(COUNTIF(CO!A:A,A301)&gt;0,COUNTIF('NO2'!A:A,A301)&gt;0,COUNTIF('O3'!A:A,A301)&gt;0,COUNTIF('PM10'!A:A,A301)&gt;0,COUNTIF('PM2.5'!A:A,A301)&gt;0,COUNTIF(Kendaraan!A:A,A301)&gt;0)</f>
        <v>1</v>
      </c>
    </row>
    <row r="302" spans="1:9" x14ac:dyDescent="0.45">
      <c r="A302" s="4">
        <v>45693</v>
      </c>
      <c r="B302" t="s">
        <v>4681</v>
      </c>
      <c r="C302" t="s">
        <v>4682</v>
      </c>
      <c r="D302" t="s">
        <v>4683</v>
      </c>
      <c r="E302" t="s">
        <v>2133</v>
      </c>
      <c r="F302" t="s">
        <v>4684</v>
      </c>
      <c r="G302" t="s">
        <v>1237</v>
      </c>
      <c r="H302">
        <v>24</v>
      </c>
      <c r="I302" t="b">
        <f>AND(COUNTIF(CO!A:A,A302)&gt;0,COUNTIF('NO2'!A:A,A302)&gt;0,COUNTIF('O3'!A:A,A302)&gt;0,COUNTIF('PM10'!A:A,A302)&gt;0,COUNTIF('PM2.5'!A:A,A302)&gt;0,COUNTIF(Kendaraan!A:A,A302)&gt;0)</f>
        <v>1</v>
      </c>
    </row>
    <row r="303" spans="1:9" x14ac:dyDescent="0.45">
      <c r="A303" s="4">
        <v>45694</v>
      </c>
      <c r="B303" t="s">
        <v>4591</v>
      </c>
      <c r="C303" t="s">
        <v>2060</v>
      </c>
      <c r="D303" t="s">
        <v>3949</v>
      </c>
      <c r="E303" t="s">
        <v>4685</v>
      </c>
      <c r="F303" t="s">
        <v>4686</v>
      </c>
      <c r="G303" s="1">
        <v>1727</v>
      </c>
      <c r="H303">
        <v>24</v>
      </c>
      <c r="I303" t="b">
        <f>AND(COUNTIF(CO!A:A,A303)&gt;0,COUNTIF('NO2'!A:A,A303)&gt;0,COUNTIF('O3'!A:A,A303)&gt;0,COUNTIF('PM10'!A:A,A303)&gt;0,COUNTIF('PM2.5'!A:A,A303)&gt;0,COUNTIF(Kendaraan!A:A,A303)&gt;0)</f>
        <v>1</v>
      </c>
    </row>
    <row r="304" spans="1:9" x14ac:dyDescent="0.45">
      <c r="A304" s="4">
        <v>45695</v>
      </c>
      <c r="B304" t="s">
        <v>4687</v>
      </c>
      <c r="C304" t="s">
        <v>4688</v>
      </c>
      <c r="D304" t="s">
        <v>4091</v>
      </c>
      <c r="E304" t="s">
        <v>4689</v>
      </c>
      <c r="F304" t="s">
        <v>3969</v>
      </c>
      <c r="G304" s="1">
        <v>3333</v>
      </c>
      <c r="H304">
        <v>24</v>
      </c>
      <c r="I304" t="b">
        <f>AND(COUNTIF(CO!A:A,A304)&gt;0,COUNTIF('NO2'!A:A,A304)&gt;0,COUNTIF('O3'!A:A,A304)&gt;0,COUNTIF('PM10'!A:A,A304)&gt;0,COUNTIF('PM2.5'!A:A,A304)&gt;0,COUNTIF(Kendaraan!A:A,A304)&gt;0)</f>
        <v>1</v>
      </c>
    </row>
    <row r="305" spans="1:9" x14ac:dyDescent="0.45">
      <c r="A305" s="4">
        <v>45696</v>
      </c>
      <c r="B305" t="s">
        <v>4690</v>
      </c>
      <c r="C305" t="s">
        <v>4691</v>
      </c>
      <c r="D305" t="s">
        <v>2093</v>
      </c>
      <c r="E305" t="s">
        <v>4692</v>
      </c>
      <c r="F305" t="s">
        <v>4693</v>
      </c>
      <c r="G305" s="1">
        <v>10622</v>
      </c>
      <c r="H305">
        <v>24</v>
      </c>
      <c r="I305" t="b">
        <f>AND(COUNTIF(CO!A:A,A305)&gt;0,COUNTIF('NO2'!A:A,A305)&gt;0,COUNTIF('O3'!A:A,A305)&gt;0,COUNTIF('PM10'!A:A,A305)&gt;0,COUNTIF('PM2.5'!A:A,A305)&gt;0,COUNTIF(Kendaraan!A:A,A305)&gt;0)</f>
        <v>1</v>
      </c>
    </row>
    <row r="306" spans="1:9" x14ac:dyDescent="0.45">
      <c r="A306" s="4">
        <v>45697</v>
      </c>
      <c r="B306" t="s">
        <v>4694</v>
      </c>
      <c r="C306" t="s">
        <v>3003</v>
      </c>
      <c r="D306" t="s">
        <v>4695</v>
      </c>
      <c r="E306" t="s">
        <v>4696</v>
      </c>
      <c r="F306" t="s">
        <v>4697</v>
      </c>
      <c r="G306" s="1">
        <v>7247</v>
      </c>
      <c r="H306">
        <v>24</v>
      </c>
      <c r="I306" t="b">
        <f>AND(COUNTIF(CO!A:A,A306)&gt;0,COUNTIF('NO2'!A:A,A306)&gt;0,COUNTIF('O3'!A:A,A306)&gt;0,COUNTIF('PM10'!A:A,A306)&gt;0,COUNTIF('PM2.5'!A:A,A306)&gt;0,COUNTIF(Kendaraan!A:A,A306)&gt;0)</f>
        <v>1</v>
      </c>
    </row>
    <row r="307" spans="1:9" x14ac:dyDescent="0.45">
      <c r="A307" s="4">
        <v>45698</v>
      </c>
      <c r="B307" t="s">
        <v>4698</v>
      </c>
      <c r="C307" t="s">
        <v>4556</v>
      </c>
      <c r="D307" t="s">
        <v>4699</v>
      </c>
      <c r="E307" t="s">
        <v>4700</v>
      </c>
      <c r="F307" t="s">
        <v>4701</v>
      </c>
      <c r="G307" s="1">
        <v>1639</v>
      </c>
      <c r="H307">
        <v>24</v>
      </c>
      <c r="I307" t="b">
        <f>AND(COUNTIF(CO!A:A,A307)&gt;0,COUNTIF('NO2'!A:A,A307)&gt;0,COUNTIF('O3'!A:A,A307)&gt;0,COUNTIF('PM10'!A:A,A307)&gt;0,COUNTIF('PM2.5'!A:A,A307)&gt;0,COUNTIF(Kendaraan!A:A,A307)&gt;0)</f>
        <v>1</v>
      </c>
    </row>
    <row r="308" spans="1:9" x14ac:dyDescent="0.45">
      <c r="A308" s="4">
        <v>45699</v>
      </c>
      <c r="B308" t="s">
        <v>4702</v>
      </c>
      <c r="C308" t="s">
        <v>4703</v>
      </c>
      <c r="D308" t="s">
        <v>4704</v>
      </c>
      <c r="E308" t="s">
        <v>4705</v>
      </c>
      <c r="F308" t="s">
        <v>4706</v>
      </c>
      <c r="G308" s="1">
        <v>2799</v>
      </c>
      <c r="H308">
        <v>24</v>
      </c>
      <c r="I308" t="b">
        <f>AND(COUNTIF(CO!A:A,A308)&gt;0,COUNTIF('NO2'!A:A,A308)&gt;0,COUNTIF('O3'!A:A,A308)&gt;0,COUNTIF('PM10'!A:A,A308)&gt;0,COUNTIF('PM2.5'!A:A,A308)&gt;0,COUNTIF(Kendaraan!A:A,A308)&gt;0)</f>
        <v>1</v>
      </c>
    </row>
    <row r="309" spans="1:9" x14ac:dyDescent="0.45">
      <c r="A309" s="4">
        <v>45700</v>
      </c>
      <c r="B309" t="s">
        <v>4707</v>
      </c>
      <c r="C309" t="s">
        <v>4484</v>
      </c>
      <c r="D309" t="s">
        <v>4708</v>
      </c>
      <c r="E309" t="s">
        <v>4709</v>
      </c>
      <c r="F309" t="s">
        <v>4710</v>
      </c>
      <c r="G309" s="1">
        <v>2908</v>
      </c>
      <c r="H309">
        <v>24</v>
      </c>
      <c r="I309" t="b">
        <f>AND(COUNTIF(CO!A:A,A309)&gt;0,COUNTIF('NO2'!A:A,A309)&gt;0,COUNTIF('O3'!A:A,A309)&gt;0,COUNTIF('PM10'!A:A,A309)&gt;0,COUNTIF('PM2.5'!A:A,A309)&gt;0,COUNTIF(Kendaraan!A:A,A309)&gt;0)</f>
        <v>1</v>
      </c>
    </row>
    <row r="310" spans="1:9" x14ac:dyDescent="0.45">
      <c r="A310" s="4">
        <v>45701</v>
      </c>
      <c r="B310" t="s">
        <v>3984</v>
      </c>
      <c r="C310" t="s">
        <v>4711</v>
      </c>
      <c r="D310" t="s">
        <v>4174</v>
      </c>
      <c r="E310" t="s">
        <v>4231</v>
      </c>
      <c r="F310" t="s">
        <v>4496</v>
      </c>
      <c r="G310" t="s">
        <v>4712</v>
      </c>
      <c r="H310">
        <v>24</v>
      </c>
      <c r="I310" t="b">
        <f>AND(COUNTIF(CO!A:A,A310)&gt;0,COUNTIF('NO2'!A:A,A310)&gt;0,COUNTIF('O3'!A:A,A310)&gt;0,COUNTIF('PM10'!A:A,A310)&gt;0,COUNTIF('PM2.5'!A:A,A310)&gt;0,COUNTIF(Kendaraan!A:A,A310)&gt;0)</f>
        <v>1</v>
      </c>
    </row>
    <row r="311" spans="1:9" x14ac:dyDescent="0.45">
      <c r="A311" s="4">
        <v>45702</v>
      </c>
      <c r="B311" t="s">
        <v>4212</v>
      </c>
      <c r="C311" t="s">
        <v>4713</v>
      </c>
      <c r="D311" t="s">
        <v>4714</v>
      </c>
      <c r="E311" t="s">
        <v>1618</v>
      </c>
      <c r="F311" t="s">
        <v>4715</v>
      </c>
      <c r="G311" s="1">
        <v>3099</v>
      </c>
      <c r="H311">
        <v>24</v>
      </c>
      <c r="I311" t="b">
        <f>AND(COUNTIF(CO!A:A,A311)&gt;0,COUNTIF('NO2'!A:A,A311)&gt;0,COUNTIF('O3'!A:A,A311)&gt;0,COUNTIF('PM10'!A:A,A311)&gt;0,COUNTIF('PM2.5'!A:A,A311)&gt;0,COUNTIF(Kendaraan!A:A,A311)&gt;0)</f>
        <v>1</v>
      </c>
    </row>
    <row r="312" spans="1:9" x14ac:dyDescent="0.45">
      <c r="A312" s="4">
        <v>45703</v>
      </c>
      <c r="B312" t="s">
        <v>4246</v>
      </c>
      <c r="C312" t="s">
        <v>329</v>
      </c>
      <c r="D312" t="s">
        <v>4716</v>
      </c>
      <c r="E312" t="s">
        <v>4717</v>
      </c>
      <c r="F312" t="s">
        <v>4718</v>
      </c>
      <c r="G312" s="1">
        <v>1946</v>
      </c>
      <c r="H312">
        <v>24</v>
      </c>
      <c r="I312" t="b">
        <f>AND(COUNTIF(CO!A:A,A312)&gt;0,COUNTIF('NO2'!A:A,A312)&gt;0,COUNTIF('O3'!A:A,A312)&gt;0,COUNTIF('PM10'!A:A,A312)&gt;0,COUNTIF('PM2.5'!A:A,A312)&gt;0,COUNTIF(Kendaraan!A:A,A312)&gt;0)</f>
        <v>1</v>
      </c>
    </row>
    <row r="313" spans="1:9" x14ac:dyDescent="0.45">
      <c r="A313" s="4">
        <v>45704</v>
      </c>
      <c r="B313" t="s">
        <v>4057</v>
      </c>
      <c r="C313" t="s">
        <v>324</v>
      </c>
      <c r="D313" t="s">
        <v>4719</v>
      </c>
      <c r="E313" t="s">
        <v>4720</v>
      </c>
      <c r="F313" t="s">
        <v>4721</v>
      </c>
      <c r="G313" s="1">
        <v>4374</v>
      </c>
      <c r="H313">
        <v>24</v>
      </c>
      <c r="I313" t="b">
        <f>AND(COUNTIF(CO!A:A,A313)&gt;0,COUNTIF('NO2'!A:A,A313)&gt;0,COUNTIF('O3'!A:A,A313)&gt;0,COUNTIF('PM10'!A:A,A313)&gt;0,COUNTIF('PM2.5'!A:A,A313)&gt;0,COUNTIF(Kendaraan!A:A,A313)&gt;0)</f>
        <v>1</v>
      </c>
    </row>
    <row r="314" spans="1:9" x14ac:dyDescent="0.45">
      <c r="A314" s="4">
        <v>45705</v>
      </c>
      <c r="B314" t="s">
        <v>4722</v>
      </c>
      <c r="C314" t="s">
        <v>4723</v>
      </c>
      <c r="D314" t="s">
        <v>4240</v>
      </c>
      <c r="E314" t="s">
        <v>4724</v>
      </c>
      <c r="F314" t="s">
        <v>4725</v>
      </c>
      <c r="G314" s="1">
        <v>5675</v>
      </c>
      <c r="H314">
        <v>24</v>
      </c>
      <c r="I314" t="b">
        <f>AND(COUNTIF(CO!A:A,A314)&gt;0,COUNTIF('NO2'!A:A,A314)&gt;0,COUNTIF('O3'!A:A,A314)&gt;0,COUNTIF('PM10'!A:A,A314)&gt;0,COUNTIF('PM2.5'!A:A,A314)&gt;0,COUNTIF(Kendaraan!A:A,A314)&gt;0)</f>
        <v>1</v>
      </c>
    </row>
    <row r="315" spans="1:9" x14ac:dyDescent="0.45">
      <c r="A315" s="4">
        <v>45706</v>
      </c>
      <c r="B315" t="s">
        <v>3846</v>
      </c>
      <c r="C315" t="s">
        <v>685</v>
      </c>
      <c r="D315" t="s">
        <v>4726</v>
      </c>
      <c r="E315" t="s">
        <v>4270</v>
      </c>
      <c r="F315" t="s">
        <v>4727</v>
      </c>
      <c r="G315" s="1">
        <v>7065</v>
      </c>
      <c r="H315">
        <v>24</v>
      </c>
      <c r="I315" t="b">
        <f>AND(COUNTIF(CO!A:A,A315)&gt;0,COUNTIF('NO2'!A:A,A315)&gt;0,COUNTIF('O3'!A:A,A315)&gt;0,COUNTIF('PM10'!A:A,A315)&gt;0,COUNTIF('PM2.5'!A:A,A315)&gt;0,COUNTIF(Kendaraan!A:A,A315)&gt;0)</f>
        <v>1</v>
      </c>
    </row>
    <row r="316" spans="1:9" x14ac:dyDescent="0.45">
      <c r="A316" s="4">
        <v>45707</v>
      </c>
      <c r="B316" t="s">
        <v>2095</v>
      </c>
      <c r="C316" t="s">
        <v>4728</v>
      </c>
      <c r="D316" t="s">
        <v>4729</v>
      </c>
      <c r="E316" t="s">
        <v>4730</v>
      </c>
      <c r="F316" t="s">
        <v>4731</v>
      </c>
      <c r="G316" s="1">
        <v>6737</v>
      </c>
      <c r="H316">
        <v>24</v>
      </c>
      <c r="I316" t="b">
        <f>AND(COUNTIF(CO!A:A,A316)&gt;0,COUNTIF('NO2'!A:A,A316)&gt;0,COUNTIF('O3'!A:A,A316)&gt;0,COUNTIF('PM10'!A:A,A316)&gt;0,COUNTIF('PM2.5'!A:A,A316)&gt;0,COUNTIF(Kendaraan!A:A,A316)&gt;0)</f>
        <v>1</v>
      </c>
    </row>
    <row r="317" spans="1:9" x14ac:dyDescent="0.45">
      <c r="A317" s="4">
        <v>45708</v>
      </c>
      <c r="B317" t="s">
        <v>4732</v>
      </c>
      <c r="C317" t="s">
        <v>4733</v>
      </c>
      <c r="D317" t="s">
        <v>4734</v>
      </c>
      <c r="E317" t="s">
        <v>4735</v>
      </c>
      <c r="F317" t="s">
        <v>4736</v>
      </c>
      <c r="G317" t="s">
        <v>4737</v>
      </c>
      <c r="H317">
        <v>24</v>
      </c>
      <c r="I317" t="b">
        <f>AND(COUNTIF(CO!A:A,A317)&gt;0,COUNTIF('NO2'!A:A,A317)&gt;0,COUNTIF('O3'!A:A,A317)&gt;0,COUNTIF('PM10'!A:A,A317)&gt;0,COUNTIF('PM2.5'!A:A,A317)&gt;0,COUNTIF(Kendaraan!A:A,A317)&gt;0)</f>
        <v>1</v>
      </c>
    </row>
    <row r="318" spans="1:9" x14ac:dyDescent="0.45">
      <c r="A318" s="4">
        <v>45709</v>
      </c>
      <c r="B318" t="s">
        <v>4738</v>
      </c>
      <c r="C318" t="s">
        <v>4739</v>
      </c>
      <c r="D318" t="s">
        <v>4416</v>
      </c>
      <c r="E318" t="s">
        <v>4740</v>
      </c>
      <c r="F318" t="s">
        <v>4741</v>
      </c>
      <c r="G318" s="1">
        <v>5568</v>
      </c>
      <c r="H318">
        <v>23</v>
      </c>
      <c r="I318" t="b">
        <f>AND(COUNTIF(CO!A:A,A318)&gt;0,COUNTIF('NO2'!A:A,A318)&gt;0,COUNTIF('O3'!A:A,A318)&gt;0,COUNTIF('PM10'!A:A,A318)&gt;0,COUNTIF('PM2.5'!A:A,A318)&gt;0,COUNTIF(Kendaraan!A:A,A318)&gt;0)</f>
        <v>1</v>
      </c>
    </row>
    <row r="319" spans="1:9" x14ac:dyDescent="0.45">
      <c r="A319" s="4">
        <v>45710</v>
      </c>
      <c r="B319" t="s">
        <v>4742</v>
      </c>
      <c r="C319" t="s">
        <v>4743</v>
      </c>
      <c r="D319" t="s">
        <v>4310</v>
      </c>
      <c r="E319" t="s">
        <v>4744</v>
      </c>
      <c r="F319" t="s">
        <v>4659</v>
      </c>
      <c r="G319" s="1">
        <v>20271</v>
      </c>
      <c r="H319">
        <v>19</v>
      </c>
      <c r="I319" t="b">
        <f>AND(COUNTIF(CO!A:A,A319)&gt;0,COUNTIF('NO2'!A:A,A319)&gt;0,COUNTIF('O3'!A:A,A319)&gt;0,COUNTIF('PM10'!A:A,A319)&gt;0,COUNTIF('PM2.5'!A:A,A319)&gt;0,COUNTIF(Kendaraan!A:A,A319)&gt;0)</f>
        <v>1</v>
      </c>
    </row>
    <row r="320" spans="1:9" x14ac:dyDescent="0.45">
      <c r="A320" s="4">
        <v>45722</v>
      </c>
      <c r="B320" t="s">
        <v>2488</v>
      </c>
      <c r="C320" t="s">
        <v>4745</v>
      </c>
      <c r="D320" t="s">
        <v>3137</v>
      </c>
      <c r="E320" t="s">
        <v>4746</v>
      </c>
      <c r="F320" t="s">
        <v>3983</v>
      </c>
      <c r="G320" t="s">
        <v>1412</v>
      </c>
      <c r="H320">
        <v>6</v>
      </c>
      <c r="I320" t="b">
        <f>AND(COUNTIF(CO!A:A,A320)&gt;0,COUNTIF('NO2'!A:A,A320)&gt;0,COUNTIF('O3'!A:A,A320)&gt;0,COUNTIF('PM10'!A:A,A320)&gt;0,COUNTIF('PM2.5'!A:A,A320)&gt;0,COUNTIF(Kendaraan!A:A,A320)&gt;0)</f>
        <v>1</v>
      </c>
    </row>
    <row r="321" spans="1:9" x14ac:dyDescent="0.45">
      <c r="A321" s="4">
        <v>45723</v>
      </c>
      <c r="B321" t="s">
        <v>4747</v>
      </c>
      <c r="C321" t="s">
        <v>4748</v>
      </c>
      <c r="D321" t="s">
        <v>4749</v>
      </c>
      <c r="E321" t="s">
        <v>4750</v>
      </c>
      <c r="F321" t="s">
        <v>4751</v>
      </c>
      <c r="G321" t="s">
        <v>4752</v>
      </c>
      <c r="H321">
        <v>5</v>
      </c>
      <c r="I321" t="b">
        <f>AND(COUNTIF(CO!A:A,A321)&gt;0,COUNTIF('NO2'!A:A,A321)&gt;0,COUNTIF('O3'!A:A,A321)&gt;0,COUNTIF('PM10'!A:A,A321)&gt;0,COUNTIF('PM2.5'!A:A,A321)&gt;0,COUNTIF(Kendaraan!A:A,A321)&gt;0)</f>
        <v>1</v>
      </c>
    </row>
    <row r="322" spans="1:9" x14ac:dyDescent="0.45">
      <c r="A322" s="4">
        <v>45724</v>
      </c>
      <c r="B322" t="s">
        <v>3972</v>
      </c>
      <c r="C322" t="s">
        <v>4753</v>
      </c>
      <c r="D322" t="s">
        <v>4232</v>
      </c>
      <c r="E322" t="s">
        <v>4754</v>
      </c>
      <c r="F322" t="s">
        <v>4755</v>
      </c>
      <c r="G322" s="1">
        <v>5404</v>
      </c>
      <c r="H322">
        <v>24</v>
      </c>
      <c r="I322" t="b">
        <f>AND(COUNTIF(CO!A:A,A322)&gt;0,COUNTIF('NO2'!A:A,A322)&gt;0,COUNTIF('O3'!A:A,A322)&gt;0,COUNTIF('PM10'!A:A,A322)&gt;0,COUNTIF('PM2.5'!A:A,A322)&gt;0,COUNTIF(Kendaraan!A:A,A322)&gt;0)</f>
        <v>1</v>
      </c>
    </row>
    <row r="323" spans="1:9" x14ac:dyDescent="0.45">
      <c r="A323" s="4">
        <v>45725</v>
      </c>
      <c r="B323" t="s">
        <v>4756</v>
      </c>
      <c r="C323" t="s">
        <v>3963</v>
      </c>
      <c r="D323" t="s">
        <v>4757</v>
      </c>
      <c r="E323" t="s">
        <v>4758</v>
      </c>
      <c r="F323" t="s">
        <v>4473</v>
      </c>
      <c r="G323" t="s">
        <v>3227</v>
      </c>
      <c r="H323">
        <v>24</v>
      </c>
      <c r="I323" t="b">
        <f>AND(COUNTIF(CO!A:A,A323)&gt;0,COUNTIF('NO2'!A:A,A323)&gt;0,COUNTIF('O3'!A:A,A323)&gt;0,COUNTIF('PM10'!A:A,A323)&gt;0,COUNTIF('PM2.5'!A:A,A323)&gt;0,COUNTIF(Kendaraan!A:A,A323)&gt;0)</f>
        <v>1</v>
      </c>
    </row>
    <row r="324" spans="1:9" x14ac:dyDescent="0.45">
      <c r="A324" s="4">
        <v>45726</v>
      </c>
      <c r="B324" t="s">
        <v>3532</v>
      </c>
      <c r="C324" t="s">
        <v>4759</v>
      </c>
      <c r="D324" t="s">
        <v>4458</v>
      </c>
      <c r="E324" t="s">
        <v>4760</v>
      </c>
      <c r="F324" t="s">
        <v>4761</v>
      </c>
      <c r="G324" s="1">
        <v>3896</v>
      </c>
      <c r="H324">
        <v>24</v>
      </c>
      <c r="I324" t="b">
        <f>AND(COUNTIF(CO!A:A,A324)&gt;0,COUNTIF('NO2'!A:A,A324)&gt;0,COUNTIF('O3'!A:A,A324)&gt;0,COUNTIF('PM10'!A:A,A324)&gt;0,COUNTIF('PM2.5'!A:A,A324)&gt;0,COUNTIF(Kendaraan!A:A,A324)&gt;0)</f>
        <v>1</v>
      </c>
    </row>
    <row r="325" spans="1:9" x14ac:dyDescent="0.45">
      <c r="A325" s="4">
        <v>45727</v>
      </c>
      <c r="B325" t="s">
        <v>4762</v>
      </c>
      <c r="C325" t="s">
        <v>4648</v>
      </c>
      <c r="D325" t="s">
        <v>4763</v>
      </c>
      <c r="E325" t="s">
        <v>3841</v>
      </c>
      <c r="F325" t="s">
        <v>4764</v>
      </c>
      <c r="G325" s="1">
        <v>3294</v>
      </c>
      <c r="H325">
        <v>24</v>
      </c>
      <c r="I325" t="b">
        <f>AND(COUNTIF(CO!A:A,A325)&gt;0,COUNTIF('NO2'!A:A,A325)&gt;0,COUNTIF('O3'!A:A,A325)&gt;0,COUNTIF('PM10'!A:A,A325)&gt;0,COUNTIF('PM2.5'!A:A,A325)&gt;0,COUNTIF(Kendaraan!A:A,A325)&gt;0)</f>
        <v>1</v>
      </c>
    </row>
    <row r="326" spans="1:9" x14ac:dyDescent="0.45">
      <c r="A326" s="4">
        <v>45728</v>
      </c>
      <c r="B326" t="s">
        <v>4765</v>
      </c>
      <c r="C326" t="s">
        <v>4766</v>
      </c>
      <c r="D326" t="s">
        <v>4767</v>
      </c>
      <c r="E326" t="s">
        <v>4768</v>
      </c>
      <c r="F326" t="s">
        <v>4769</v>
      </c>
      <c r="G326" s="1">
        <v>11311</v>
      </c>
      <c r="H326">
        <v>24</v>
      </c>
      <c r="I326" t="b">
        <f>AND(COUNTIF(CO!A:A,A326)&gt;0,COUNTIF('NO2'!A:A,A326)&gt;0,COUNTIF('O3'!A:A,A326)&gt;0,COUNTIF('PM10'!A:A,A326)&gt;0,COUNTIF('PM2.5'!A:A,A326)&gt;0,COUNTIF(Kendaraan!A:A,A326)&gt;0)</f>
        <v>1</v>
      </c>
    </row>
    <row r="327" spans="1:9" x14ac:dyDescent="0.45">
      <c r="A327" s="4">
        <v>45729</v>
      </c>
      <c r="B327" t="s">
        <v>4077</v>
      </c>
      <c r="C327" t="s">
        <v>4770</v>
      </c>
      <c r="D327" t="s">
        <v>4771</v>
      </c>
      <c r="E327" t="s">
        <v>4772</v>
      </c>
      <c r="F327" t="s">
        <v>4773</v>
      </c>
      <c r="G327" s="1">
        <v>11016</v>
      </c>
      <c r="H327">
        <v>24</v>
      </c>
      <c r="I327" t="b">
        <f>AND(COUNTIF(CO!A:A,A327)&gt;0,COUNTIF('NO2'!A:A,A327)&gt;0,COUNTIF('O3'!A:A,A327)&gt;0,COUNTIF('PM10'!A:A,A327)&gt;0,COUNTIF('PM2.5'!A:A,A327)&gt;0,COUNTIF(Kendaraan!A:A,A327)&gt;0)</f>
        <v>1</v>
      </c>
    </row>
    <row r="328" spans="1:9" x14ac:dyDescent="0.45">
      <c r="A328" s="4">
        <v>45730</v>
      </c>
      <c r="B328" t="s">
        <v>4774</v>
      </c>
      <c r="C328" t="s">
        <v>4083</v>
      </c>
      <c r="D328" t="s">
        <v>4463</v>
      </c>
      <c r="E328" t="s">
        <v>4775</v>
      </c>
      <c r="F328" t="s">
        <v>2417</v>
      </c>
      <c r="G328" s="1">
        <v>1779</v>
      </c>
      <c r="H328">
        <v>24</v>
      </c>
      <c r="I328" t="b">
        <f>AND(COUNTIF(CO!A:A,A328)&gt;0,COUNTIF('NO2'!A:A,A328)&gt;0,COUNTIF('O3'!A:A,A328)&gt;0,COUNTIF('PM10'!A:A,A328)&gt;0,COUNTIF('PM2.5'!A:A,A328)&gt;0,COUNTIF(Kendaraan!A:A,A328)&gt;0)</f>
        <v>1</v>
      </c>
    </row>
    <row r="329" spans="1:9" x14ac:dyDescent="0.45">
      <c r="A329" s="4">
        <v>45731</v>
      </c>
      <c r="B329" t="s">
        <v>4776</v>
      </c>
      <c r="C329" t="s">
        <v>4461</v>
      </c>
      <c r="D329" t="s">
        <v>4777</v>
      </c>
      <c r="E329" t="s">
        <v>3947</v>
      </c>
      <c r="F329" t="s">
        <v>3967</v>
      </c>
      <c r="G329" s="1">
        <v>4078</v>
      </c>
      <c r="H329">
        <v>24</v>
      </c>
      <c r="I329" t="b">
        <f>AND(COUNTIF(CO!A:A,A329)&gt;0,COUNTIF('NO2'!A:A,A329)&gt;0,COUNTIF('O3'!A:A,A329)&gt;0,COUNTIF('PM10'!A:A,A329)&gt;0,COUNTIF('PM2.5'!A:A,A329)&gt;0,COUNTIF(Kendaraan!A:A,A329)&gt;0)</f>
        <v>1</v>
      </c>
    </row>
    <row r="330" spans="1:9" x14ac:dyDescent="0.45">
      <c r="A330" s="4">
        <v>45732</v>
      </c>
      <c r="B330" t="s">
        <v>4778</v>
      </c>
      <c r="C330" t="s">
        <v>3963</v>
      </c>
      <c r="D330" t="s">
        <v>4779</v>
      </c>
      <c r="E330" t="s">
        <v>4780</v>
      </c>
      <c r="F330" t="s">
        <v>4781</v>
      </c>
      <c r="G330" t="s">
        <v>3636</v>
      </c>
      <c r="H330">
        <v>24</v>
      </c>
      <c r="I330" t="b">
        <f>AND(COUNTIF(CO!A:A,A330)&gt;0,COUNTIF('NO2'!A:A,A330)&gt;0,COUNTIF('O3'!A:A,A330)&gt;0,COUNTIF('PM10'!A:A,A330)&gt;0,COUNTIF('PM2.5'!A:A,A330)&gt;0,COUNTIF(Kendaraan!A:A,A330)&gt;0)</f>
        <v>1</v>
      </c>
    </row>
    <row r="331" spans="1:9" x14ac:dyDescent="0.45">
      <c r="A331" s="4">
        <v>45733</v>
      </c>
      <c r="B331" t="s">
        <v>4782</v>
      </c>
      <c r="C331" t="s">
        <v>4750</v>
      </c>
      <c r="D331" t="s">
        <v>4783</v>
      </c>
      <c r="E331" t="s">
        <v>4784</v>
      </c>
      <c r="F331" t="s">
        <v>4484</v>
      </c>
      <c r="G331" s="1">
        <v>3747</v>
      </c>
      <c r="H331">
        <v>24</v>
      </c>
      <c r="I331" t="b">
        <f>AND(COUNTIF(CO!A:A,A331)&gt;0,COUNTIF('NO2'!A:A,A331)&gt;0,COUNTIF('O3'!A:A,A331)&gt;0,COUNTIF('PM10'!A:A,A331)&gt;0,COUNTIF('PM2.5'!A:A,A331)&gt;0,COUNTIF(Kendaraan!A:A,A331)&gt;0)</f>
        <v>1</v>
      </c>
    </row>
    <row r="332" spans="1:9" x14ac:dyDescent="0.45">
      <c r="A332" s="4">
        <v>45734</v>
      </c>
      <c r="B332" t="s">
        <v>2417</v>
      </c>
      <c r="C332" t="s">
        <v>4785</v>
      </c>
      <c r="D332" t="s">
        <v>4786</v>
      </c>
      <c r="E332" t="s">
        <v>4787</v>
      </c>
      <c r="F332" t="s">
        <v>4788</v>
      </c>
      <c r="G332" s="1">
        <v>1717</v>
      </c>
      <c r="H332">
        <v>24</v>
      </c>
      <c r="I332" t="b">
        <f>AND(COUNTIF(CO!A:A,A332)&gt;0,COUNTIF('NO2'!A:A,A332)&gt;0,COUNTIF('O3'!A:A,A332)&gt;0,COUNTIF('PM10'!A:A,A332)&gt;0,COUNTIF('PM2.5'!A:A,A332)&gt;0,COUNTIF(Kendaraan!A:A,A332)&gt;0)</f>
        <v>1</v>
      </c>
    </row>
    <row r="333" spans="1:9" x14ac:dyDescent="0.45">
      <c r="A333" s="4">
        <v>45735</v>
      </c>
      <c r="B333" t="s">
        <v>4789</v>
      </c>
      <c r="C333" t="s">
        <v>4790</v>
      </c>
      <c r="D333" t="s">
        <v>4791</v>
      </c>
      <c r="E333" t="s">
        <v>4220</v>
      </c>
      <c r="F333" t="s">
        <v>4792</v>
      </c>
      <c r="G333" s="1">
        <v>4862</v>
      </c>
      <c r="H333">
        <v>24</v>
      </c>
      <c r="I333" t="b">
        <f>AND(COUNTIF(CO!A:A,A333)&gt;0,COUNTIF('NO2'!A:A,A333)&gt;0,COUNTIF('O3'!A:A,A333)&gt;0,COUNTIF('PM10'!A:A,A333)&gt;0,COUNTIF('PM2.5'!A:A,A333)&gt;0,COUNTIF(Kendaraan!A:A,A333)&gt;0)</f>
        <v>1</v>
      </c>
    </row>
    <row r="334" spans="1:9" x14ac:dyDescent="0.45">
      <c r="A334" s="4">
        <v>45736</v>
      </c>
      <c r="B334" t="s">
        <v>4703</v>
      </c>
      <c r="C334" t="s">
        <v>4793</v>
      </c>
      <c r="D334" t="s">
        <v>4276</v>
      </c>
      <c r="E334" t="s">
        <v>4794</v>
      </c>
      <c r="F334" t="s">
        <v>387</v>
      </c>
      <c r="G334" t="s">
        <v>3551</v>
      </c>
      <c r="H334">
        <v>24</v>
      </c>
      <c r="I334" t="b">
        <f>AND(COUNTIF(CO!A:A,A334)&gt;0,COUNTIF('NO2'!A:A,A334)&gt;0,COUNTIF('O3'!A:A,A334)&gt;0,COUNTIF('PM10'!A:A,A334)&gt;0,COUNTIF('PM2.5'!A:A,A334)&gt;0,COUNTIF(Kendaraan!A:A,A334)&gt;0)</f>
        <v>1</v>
      </c>
    </row>
    <row r="335" spans="1:9" x14ac:dyDescent="0.45">
      <c r="A335" s="4">
        <v>45737</v>
      </c>
      <c r="B335" t="s">
        <v>4706</v>
      </c>
      <c r="C335" t="s">
        <v>4795</v>
      </c>
      <c r="D335" t="s">
        <v>4796</v>
      </c>
      <c r="E335" t="s">
        <v>4062</v>
      </c>
      <c r="F335" t="s">
        <v>4186</v>
      </c>
      <c r="G335" t="s">
        <v>298</v>
      </c>
      <c r="H335">
        <v>23</v>
      </c>
      <c r="I335" t="b">
        <f>AND(COUNTIF(CO!A:A,A335)&gt;0,COUNTIF('NO2'!A:A,A335)&gt;0,COUNTIF('O3'!A:A,A335)&gt;0,COUNTIF('PM10'!A:A,A335)&gt;0,COUNTIF('PM2.5'!A:A,A335)&gt;0,COUNTIF(Kendaraan!A:A,A335)&gt;0)</f>
        <v>1</v>
      </c>
    </row>
    <row r="336" spans="1:9" x14ac:dyDescent="0.45">
      <c r="A336" s="4">
        <v>45738</v>
      </c>
      <c r="B336" t="s">
        <v>4063</v>
      </c>
      <c r="C336" t="s">
        <v>3977</v>
      </c>
      <c r="D336" t="s">
        <v>4797</v>
      </c>
      <c r="E336" t="s">
        <v>4252</v>
      </c>
      <c r="F336" t="s">
        <v>4798</v>
      </c>
      <c r="G336" t="s">
        <v>655</v>
      </c>
      <c r="H336">
        <v>24</v>
      </c>
      <c r="I336" t="b">
        <f>AND(COUNTIF(CO!A:A,A336)&gt;0,COUNTIF('NO2'!A:A,A336)&gt;0,COUNTIF('O3'!A:A,A336)&gt;0,COUNTIF('PM10'!A:A,A336)&gt;0,COUNTIF('PM2.5'!A:A,A336)&gt;0,COUNTIF(Kendaraan!A:A,A336)&gt;0)</f>
        <v>1</v>
      </c>
    </row>
    <row r="337" spans="1:9" x14ac:dyDescent="0.45">
      <c r="A337" s="4">
        <v>45739</v>
      </c>
      <c r="B337" t="s">
        <v>4061</v>
      </c>
      <c r="C337" t="s">
        <v>4202</v>
      </c>
      <c r="D337" t="s">
        <v>4799</v>
      </c>
      <c r="E337" t="s">
        <v>4798</v>
      </c>
      <c r="F337" t="s">
        <v>4800</v>
      </c>
      <c r="G337" t="s">
        <v>4000</v>
      </c>
      <c r="H337">
        <v>24</v>
      </c>
      <c r="I337" t="b">
        <f>AND(COUNTIF(CO!A:A,A337)&gt;0,COUNTIF('NO2'!A:A,A337)&gt;0,COUNTIF('O3'!A:A,A337)&gt;0,COUNTIF('PM10'!A:A,A337)&gt;0,COUNTIF('PM2.5'!A:A,A337)&gt;0,COUNTIF(Kendaraan!A:A,A337)&gt;0)</f>
        <v>1</v>
      </c>
    </row>
    <row r="338" spans="1:9" x14ac:dyDescent="0.45">
      <c r="A338" s="4">
        <v>45740</v>
      </c>
      <c r="B338" t="s">
        <v>4801</v>
      </c>
      <c r="C338" t="s">
        <v>4802</v>
      </c>
      <c r="D338" t="s">
        <v>4273</v>
      </c>
      <c r="E338" t="s">
        <v>4803</v>
      </c>
      <c r="F338" t="s">
        <v>4804</v>
      </c>
      <c r="G338" s="1">
        <v>1748</v>
      </c>
      <c r="H338">
        <v>23</v>
      </c>
      <c r="I338" t="b">
        <f>AND(COUNTIF(CO!A:A,A338)&gt;0,COUNTIF('NO2'!A:A,A338)&gt;0,COUNTIF('O3'!A:A,A338)&gt;0,COUNTIF('PM10'!A:A,A338)&gt;0,COUNTIF('PM2.5'!A:A,A338)&gt;0,COUNTIF(Kendaraan!A:A,A338)&gt;0)</f>
        <v>1</v>
      </c>
    </row>
    <row r="339" spans="1:9" x14ac:dyDescent="0.45">
      <c r="A339" s="4">
        <v>45741</v>
      </c>
      <c r="B339" t="s">
        <v>4185</v>
      </c>
      <c r="C339" t="s">
        <v>4805</v>
      </c>
      <c r="D339" t="s">
        <v>4517</v>
      </c>
      <c r="E339" t="s">
        <v>4806</v>
      </c>
      <c r="F339" t="s">
        <v>4807</v>
      </c>
      <c r="G339" t="s">
        <v>3143</v>
      </c>
      <c r="H339">
        <v>24</v>
      </c>
      <c r="I339" t="b">
        <f>AND(COUNTIF(CO!A:A,A339)&gt;0,COUNTIF('NO2'!A:A,A339)&gt;0,COUNTIF('O3'!A:A,A339)&gt;0,COUNTIF('PM10'!A:A,A339)&gt;0,COUNTIF('PM2.5'!A:A,A339)&gt;0,COUNTIF(Kendaraan!A:A,A339)&gt;0)</f>
        <v>1</v>
      </c>
    </row>
    <row r="340" spans="1:9" x14ac:dyDescent="0.45">
      <c r="A340" s="4">
        <v>45742</v>
      </c>
      <c r="B340" t="s">
        <v>4808</v>
      </c>
      <c r="C340" t="s">
        <v>4809</v>
      </c>
      <c r="D340" t="s">
        <v>4810</v>
      </c>
      <c r="E340" t="s">
        <v>4811</v>
      </c>
      <c r="F340" t="s">
        <v>4812</v>
      </c>
      <c r="G340" s="1">
        <v>1016</v>
      </c>
      <c r="H340">
        <v>24</v>
      </c>
      <c r="I340" t="b">
        <f>AND(COUNTIF(CO!A:A,A340)&gt;0,COUNTIF('NO2'!A:A,A340)&gt;0,COUNTIF('O3'!A:A,A340)&gt;0,COUNTIF('PM10'!A:A,A340)&gt;0,COUNTIF('PM2.5'!A:A,A340)&gt;0,COUNTIF(Kendaraan!A:A,A340)&gt;0)</f>
        <v>1</v>
      </c>
    </row>
    <row r="341" spans="1:9" x14ac:dyDescent="0.45">
      <c r="A341" s="4">
        <v>45743</v>
      </c>
      <c r="B341" t="s">
        <v>4813</v>
      </c>
      <c r="C341" t="s">
        <v>4814</v>
      </c>
      <c r="D341" t="s">
        <v>4815</v>
      </c>
      <c r="E341" t="s">
        <v>4816</v>
      </c>
      <c r="F341" t="s">
        <v>4817</v>
      </c>
      <c r="G341" s="1">
        <v>1205</v>
      </c>
      <c r="H341">
        <v>9</v>
      </c>
      <c r="I341" t="b">
        <f>AND(COUNTIF(CO!A:A,A341)&gt;0,COUNTIF('NO2'!A:A,A341)&gt;0,COUNTIF('O3'!A:A,A341)&gt;0,COUNTIF('PM10'!A:A,A341)&gt;0,COUNTIF('PM2.5'!A:A,A341)&gt;0,COUNTIF(Kendaraan!A:A,A341)&gt;0)</f>
        <v>1</v>
      </c>
    </row>
    <row r="342" spans="1:9" x14ac:dyDescent="0.45">
      <c r="A342" s="4">
        <v>45744</v>
      </c>
      <c r="B342" t="s">
        <v>687</v>
      </c>
      <c r="C342" t="s">
        <v>4182</v>
      </c>
      <c r="D342" t="s">
        <v>4818</v>
      </c>
      <c r="E342" t="s">
        <v>4808</v>
      </c>
      <c r="F342" t="s">
        <v>4549</v>
      </c>
      <c r="G342" s="1">
        <v>1299</v>
      </c>
      <c r="H342">
        <v>19</v>
      </c>
      <c r="I342" t="b">
        <f>AND(COUNTIF(CO!A:A,A342)&gt;0,COUNTIF('NO2'!A:A,A342)&gt;0,COUNTIF('O3'!A:A,A342)&gt;0,COUNTIF('PM10'!A:A,A342)&gt;0,COUNTIF('PM2.5'!A:A,A342)&gt;0,COUNTIF(Kendaraan!A:A,A342)&gt;0)</f>
        <v>1</v>
      </c>
    </row>
    <row r="343" spans="1:9" x14ac:dyDescent="0.45">
      <c r="A343" s="4">
        <v>45745</v>
      </c>
      <c r="B343" t="s">
        <v>4472</v>
      </c>
      <c r="C343" t="s">
        <v>4819</v>
      </c>
      <c r="D343" t="s">
        <v>4820</v>
      </c>
      <c r="E343" t="s">
        <v>4821</v>
      </c>
      <c r="F343" t="s">
        <v>4822</v>
      </c>
      <c r="G343" s="1">
        <v>1664</v>
      </c>
      <c r="H343">
        <v>24</v>
      </c>
      <c r="I343" t="b">
        <f>AND(COUNTIF(CO!A:A,A343)&gt;0,COUNTIF('NO2'!A:A,A343)&gt;0,COUNTIF('O3'!A:A,A343)&gt;0,COUNTIF('PM10'!A:A,A343)&gt;0,COUNTIF('PM2.5'!A:A,A343)&gt;0,COUNTIF(Kendaraan!A:A,A343)&gt;0)</f>
        <v>1</v>
      </c>
    </row>
    <row r="344" spans="1:9" x14ac:dyDescent="0.45">
      <c r="A344" s="4">
        <v>45746</v>
      </c>
      <c r="B344" t="s">
        <v>4823</v>
      </c>
      <c r="C344" t="s">
        <v>4824</v>
      </c>
      <c r="D344" t="s">
        <v>4825</v>
      </c>
      <c r="E344" t="s">
        <v>4826</v>
      </c>
      <c r="F344" t="s">
        <v>4827</v>
      </c>
      <c r="G344" s="1">
        <v>2219</v>
      </c>
      <c r="H344">
        <v>24</v>
      </c>
      <c r="I344" t="b">
        <f>AND(COUNTIF(CO!A:A,A344)&gt;0,COUNTIF('NO2'!A:A,A344)&gt;0,COUNTIF('O3'!A:A,A344)&gt;0,COUNTIF('PM10'!A:A,A344)&gt;0,COUNTIF('PM2.5'!A:A,A344)&gt;0,COUNTIF(Kendaraan!A:A,A344)&gt;0)</f>
        <v>1</v>
      </c>
    </row>
    <row r="345" spans="1:9" x14ac:dyDescent="0.45">
      <c r="A345" s="4">
        <v>45747</v>
      </c>
      <c r="B345" t="s">
        <v>4828</v>
      </c>
      <c r="C345">
        <v>74</v>
      </c>
      <c r="D345" t="s">
        <v>4829</v>
      </c>
      <c r="E345" t="s">
        <v>4830</v>
      </c>
      <c r="F345">
        <v>70</v>
      </c>
      <c r="G345" s="1">
        <v>2253</v>
      </c>
      <c r="H345">
        <v>22</v>
      </c>
      <c r="I345" t="b">
        <f>AND(COUNTIF(CO!A:A,A345)&gt;0,COUNTIF('NO2'!A:A,A345)&gt;0,COUNTIF('O3'!A:A,A345)&gt;0,COUNTIF('PM10'!A:A,A345)&gt;0,COUNTIF('PM2.5'!A:A,A345)&gt;0,COUNTIF(Kendaraan!A:A,A345)&gt;0)</f>
        <v>1</v>
      </c>
    </row>
    <row r="346" spans="1:9" x14ac:dyDescent="0.45">
      <c r="A346" s="4">
        <v>45748</v>
      </c>
      <c r="B346" t="s">
        <v>4293</v>
      </c>
      <c r="C346" t="s">
        <v>4831</v>
      </c>
      <c r="D346" t="s">
        <v>4823</v>
      </c>
      <c r="E346" t="s">
        <v>3969</v>
      </c>
      <c r="F346" t="s">
        <v>3246</v>
      </c>
      <c r="G346" t="s">
        <v>4832</v>
      </c>
      <c r="H346">
        <v>4</v>
      </c>
      <c r="I346" t="b">
        <f>AND(COUNTIF(CO!A:A,A346)&gt;0,COUNTIF('NO2'!A:A,A346)&gt;0,COUNTIF('O3'!A:A,A346)&gt;0,COUNTIF('PM10'!A:A,A346)&gt;0,COUNTIF('PM2.5'!A:A,A346)&gt;0,COUNTIF(Kendaraan!A:A,A346)&gt;0)</f>
        <v>1</v>
      </c>
    </row>
    <row r="347" spans="1:9" x14ac:dyDescent="0.45">
      <c r="A347" s="4">
        <v>45755</v>
      </c>
      <c r="B347" t="s">
        <v>2911</v>
      </c>
      <c r="C347" t="s">
        <v>2124</v>
      </c>
      <c r="D347" t="s">
        <v>4833</v>
      </c>
      <c r="E347" t="s">
        <v>2911</v>
      </c>
      <c r="F347" t="s">
        <v>2124</v>
      </c>
      <c r="G347" t="s">
        <v>92</v>
      </c>
      <c r="H347">
        <v>2</v>
      </c>
      <c r="I347" t="b">
        <f>AND(COUNTIF(CO!A:A,A347)&gt;0,COUNTIF('NO2'!A:A,A347)&gt;0,COUNTIF('O3'!A:A,A347)&gt;0,COUNTIF('PM10'!A:A,A347)&gt;0,COUNTIF('PM2.5'!A:A,A347)&gt;0,COUNTIF(Kendaraan!A:A,A347)&gt;0)</f>
        <v>1</v>
      </c>
    </row>
    <row r="348" spans="1:9" x14ac:dyDescent="0.45">
      <c r="A348" s="4">
        <v>45756</v>
      </c>
      <c r="B348" t="s">
        <v>3982</v>
      </c>
      <c r="C348" t="s">
        <v>4834</v>
      </c>
      <c r="D348" t="s">
        <v>4570</v>
      </c>
      <c r="E348" t="s">
        <v>4835</v>
      </c>
      <c r="F348" t="s">
        <v>2526</v>
      </c>
      <c r="G348" s="1">
        <v>1018</v>
      </c>
      <c r="H348">
        <v>24</v>
      </c>
      <c r="I348" t="b">
        <f>AND(COUNTIF(CO!A:A,A348)&gt;0,COUNTIF('NO2'!A:A,A348)&gt;0,COUNTIF('O3'!A:A,A348)&gt;0,COUNTIF('PM10'!A:A,A348)&gt;0,COUNTIF('PM2.5'!A:A,A348)&gt;0,COUNTIF(Kendaraan!A:A,A348)&gt;0)</f>
        <v>1</v>
      </c>
    </row>
    <row r="349" spans="1:9" x14ac:dyDescent="0.45">
      <c r="A349" s="4">
        <v>45757</v>
      </c>
      <c r="B349" t="s">
        <v>4836</v>
      </c>
      <c r="C349" t="s">
        <v>4837</v>
      </c>
      <c r="D349" t="s">
        <v>4838</v>
      </c>
      <c r="E349" t="s">
        <v>2132</v>
      </c>
      <c r="F349" t="s">
        <v>4839</v>
      </c>
      <c r="G349" t="s">
        <v>209</v>
      </c>
      <c r="H349">
        <v>17</v>
      </c>
      <c r="I349" t="b">
        <f>AND(COUNTIF(CO!A:A,A349)&gt;0,COUNTIF('NO2'!A:A,A349)&gt;0,COUNTIF('O3'!A:A,A349)&gt;0,COUNTIF('PM10'!A:A,A349)&gt;0,COUNTIF('PM2.5'!A:A,A349)&gt;0,COUNTIF(Kendaraan!A:A,A349)&gt;0)</f>
        <v>1</v>
      </c>
    </row>
    <row r="350" spans="1:9" x14ac:dyDescent="0.45">
      <c r="A350" s="4">
        <v>45759</v>
      </c>
      <c r="B350" t="s">
        <v>748</v>
      </c>
      <c r="C350" t="s">
        <v>781</v>
      </c>
      <c r="D350" t="s">
        <v>4840</v>
      </c>
      <c r="E350" t="s">
        <v>4146</v>
      </c>
      <c r="F350" t="s">
        <v>4841</v>
      </c>
      <c r="G350" t="s">
        <v>3160</v>
      </c>
      <c r="H350">
        <v>23</v>
      </c>
      <c r="I350" t="b">
        <f>AND(COUNTIF(CO!A:A,A350)&gt;0,COUNTIF('NO2'!A:A,A350)&gt;0,COUNTIF('O3'!A:A,A350)&gt;0,COUNTIF('PM10'!A:A,A350)&gt;0,COUNTIF('PM2.5'!A:A,A350)&gt;0,COUNTIF(Kendaraan!A:A,A350)&gt;0)</f>
        <v>1</v>
      </c>
    </row>
    <row r="351" spans="1:9" x14ac:dyDescent="0.45">
      <c r="A351" s="4">
        <v>45760</v>
      </c>
      <c r="B351" t="s">
        <v>4842</v>
      </c>
      <c r="C351" t="s">
        <v>4149</v>
      </c>
      <c r="D351" t="s">
        <v>4843</v>
      </c>
      <c r="E351" t="s">
        <v>4132</v>
      </c>
      <c r="F351" t="s">
        <v>4840</v>
      </c>
      <c r="G351" t="s">
        <v>338</v>
      </c>
      <c r="H351">
        <v>24</v>
      </c>
      <c r="I351" t="b">
        <f>AND(COUNTIF(CO!A:A,A351)&gt;0,COUNTIF('NO2'!A:A,A351)&gt;0,COUNTIF('O3'!A:A,A351)&gt;0,COUNTIF('PM10'!A:A,A351)&gt;0,COUNTIF('PM2.5'!A:A,A351)&gt;0,COUNTIF(Kendaraan!A:A,A351)&gt;0)</f>
        <v>1</v>
      </c>
    </row>
    <row r="352" spans="1:9" x14ac:dyDescent="0.45">
      <c r="A352" s="4">
        <v>45761</v>
      </c>
      <c r="B352" t="s">
        <v>4844</v>
      </c>
      <c r="C352" t="s">
        <v>4845</v>
      </c>
      <c r="D352" t="s">
        <v>4846</v>
      </c>
      <c r="E352" t="s">
        <v>4847</v>
      </c>
      <c r="F352" t="s">
        <v>4848</v>
      </c>
      <c r="G352" t="s">
        <v>4849</v>
      </c>
      <c r="H352">
        <v>24</v>
      </c>
      <c r="I352" t="b">
        <f>AND(COUNTIF(CO!A:A,A352)&gt;0,COUNTIF('NO2'!A:A,A352)&gt;0,COUNTIF('O3'!A:A,A352)&gt;0,COUNTIF('PM10'!A:A,A352)&gt;0,COUNTIF('PM2.5'!A:A,A352)&gt;0,COUNTIF(Kendaraan!A:A,A352)&gt;0)</f>
        <v>1</v>
      </c>
    </row>
    <row r="353" spans="1:9" x14ac:dyDescent="0.45">
      <c r="A353" s="4">
        <v>45762</v>
      </c>
      <c r="B353" t="s">
        <v>4850</v>
      </c>
      <c r="C353" t="s">
        <v>4168</v>
      </c>
      <c r="D353" t="s">
        <v>4128</v>
      </c>
      <c r="E353" t="s">
        <v>3000</v>
      </c>
      <c r="F353" t="s">
        <v>4851</v>
      </c>
      <c r="G353" t="s">
        <v>196</v>
      </c>
      <c r="H353">
        <v>24</v>
      </c>
      <c r="I353" t="b">
        <f>AND(COUNTIF(CO!A:A,A353)&gt;0,COUNTIF('NO2'!A:A,A353)&gt;0,COUNTIF('O3'!A:A,A353)&gt;0,COUNTIF('PM10'!A:A,A353)&gt;0,COUNTIF('PM2.5'!A:A,A353)&gt;0,COUNTIF(Kendaraan!A:A,A353)&gt;0)</f>
        <v>1</v>
      </c>
    </row>
    <row r="354" spans="1:9" x14ac:dyDescent="0.45">
      <c r="A354" s="4">
        <v>45763</v>
      </c>
      <c r="B354" t="s">
        <v>4852</v>
      </c>
      <c r="C354" t="s">
        <v>4853</v>
      </c>
      <c r="D354" t="s">
        <v>4854</v>
      </c>
      <c r="E354" t="s">
        <v>4855</v>
      </c>
      <c r="F354" t="s">
        <v>4856</v>
      </c>
      <c r="G354" t="s">
        <v>3627</v>
      </c>
      <c r="H354">
        <v>13</v>
      </c>
      <c r="I354" t="b">
        <f>AND(COUNTIF(CO!A:A,A354)&gt;0,COUNTIF('NO2'!A:A,A354)&gt;0,COUNTIF('O3'!A:A,A354)&gt;0,COUNTIF('PM10'!A:A,A354)&gt;0,COUNTIF('PM2.5'!A:A,A354)&gt;0,COUNTIF(Kendaraan!A:A,A354)&gt;0)</f>
        <v>1</v>
      </c>
    </row>
    <row r="355" spans="1:9" x14ac:dyDescent="0.45">
      <c r="A355" s="4">
        <v>45764</v>
      </c>
      <c r="B355" t="s">
        <v>4857</v>
      </c>
      <c r="C355" t="s">
        <v>4858</v>
      </c>
      <c r="D355" t="s">
        <v>4859</v>
      </c>
      <c r="E355" t="s">
        <v>4860</v>
      </c>
      <c r="F355" t="s">
        <v>4861</v>
      </c>
      <c r="G355" t="s">
        <v>1172</v>
      </c>
      <c r="H355">
        <v>4</v>
      </c>
      <c r="I355" t="b">
        <f>AND(COUNTIF(CO!A:A,A355)&gt;0,COUNTIF('NO2'!A:A,A355)&gt;0,COUNTIF('O3'!A:A,A355)&gt;0,COUNTIF('PM10'!A:A,A355)&gt;0,COUNTIF('PM2.5'!A:A,A355)&gt;0,COUNTIF(Kendaraan!A:A,A355)&gt;0)</f>
        <v>1</v>
      </c>
    </row>
    <row r="356" spans="1:9" x14ac:dyDescent="0.45">
      <c r="A356" s="4">
        <v>45765</v>
      </c>
      <c r="B356" t="s">
        <v>4862</v>
      </c>
      <c r="C356" t="s">
        <v>4863</v>
      </c>
      <c r="D356" t="s">
        <v>4864</v>
      </c>
      <c r="E356" t="s">
        <v>4865</v>
      </c>
      <c r="F356" t="s">
        <v>4866</v>
      </c>
      <c r="G356" s="1">
        <v>1259</v>
      </c>
      <c r="H356">
        <v>24</v>
      </c>
      <c r="I356" t="b">
        <f>AND(COUNTIF(CO!A:A,A356)&gt;0,COUNTIF('NO2'!A:A,A356)&gt;0,COUNTIF('O3'!A:A,A356)&gt;0,COUNTIF('PM10'!A:A,A356)&gt;0,COUNTIF('PM2.5'!A:A,A356)&gt;0,COUNTIF(Kendaraan!A:A,A356)&gt;0)</f>
        <v>1</v>
      </c>
    </row>
    <row r="357" spans="1:9" x14ac:dyDescent="0.45">
      <c r="A357" s="4">
        <v>45766</v>
      </c>
      <c r="B357" t="s">
        <v>4867</v>
      </c>
      <c r="C357" t="s">
        <v>4868</v>
      </c>
      <c r="D357" t="s">
        <v>4869</v>
      </c>
      <c r="E357" t="s">
        <v>4870</v>
      </c>
      <c r="F357" t="s">
        <v>4871</v>
      </c>
      <c r="G357" t="s">
        <v>3975</v>
      </c>
      <c r="H357">
        <v>22</v>
      </c>
      <c r="I357" t="b">
        <f>AND(COUNTIF(CO!A:A,A357)&gt;0,COUNTIF('NO2'!A:A,A357)&gt;0,COUNTIF('O3'!A:A,A357)&gt;0,COUNTIF('PM10'!A:A,A357)&gt;0,COUNTIF('PM2.5'!A:A,A357)&gt;0,COUNTIF(Kendaraan!A:A,A357)&gt;0)</f>
        <v>1</v>
      </c>
    </row>
    <row r="358" spans="1:9" x14ac:dyDescent="0.45">
      <c r="A358" s="4">
        <v>45767</v>
      </c>
      <c r="B358" t="s">
        <v>4872</v>
      </c>
      <c r="C358" t="s">
        <v>4873</v>
      </c>
      <c r="D358" t="s">
        <v>4874</v>
      </c>
      <c r="E358" t="s">
        <v>4875</v>
      </c>
      <c r="F358" t="s">
        <v>4876</v>
      </c>
      <c r="G358" t="s">
        <v>3956</v>
      </c>
      <c r="H358">
        <v>24</v>
      </c>
      <c r="I358" t="b">
        <f>AND(COUNTIF(CO!A:A,A358)&gt;0,COUNTIF('NO2'!A:A,A358)&gt;0,COUNTIF('O3'!A:A,A358)&gt;0,COUNTIF('PM10'!A:A,A358)&gt;0,COUNTIF('PM2.5'!A:A,A358)&gt;0,COUNTIF(Kendaraan!A:A,A358)&gt;0)</f>
        <v>1</v>
      </c>
    </row>
    <row r="359" spans="1:9" x14ac:dyDescent="0.45">
      <c r="A359" s="4">
        <v>45768</v>
      </c>
      <c r="B359" t="s">
        <v>2678</v>
      </c>
      <c r="C359" t="s">
        <v>4877</v>
      </c>
      <c r="D359" t="s">
        <v>3003</v>
      </c>
      <c r="E359" t="s">
        <v>4878</v>
      </c>
      <c r="F359" t="s">
        <v>4879</v>
      </c>
      <c r="G359" t="s">
        <v>2032</v>
      </c>
      <c r="H359">
        <v>24</v>
      </c>
      <c r="I359" t="b">
        <f>AND(COUNTIF(CO!A:A,A359)&gt;0,COUNTIF('NO2'!A:A,A359)&gt;0,COUNTIF('O3'!A:A,A359)&gt;0,COUNTIF('PM10'!A:A,A359)&gt;0,COUNTIF('PM2.5'!A:A,A359)&gt;0,COUNTIF(Kendaraan!A:A,A359)&gt;0)</f>
        <v>1</v>
      </c>
    </row>
    <row r="360" spans="1:9" x14ac:dyDescent="0.45">
      <c r="A360" s="4">
        <v>45769</v>
      </c>
      <c r="B360" t="s">
        <v>4880</v>
      </c>
      <c r="C360" t="s">
        <v>4881</v>
      </c>
      <c r="D360" t="s">
        <v>4882</v>
      </c>
      <c r="E360" t="s">
        <v>4883</v>
      </c>
      <c r="F360" t="s">
        <v>4884</v>
      </c>
      <c r="G360" t="s">
        <v>1813</v>
      </c>
      <c r="H360">
        <v>24</v>
      </c>
      <c r="I360" t="b">
        <f>AND(COUNTIF(CO!A:A,A360)&gt;0,COUNTIF('NO2'!A:A,A360)&gt;0,COUNTIF('O3'!A:A,A360)&gt;0,COUNTIF('PM10'!A:A,A360)&gt;0,COUNTIF('PM2.5'!A:A,A360)&gt;0,COUNTIF(Kendaraan!A:A,A360)&gt;0)</f>
        <v>1</v>
      </c>
    </row>
    <row r="361" spans="1:9" x14ac:dyDescent="0.45">
      <c r="A361" s="4">
        <v>45770</v>
      </c>
      <c r="B361" t="s">
        <v>4770</v>
      </c>
      <c r="C361" t="s">
        <v>4885</v>
      </c>
      <c r="D361" t="s">
        <v>4886</v>
      </c>
      <c r="E361" t="s">
        <v>4739</v>
      </c>
      <c r="F361" t="s">
        <v>4887</v>
      </c>
      <c r="G361" t="s">
        <v>1939</v>
      </c>
      <c r="H361">
        <v>24</v>
      </c>
      <c r="I361" t="b">
        <f>AND(COUNTIF(CO!A:A,A361)&gt;0,COUNTIF('NO2'!A:A,A361)&gt;0,COUNTIF('O3'!A:A,A361)&gt;0,COUNTIF('PM10'!A:A,A361)&gt;0,COUNTIF('PM2.5'!A:A,A361)&gt;0,COUNTIF(Kendaraan!A:A,A361)&gt;0)</f>
        <v>1</v>
      </c>
    </row>
    <row r="362" spans="1:9" x14ac:dyDescent="0.45">
      <c r="A362" s="4">
        <v>45771</v>
      </c>
      <c r="B362" t="s">
        <v>4888</v>
      </c>
      <c r="C362" t="s">
        <v>4889</v>
      </c>
      <c r="D362" t="s">
        <v>4890</v>
      </c>
      <c r="E362" t="s">
        <v>4891</v>
      </c>
      <c r="F362" t="s">
        <v>4892</v>
      </c>
      <c r="G362" t="s">
        <v>1384</v>
      </c>
      <c r="H362">
        <v>24</v>
      </c>
      <c r="I362" t="b">
        <f>AND(COUNTIF(CO!A:A,A362)&gt;0,COUNTIF('NO2'!A:A,A362)&gt;0,COUNTIF('O3'!A:A,A362)&gt;0,COUNTIF('PM10'!A:A,A362)&gt;0,COUNTIF('PM2.5'!A:A,A362)&gt;0,COUNTIF(Kendaraan!A:A,A362)&gt;0)</f>
        <v>1</v>
      </c>
    </row>
    <row r="363" spans="1:9" x14ac:dyDescent="0.45">
      <c r="A363" s="4">
        <v>45772</v>
      </c>
      <c r="B363" t="s">
        <v>4893</v>
      </c>
      <c r="C363" t="s">
        <v>4894</v>
      </c>
      <c r="D363" t="s">
        <v>4895</v>
      </c>
      <c r="E363" t="s">
        <v>4896</v>
      </c>
      <c r="F363" t="s">
        <v>4897</v>
      </c>
      <c r="G363" t="s">
        <v>2039</v>
      </c>
      <c r="H363">
        <v>24</v>
      </c>
      <c r="I363" t="b">
        <f>AND(COUNTIF(CO!A:A,A363)&gt;0,COUNTIF('NO2'!A:A,A363)&gt;0,COUNTIF('O3'!A:A,A363)&gt;0,COUNTIF('PM10'!A:A,A363)&gt;0,COUNTIF('PM2.5'!A:A,A363)&gt;0,COUNTIF(Kendaraan!A:A,A363)&gt;0)</f>
        <v>1</v>
      </c>
    </row>
    <row r="364" spans="1:9" x14ac:dyDescent="0.45">
      <c r="A364" s="4">
        <v>45773</v>
      </c>
      <c r="B364" t="s">
        <v>4898</v>
      </c>
      <c r="C364" t="s">
        <v>4899</v>
      </c>
      <c r="D364" t="s">
        <v>4900</v>
      </c>
      <c r="E364" t="s">
        <v>4901</v>
      </c>
      <c r="F364" t="s">
        <v>4902</v>
      </c>
      <c r="G364" t="s">
        <v>1245</v>
      </c>
      <c r="H364">
        <v>24</v>
      </c>
      <c r="I364" t="b">
        <f>AND(COUNTIF(CO!A:A,A364)&gt;0,COUNTIF('NO2'!A:A,A364)&gt;0,COUNTIF('O3'!A:A,A364)&gt;0,COUNTIF('PM10'!A:A,A364)&gt;0,COUNTIF('PM2.5'!A:A,A364)&gt;0,COUNTIF(Kendaraan!A:A,A364)&gt;0)</f>
        <v>1</v>
      </c>
    </row>
    <row r="365" spans="1:9" x14ac:dyDescent="0.45">
      <c r="A365" s="4">
        <v>45774</v>
      </c>
      <c r="B365" t="s">
        <v>4903</v>
      </c>
      <c r="C365" t="s">
        <v>4904</v>
      </c>
      <c r="D365" t="s">
        <v>4905</v>
      </c>
      <c r="E365" t="s">
        <v>4906</v>
      </c>
      <c r="F365" t="s">
        <v>4907</v>
      </c>
      <c r="G365" t="s">
        <v>128</v>
      </c>
      <c r="H365">
        <v>24</v>
      </c>
      <c r="I365" t="b">
        <f>AND(COUNTIF(CO!A:A,A365)&gt;0,COUNTIF('NO2'!A:A,A365)&gt;0,COUNTIF('O3'!A:A,A365)&gt;0,COUNTIF('PM10'!A:A,A365)&gt;0,COUNTIF('PM2.5'!A:A,A365)&gt;0,COUNTIF(Kendaraan!A:A,A365)&gt;0)</f>
        <v>1</v>
      </c>
    </row>
    <row r="366" spans="1:9" x14ac:dyDescent="0.45">
      <c r="A366" s="4">
        <v>45775</v>
      </c>
      <c r="B366" t="s">
        <v>4908</v>
      </c>
      <c r="C366" t="s">
        <v>4909</v>
      </c>
      <c r="D366" t="s">
        <v>4910</v>
      </c>
      <c r="E366" t="s">
        <v>4911</v>
      </c>
      <c r="F366" t="s">
        <v>4912</v>
      </c>
      <c r="G366" t="s">
        <v>1036</v>
      </c>
      <c r="H366">
        <v>24</v>
      </c>
      <c r="I366" t="b">
        <f>AND(COUNTIF(CO!A:A,A366)&gt;0,COUNTIF('NO2'!A:A,A366)&gt;0,COUNTIF('O3'!A:A,A366)&gt;0,COUNTIF('PM10'!A:A,A366)&gt;0,COUNTIF('PM2.5'!A:A,A366)&gt;0,COUNTIF(Kendaraan!A:A,A366)&gt;0)</f>
        <v>1</v>
      </c>
    </row>
    <row r="367" spans="1:9" x14ac:dyDescent="0.45">
      <c r="A367" s="4">
        <v>45776</v>
      </c>
      <c r="B367" t="s">
        <v>4913</v>
      </c>
      <c r="C367" t="s">
        <v>4914</v>
      </c>
      <c r="D367" t="s">
        <v>4915</v>
      </c>
      <c r="E367" t="s">
        <v>4916</v>
      </c>
      <c r="F367" t="s">
        <v>4917</v>
      </c>
      <c r="G367" t="s">
        <v>2900</v>
      </c>
      <c r="H367">
        <v>24</v>
      </c>
      <c r="I367" t="b">
        <f>AND(COUNTIF(CO!A:A,A367)&gt;0,COUNTIF('NO2'!A:A,A367)&gt;0,COUNTIF('O3'!A:A,A367)&gt;0,COUNTIF('PM10'!A:A,A367)&gt;0,COUNTIF('PM2.5'!A:A,A367)&gt;0,COUNTIF(Kendaraan!A:A,A367)&gt;0)</f>
        <v>1</v>
      </c>
    </row>
    <row r="368" spans="1:9" x14ac:dyDescent="0.45">
      <c r="A368" s="4">
        <v>45777</v>
      </c>
      <c r="B368" t="s">
        <v>4918</v>
      </c>
      <c r="C368" t="s">
        <v>4919</v>
      </c>
      <c r="D368" t="s">
        <v>4920</v>
      </c>
      <c r="E368" t="s">
        <v>4921</v>
      </c>
      <c r="F368" t="s">
        <v>4922</v>
      </c>
      <c r="G368" t="s">
        <v>1072</v>
      </c>
      <c r="H368">
        <v>24</v>
      </c>
      <c r="I368" t="b">
        <f>AND(COUNTIF(CO!A:A,A368)&gt;0,COUNTIF('NO2'!A:A,A368)&gt;0,COUNTIF('O3'!A:A,A368)&gt;0,COUNTIF('PM10'!A:A,A368)&gt;0,COUNTIF('PM2.5'!A:A,A368)&gt;0,COUNTIF(Kendaraan!A:A,A368)&gt;0)</f>
        <v>1</v>
      </c>
    </row>
    <row r="369" spans="1:9" x14ac:dyDescent="0.45">
      <c r="A369" s="4">
        <v>45778</v>
      </c>
      <c r="B369">
        <v>104</v>
      </c>
      <c r="C369" t="s">
        <v>4923</v>
      </c>
      <c r="D369" t="s">
        <v>4924</v>
      </c>
      <c r="E369" t="s">
        <v>4925</v>
      </c>
      <c r="F369" t="s">
        <v>4926</v>
      </c>
      <c r="G369" t="s">
        <v>106</v>
      </c>
      <c r="H369">
        <v>7</v>
      </c>
      <c r="I369" t="b">
        <f>AND(COUNTIF(CO!A:A,A369)&gt;0,COUNTIF('NO2'!A:A,A369)&gt;0,COUNTIF('O3'!A:A,A369)&gt;0,COUNTIF('PM10'!A:A,A369)&gt;0,COUNTIF('PM2.5'!A:A,A369)&gt;0,COUNTIF(Kendaraan!A:A,A369)&gt;0)</f>
        <v>1</v>
      </c>
    </row>
    <row r="370" spans="1:9" x14ac:dyDescent="0.45">
      <c r="A370" s="4">
        <v>45779</v>
      </c>
      <c r="B370" t="s">
        <v>4927</v>
      </c>
      <c r="C370" t="s">
        <v>4928</v>
      </c>
      <c r="D370" t="s">
        <v>4929</v>
      </c>
      <c r="E370" t="s">
        <v>4930</v>
      </c>
      <c r="F370" t="s">
        <v>4931</v>
      </c>
      <c r="G370" t="s">
        <v>228</v>
      </c>
      <c r="H370">
        <v>4</v>
      </c>
      <c r="I370" t="b">
        <f>AND(COUNTIF(CO!A:A,A370)&gt;0,COUNTIF('NO2'!A:A,A370)&gt;0,COUNTIF('O3'!A:A,A370)&gt;0,COUNTIF('PM10'!A:A,A370)&gt;0,COUNTIF('PM2.5'!A:A,A370)&gt;0,COUNTIF(Kendaraan!A:A,A370)&gt;0)</f>
        <v>1</v>
      </c>
    </row>
    <row r="371" spans="1:9" x14ac:dyDescent="0.45">
      <c r="A371" s="4">
        <v>45780</v>
      </c>
      <c r="B371" t="s">
        <v>4932</v>
      </c>
      <c r="C371" t="s">
        <v>966</v>
      </c>
      <c r="D371" t="s">
        <v>4933</v>
      </c>
      <c r="E371" t="s">
        <v>4934</v>
      </c>
      <c r="F371" t="s">
        <v>4317</v>
      </c>
      <c r="G371" t="s">
        <v>292</v>
      </c>
      <c r="H371">
        <v>20</v>
      </c>
      <c r="I371" t="b">
        <f>AND(COUNTIF(CO!A:A,A371)&gt;0,COUNTIF('NO2'!A:A,A371)&gt;0,COUNTIF('O3'!A:A,A371)&gt;0,COUNTIF('PM10'!A:A,A371)&gt;0,COUNTIF('PM2.5'!A:A,A371)&gt;0,COUNTIF(Kendaraan!A:A,A371)&gt;0)</f>
        <v>1</v>
      </c>
    </row>
    <row r="372" spans="1:9" x14ac:dyDescent="0.45">
      <c r="A372" s="4">
        <v>45781</v>
      </c>
      <c r="B372" t="s">
        <v>4935</v>
      </c>
      <c r="C372" t="s">
        <v>4652</v>
      </c>
      <c r="D372" t="s">
        <v>4936</v>
      </c>
      <c r="E372" t="s">
        <v>4321</v>
      </c>
      <c r="F372" t="s">
        <v>4937</v>
      </c>
      <c r="G372" t="s">
        <v>3501</v>
      </c>
      <c r="H372">
        <v>24</v>
      </c>
      <c r="I372" t="b">
        <f>AND(COUNTIF(CO!A:A,A372)&gt;0,COUNTIF('NO2'!A:A,A372)&gt;0,COUNTIF('O3'!A:A,A372)&gt;0,COUNTIF('PM10'!A:A,A372)&gt;0,COUNTIF('PM2.5'!A:A,A372)&gt;0,COUNTIF(Kendaraan!A:A,A372)&gt;0)</f>
        <v>1</v>
      </c>
    </row>
    <row r="373" spans="1:9" x14ac:dyDescent="0.45">
      <c r="A373" s="4">
        <v>45782</v>
      </c>
      <c r="B373" t="s">
        <v>984</v>
      </c>
      <c r="C373" t="s">
        <v>4938</v>
      </c>
      <c r="D373" t="s">
        <v>4939</v>
      </c>
      <c r="E373" t="s">
        <v>4940</v>
      </c>
      <c r="F373" t="s">
        <v>4941</v>
      </c>
      <c r="G373" s="1">
        <v>1249</v>
      </c>
      <c r="H373">
        <v>24</v>
      </c>
      <c r="I373" t="b">
        <f>AND(COUNTIF(CO!A:A,A373)&gt;0,COUNTIF('NO2'!A:A,A373)&gt;0,COUNTIF('O3'!A:A,A373)&gt;0,COUNTIF('PM10'!A:A,A373)&gt;0,COUNTIF('PM2.5'!A:A,A373)&gt;0,COUNTIF(Kendaraan!A:A,A373)&gt;0)</f>
        <v>1</v>
      </c>
    </row>
    <row r="374" spans="1:9" x14ac:dyDescent="0.45">
      <c r="A374" s="4">
        <v>45783</v>
      </c>
      <c r="B374" t="s">
        <v>4940</v>
      </c>
      <c r="C374" t="s">
        <v>4942</v>
      </c>
      <c r="D374" t="s">
        <v>4943</v>
      </c>
      <c r="E374" t="s">
        <v>4944</v>
      </c>
      <c r="F374">
        <v>94</v>
      </c>
      <c r="G374" t="s">
        <v>1959</v>
      </c>
      <c r="H374">
        <v>24</v>
      </c>
      <c r="I374" t="b">
        <f>AND(COUNTIF(CO!A:A,A374)&gt;0,COUNTIF('NO2'!A:A,A374)&gt;0,COUNTIF('O3'!A:A,A374)&gt;0,COUNTIF('PM10'!A:A,A374)&gt;0,COUNTIF('PM2.5'!A:A,A374)&gt;0,COUNTIF(Kendaraan!A:A,A374)&gt;0)</f>
        <v>1</v>
      </c>
    </row>
    <row r="375" spans="1:9" x14ac:dyDescent="0.45">
      <c r="A375" s="4">
        <v>45784</v>
      </c>
      <c r="B375" t="s">
        <v>4945</v>
      </c>
      <c r="C375" t="s">
        <v>4946</v>
      </c>
      <c r="D375" t="s">
        <v>4947</v>
      </c>
      <c r="E375" t="s">
        <v>4948</v>
      </c>
      <c r="F375" t="s">
        <v>974</v>
      </c>
      <c r="G375" t="s">
        <v>857</v>
      </c>
      <c r="H375">
        <v>24</v>
      </c>
      <c r="I375" t="b">
        <f>AND(COUNTIF(CO!A:A,A375)&gt;0,COUNTIF('NO2'!A:A,A375)&gt;0,COUNTIF('O3'!A:A,A375)&gt;0,COUNTIF('PM10'!A:A,A375)&gt;0,COUNTIF('PM2.5'!A:A,A375)&gt;0,COUNTIF(Kendaraan!A:A,A375)&gt;0)</f>
        <v>1</v>
      </c>
    </row>
    <row r="376" spans="1:9" x14ac:dyDescent="0.45">
      <c r="A376" s="4">
        <v>45785</v>
      </c>
      <c r="B376" t="s">
        <v>4949</v>
      </c>
      <c r="C376" t="s">
        <v>4950</v>
      </c>
      <c r="D376" t="s">
        <v>4951</v>
      </c>
      <c r="E376" t="s">
        <v>4952</v>
      </c>
      <c r="F376" t="s">
        <v>4953</v>
      </c>
      <c r="G376" t="s">
        <v>3379</v>
      </c>
      <c r="H376">
        <v>24</v>
      </c>
      <c r="I376" t="b">
        <f>AND(COUNTIF(CO!A:A,A376)&gt;0,COUNTIF('NO2'!A:A,A376)&gt;0,COUNTIF('O3'!A:A,A376)&gt;0,COUNTIF('PM10'!A:A,A376)&gt;0,COUNTIF('PM2.5'!A:A,A376)&gt;0,COUNTIF(Kendaraan!A:A,A376)&gt;0)</f>
        <v>1</v>
      </c>
    </row>
    <row r="377" spans="1:9" x14ac:dyDescent="0.45">
      <c r="A377" s="4">
        <v>45786</v>
      </c>
      <c r="B377" t="s">
        <v>4954</v>
      </c>
      <c r="C377" t="s">
        <v>4955</v>
      </c>
      <c r="D377" t="s">
        <v>4956</v>
      </c>
      <c r="E377" t="s">
        <v>4656</v>
      </c>
      <c r="F377" t="s">
        <v>4770</v>
      </c>
      <c r="G377" s="1">
        <v>1164</v>
      </c>
      <c r="H377">
        <v>24</v>
      </c>
      <c r="I377" t="b">
        <f>AND(COUNTIF(CO!A:A,A377)&gt;0,COUNTIF('NO2'!A:A,A377)&gt;0,COUNTIF('O3'!A:A,A377)&gt;0,COUNTIF('PM10'!A:A,A377)&gt;0,COUNTIF('PM2.5'!A:A,A377)&gt;0,COUNTIF(Kendaraan!A:A,A377)&gt;0)</f>
        <v>1</v>
      </c>
    </row>
    <row r="378" spans="1:9" x14ac:dyDescent="0.45">
      <c r="A378" s="4">
        <v>45787</v>
      </c>
      <c r="B378" t="s">
        <v>4957</v>
      </c>
      <c r="C378" t="s">
        <v>4958</v>
      </c>
      <c r="D378" t="s">
        <v>4959</v>
      </c>
      <c r="E378" t="s">
        <v>4940</v>
      </c>
      <c r="F378" t="s">
        <v>4960</v>
      </c>
      <c r="G378" s="1">
        <v>3079</v>
      </c>
      <c r="H378">
        <v>24</v>
      </c>
      <c r="I378" t="b">
        <f>AND(COUNTIF(CO!A:A,A378)&gt;0,COUNTIF('NO2'!A:A,A378)&gt;0,COUNTIF('O3'!A:A,A378)&gt;0,COUNTIF('PM10'!A:A,A378)&gt;0,COUNTIF('PM2.5'!A:A,A378)&gt;0,COUNTIF(Kendaraan!A:A,A378)&gt;0)</f>
        <v>1</v>
      </c>
    </row>
    <row r="379" spans="1:9" x14ac:dyDescent="0.45">
      <c r="A379" s="4">
        <v>45788</v>
      </c>
      <c r="B379" t="s">
        <v>2104</v>
      </c>
      <c r="C379" t="s">
        <v>4927</v>
      </c>
      <c r="D379" t="s">
        <v>4961</v>
      </c>
      <c r="E379" t="s">
        <v>4700</v>
      </c>
      <c r="F379" t="s">
        <v>4962</v>
      </c>
      <c r="G379" s="1">
        <v>4962</v>
      </c>
      <c r="H379">
        <v>24</v>
      </c>
      <c r="I379" t="b">
        <f>AND(COUNTIF(CO!A:A,A379)&gt;0,COUNTIF('NO2'!A:A,A379)&gt;0,COUNTIF('O3'!A:A,A379)&gt;0,COUNTIF('PM10'!A:A,A379)&gt;0,COUNTIF('PM2.5'!A:A,A379)&gt;0,COUNTIF(Kendaraan!A:A,A379)&gt;0)</f>
        <v>1</v>
      </c>
    </row>
    <row r="380" spans="1:9" x14ac:dyDescent="0.45">
      <c r="A380" s="4">
        <v>45789</v>
      </c>
      <c r="B380" t="s">
        <v>4963</v>
      </c>
      <c r="C380" t="s">
        <v>4964</v>
      </c>
      <c r="D380" t="s">
        <v>4965</v>
      </c>
      <c r="E380" t="s">
        <v>4966</v>
      </c>
      <c r="F380" t="s">
        <v>331</v>
      </c>
      <c r="G380" t="s">
        <v>3126</v>
      </c>
      <c r="H380">
        <v>24</v>
      </c>
      <c r="I380" t="b">
        <f>AND(COUNTIF(CO!A:A,A380)&gt;0,COUNTIF('NO2'!A:A,A380)&gt;0,COUNTIF('O3'!A:A,A380)&gt;0,COUNTIF('PM10'!A:A,A380)&gt;0,COUNTIF('PM2.5'!A:A,A380)&gt;0,COUNTIF(Kendaraan!A:A,A380)&gt;0)</f>
        <v>1</v>
      </c>
    </row>
    <row r="381" spans="1:9" x14ac:dyDescent="0.45">
      <c r="A381" s="4">
        <v>45790</v>
      </c>
      <c r="B381" t="s">
        <v>4964</v>
      </c>
      <c r="C381" t="s">
        <v>4967</v>
      </c>
      <c r="D381" t="s">
        <v>4968</v>
      </c>
      <c r="E381" t="s">
        <v>4964</v>
      </c>
      <c r="F381" t="s">
        <v>4969</v>
      </c>
      <c r="G381" s="1">
        <v>2372</v>
      </c>
      <c r="H381">
        <v>24</v>
      </c>
      <c r="I381" t="b">
        <f>AND(COUNTIF(CO!A:A,A381)&gt;0,COUNTIF('NO2'!A:A,A381)&gt;0,COUNTIF('O3'!A:A,A381)&gt;0,COUNTIF('PM10'!A:A,A381)&gt;0,COUNTIF('PM2.5'!A:A,A381)&gt;0,COUNTIF(Kendaraan!A:A,A381)&gt;0)</f>
        <v>1</v>
      </c>
    </row>
    <row r="382" spans="1:9" x14ac:dyDescent="0.45">
      <c r="A382" s="4">
        <v>45791</v>
      </c>
      <c r="B382" t="s">
        <v>3944</v>
      </c>
      <c r="C382" t="s">
        <v>4970</v>
      </c>
      <c r="D382" t="s">
        <v>4520</v>
      </c>
      <c r="E382" t="s">
        <v>4971</v>
      </c>
      <c r="F382" t="s">
        <v>4960</v>
      </c>
      <c r="G382" t="s">
        <v>2725</v>
      </c>
      <c r="H382">
        <v>24</v>
      </c>
      <c r="I382" t="b">
        <f>AND(COUNTIF(CO!A:A,A382)&gt;0,COUNTIF('NO2'!A:A,A382)&gt;0,COUNTIF('O3'!A:A,A382)&gt;0,COUNTIF('PM10'!A:A,A382)&gt;0,COUNTIF('PM2.5'!A:A,A382)&gt;0,COUNTIF(Kendaraan!A:A,A382)&gt;0)</f>
        <v>1</v>
      </c>
    </row>
    <row r="383" spans="1:9" x14ac:dyDescent="0.45">
      <c r="A383" s="4">
        <v>45792</v>
      </c>
      <c r="B383" t="s">
        <v>4972</v>
      </c>
      <c r="C383" t="s">
        <v>4973</v>
      </c>
      <c r="D383" t="s">
        <v>3960</v>
      </c>
      <c r="E383" t="s">
        <v>4974</v>
      </c>
      <c r="F383" t="s">
        <v>2168</v>
      </c>
      <c r="G383" s="1">
        <v>6188</v>
      </c>
      <c r="H383">
        <v>23</v>
      </c>
      <c r="I383" t="b">
        <f>AND(COUNTIF(CO!A:A,A383)&gt;0,COUNTIF('NO2'!A:A,A383)&gt;0,COUNTIF('O3'!A:A,A383)&gt;0,COUNTIF('PM10'!A:A,A383)&gt;0,COUNTIF('PM2.5'!A:A,A383)&gt;0,COUNTIF(Kendaraan!A:A,A383)&gt;0)</f>
        <v>1</v>
      </c>
    </row>
    <row r="384" spans="1:9" x14ac:dyDescent="0.45">
      <c r="A384" s="4">
        <v>45793</v>
      </c>
      <c r="B384" t="s">
        <v>3758</v>
      </c>
      <c r="C384" t="s">
        <v>3970</v>
      </c>
      <c r="D384" t="s">
        <v>4596</v>
      </c>
      <c r="E384" t="s">
        <v>3514</v>
      </c>
      <c r="F384" t="s">
        <v>4975</v>
      </c>
      <c r="G384" s="1">
        <v>9796</v>
      </c>
      <c r="H384">
        <v>24</v>
      </c>
      <c r="I384" t="b">
        <f>AND(COUNTIF(CO!A:A,A384)&gt;0,COUNTIF('NO2'!A:A,A384)&gt;0,COUNTIF('O3'!A:A,A384)&gt;0,COUNTIF('PM10'!A:A,A384)&gt;0,COUNTIF('PM2.5'!A:A,A384)&gt;0,COUNTIF(Kendaraan!A:A,A384)&gt;0)</f>
        <v>1</v>
      </c>
    </row>
    <row r="385" spans="1:9" x14ac:dyDescent="0.45">
      <c r="A385" s="4">
        <v>45794</v>
      </c>
      <c r="B385" t="s">
        <v>4976</v>
      </c>
      <c r="C385" t="s">
        <v>4977</v>
      </c>
      <c r="D385" t="s">
        <v>4978</v>
      </c>
      <c r="E385" t="s">
        <v>4979</v>
      </c>
      <c r="F385" t="s">
        <v>4980</v>
      </c>
      <c r="G385" s="1">
        <v>1238</v>
      </c>
      <c r="H385">
        <v>24</v>
      </c>
      <c r="I385" t="b">
        <f>AND(COUNTIF(CO!A:A,A385)&gt;0,COUNTIF('NO2'!A:A,A385)&gt;0,COUNTIF('O3'!A:A,A385)&gt;0,COUNTIF('PM10'!A:A,A385)&gt;0,COUNTIF('PM2.5'!A:A,A385)&gt;0,COUNTIF(Kendaraan!A:A,A385)&gt;0)</f>
        <v>1</v>
      </c>
    </row>
    <row r="386" spans="1:9" x14ac:dyDescent="0.45">
      <c r="A386" s="4">
        <v>45795</v>
      </c>
      <c r="B386" t="s">
        <v>4808</v>
      </c>
      <c r="C386">
        <v>103</v>
      </c>
      <c r="D386" t="s">
        <v>4981</v>
      </c>
      <c r="E386" t="s">
        <v>4982</v>
      </c>
      <c r="F386" t="s">
        <v>4530</v>
      </c>
      <c r="G386" s="1">
        <v>10995</v>
      </c>
      <c r="H386">
        <v>24</v>
      </c>
      <c r="I386" t="b">
        <f>AND(COUNTIF(CO!A:A,A386)&gt;0,COUNTIF('NO2'!A:A,A386)&gt;0,COUNTIF('O3'!A:A,A386)&gt;0,COUNTIF('PM10'!A:A,A386)&gt;0,COUNTIF('PM2.5'!A:A,A386)&gt;0,COUNTIF(Kendaraan!A:A,A386)&gt;0)</f>
        <v>1</v>
      </c>
    </row>
    <row r="387" spans="1:9" x14ac:dyDescent="0.45">
      <c r="A387" s="4">
        <v>45796</v>
      </c>
      <c r="B387" t="s">
        <v>4983</v>
      </c>
      <c r="C387">
        <v>103</v>
      </c>
      <c r="D387" t="s">
        <v>4984</v>
      </c>
      <c r="E387" t="s">
        <v>4985</v>
      </c>
      <c r="F387" t="s">
        <v>4986</v>
      </c>
      <c r="G387" s="1">
        <v>11459</v>
      </c>
      <c r="H387">
        <v>24</v>
      </c>
      <c r="I387" t="b">
        <f>AND(COUNTIF(CO!A:A,A387)&gt;0,COUNTIF('NO2'!A:A,A387)&gt;0,COUNTIF('O3'!A:A,A387)&gt;0,COUNTIF('PM10'!A:A,A387)&gt;0,COUNTIF('PM2.5'!A:A,A387)&gt;0,COUNTIF(Kendaraan!A:A,A387)&gt;0)</f>
        <v>1</v>
      </c>
    </row>
    <row r="388" spans="1:9" x14ac:dyDescent="0.45">
      <c r="A388" s="4">
        <v>45797</v>
      </c>
      <c r="B388" t="s">
        <v>4828</v>
      </c>
      <c r="C388" t="s">
        <v>4545</v>
      </c>
      <c r="D388" t="s">
        <v>4987</v>
      </c>
      <c r="E388" t="s">
        <v>4988</v>
      </c>
      <c r="F388" t="s">
        <v>4989</v>
      </c>
      <c r="G388" s="1">
        <v>1563</v>
      </c>
      <c r="H388">
        <v>24</v>
      </c>
      <c r="I388" t="b">
        <f>AND(COUNTIF(CO!A:A,A388)&gt;0,COUNTIF('NO2'!A:A,A388)&gt;0,COUNTIF('O3'!A:A,A388)&gt;0,COUNTIF('PM10'!A:A,A388)&gt;0,COUNTIF('PM2.5'!A:A,A388)&gt;0,COUNTIF(Kendaraan!A:A,A388)&gt;0)</f>
        <v>1</v>
      </c>
    </row>
    <row r="389" spans="1:9" x14ac:dyDescent="0.45">
      <c r="A389" s="4">
        <v>45798</v>
      </c>
      <c r="B389" t="s">
        <v>4990</v>
      </c>
      <c r="C389" t="s">
        <v>4991</v>
      </c>
      <c r="D389" t="s">
        <v>4992</v>
      </c>
      <c r="E389" t="s">
        <v>4993</v>
      </c>
      <c r="F389" t="s">
        <v>4994</v>
      </c>
      <c r="G389" s="1">
        <v>3914</v>
      </c>
      <c r="H389">
        <v>24</v>
      </c>
      <c r="I389" t="b">
        <f>AND(COUNTIF(CO!A:A,A389)&gt;0,COUNTIF('NO2'!A:A,A389)&gt;0,COUNTIF('O3'!A:A,A389)&gt;0,COUNTIF('PM10'!A:A,A389)&gt;0,COUNTIF('PM2.5'!A:A,A389)&gt;0,COUNTIF(Kendaraan!A:A,A389)&gt;0)</f>
        <v>1</v>
      </c>
    </row>
    <row r="390" spans="1:9" x14ac:dyDescent="0.45">
      <c r="A390" s="4">
        <v>45799</v>
      </c>
      <c r="B390" t="s">
        <v>3976</v>
      </c>
      <c r="C390" t="s">
        <v>4995</v>
      </c>
      <c r="D390" t="s">
        <v>4988</v>
      </c>
      <c r="E390" t="s">
        <v>4996</v>
      </c>
      <c r="F390" t="s">
        <v>4247</v>
      </c>
      <c r="G390" s="1">
        <v>6034</v>
      </c>
      <c r="H390">
        <v>24</v>
      </c>
      <c r="I390" t="b">
        <f>AND(COUNTIF(CO!A:A,A390)&gt;0,COUNTIF('NO2'!A:A,A390)&gt;0,COUNTIF('O3'!A:A,A390)&gt;0,COUNTIF('PM10'!A:A,A390)&gt;0,COUNTIF('PM2.5'!A:A,A390)&gt;0,COUNTIF(Kendaraan!A:A,A390)&gt;0)</f>
        <v>1</v>
      </c>
    </row>
    <row r="391" spans="1:9" x14ac:dyDescent="0.45">
      <c r="A391" s="4">
        <v>45800</v>
      </c>
      <c r="B391" t="s">
        <v>4811</v>
      </c>
      <c r="C391" t="s">
        <v>4997</v>
      </c>
      <c r="D391" t="s">
        <v>4519</v>
      </c>
      <c r="E391" t="s">
        <v>4998</v>
      </c>
      <c r="F391" t="s">
        <v>4999</v>
      </c>
      <c r="G391" s="1">
        <v>3687</v>
      </c>
      <c r="H391">
        <v>24</v>
      </c>
      <c r="I391" t="b">
        <f>AND(COUNTIF(CO!A:A,A391)&gt;0,COUNTIF('NO2'!A:A,A391)&gt;0,COUNTIF('O3'!A:A,A391)&gt;0,COUNTIF('PM10'!A:A,A391)&gt;0,COUNTIF('PM2.5'!A:A,A391)&gt;0,COUNTIF(Kendaraan!A:A,A391)&gt;0)</f>
        <v>1</v>
      </c>
    </row>
    <row r="392" spans="1:9" x14ac:dyDescent="0.45">
      <c r="A392" s="4">
        <v>45801</v>
      </c>
      <c r="B392" t="s">
        <v>4083</v>
      </c>
      <c r="C392" t="s">
        <v>4068</v>
      </c>
      <c r="D392" t="s">
        <v>2105</v>
      </c>
      <c r="E392" t="s">
        <v>2095</v>
      </c>
      <c r="F392" t="s">
        <v>5000</v>
      </c>
      <c r="G392" t="s">
        <v>108</v>
      </c>
      <c r="H392">
        <v>24</v>
      </c>
      <c r="I392" t="b">
        <f>AND(COUNTIF(CO!A:A,A392)&gt;0,COUNTIF('NO2'!A:A,A392)&gt;0,COUNTIF('O3'!A:A,A392)&gt;0,COUNTIF('PM10'!A:A,A392)&gt;0,COUNTIF('PM2.5'!A:A,A392)&gt;0,COUNTIF(Kendaraan!A:A,A392)&gt;0)</f>
        <v>1</v>
      </c>
    </row>
    <row r="393" spans="1:9" x14ac:dyDescent="0.45">
      <c r="A393" s="4">
        <v>45802</v>
      </c>
      <c r="B393" t="s">
        <v>4060</v>
      </c>
      <c r="C393" t="s">
        <v>4546</v>
      </c>
      <c r="D393" t="s">
        <v>5001</v>
      </c>
      <c r="E393" t="s">
        <v>5002</v>
      </c>
      <c r="F393" t="s">
        <v>2112</v>
      </c>
      <c r="G393" t="s">
        <v>3354</v>
      </c>
      <c r="H393">
        <v>24</v>
      </c>
      <c r="I393" t="b">
        <f>AND(COUNTIF(CO!A:A,A393)&gt;0,COUNTIF('NO2'!A:A,A393)&gt;0,COUNTIF('O3'!A:A,A393)&gt;0,COUNTIF('PM10'!A:A,A393)&gt;0,COUNTIF('PM2.5'!A:A,A393)&gt;0,COUNTIF(Kendaraan!A:A,A393)&gt;0)</f>
        <v>1</v>
      </c>
    </row>
    <row r="394" spans="1:9" x14ac:dyDescent="0.45">
      <c r="A394" s="4">
        <v>45803</v>
      </c>
      <c r="B394" t="s">
        <v>5003</v>
      </c>
      <c r="C394" t="s">
        <v>5004</v>
      </c>
      <c r="D394" t="s">
        <v>5005</v>
      </c>
      <c r="E394" t="s">
        <v>5006</v>
      </c>
      <c r="F394" t="s">
        <v>5007</v>
      </c>
      <c r="G394" s="1">
        <v>4393</v>
      </c>
      <c r="H394">
        <v>24</v>
      </c>
      <c r="I394" t="b">
        <f>AND(COUNTIF(CO!A:A,A394)&gt;0,COUNTIF('NO2'!A:A,A394)&gt;0,COUNTIF('O3'!A:A,A394)&gt;0,COUNTIF('PM10'!A:A,A394)&gt;0,COUNTIF('PM2.5'!A:A,A394)&gt;0,COUNTIF(Kendaraan!A:A,A394)&gt;0)</f>
        <v>1</v>
      </c>
    </row>
    <row r="395" spans="1:9" x14ac:dyDescent="0.45">
      <c r="A395" s="4">
        <v>45804</v>
      </c>
      <c r="B395" t="s">
        <v>5008</v>
      </c>
      <c r="C395" t="s">
        <v>3974</v>
      </c>
      <c r="D395" t="s">
        <v>5009</v>
      </c>
      <c r="E395" t="s">
        <v>5010</v>
      </c>
      <c r="F395" t="s">
        <v>5011</v>
      </c>
      <c r="G395" s="1">
        <v>3027</v>
      </c>
      <c r="H395">
        <v>24</v>
      </c>
      <c r="I395" t="b">
        <f>AND(COUNTIF(CO!A:A,A395)&gt;0,COUNTIF('NO2'!A:A,A395)&gt;0,COUNTIF('O3'!A:A,A395)&gt;0,COUNTIF('PM10'!A:A,A395)&gt;0,COUNTIF('PM2.5'!A:A,A395)&gt;0,COUNTIF(Kendaraan!A:A,A395)&gt;0)</f>
        <v>1</v>
      </c>
    </row>
    <row r="396" spans="1:9" x14ac:dyDescent="0.45">
      <c r="A396" s="4">
        <v>45805</v>
      </c>
      <c r="B396" t="s">
        <v>5012</v>
      </c>
      <c r="C396" t="s">
        <v>4016</v>
      </c>
      <c r="D396" t="s">
        <v>4051</v>
      </c>
      <c r="E396" t="s">
        <v>4469</v>
      </c>
      <c r="F396" t="s">
        <v>5013</v>
      </c>
      <c r="G396" s="1">
        <v>2685</v>
      </c>
      <c r="H396">
        <v>24</v>
      </c>
      <c r="I396" t="b">
        <f>AND(COUNTIF(CO!A:A,A396)&gt;0,COUNTIF('NO2'!A:A,A396)&gt;0,COUNTIF('O3'!A:A,A396)&gt;0,COUNTIF('PM10'!A:A,A396)&gt;0,COUNTIF('PM2.5'!A:A,A396)&gt;0,COUNTIF(Kendaraan!A:A,A396)&gt;0)</f>
        <v>1</v>
      </c>
    </row>
    <row r="397" spans="1:9" x14ac:dyDescent="0.45">
      <c r="A397" s="4">
        <v>45806</v>
      </c>
      <c r="B397" t="s">
        <v>5014</v>
      </c>
      <c r="C397" t="s">
        <v>5015</v>
      </c>
      <c r="D397" t="s">
        <v>2100</v>
      </c>
      <c r="E397" t="s">
        <v>5016</v>
      </c>
      <c r="F397" t="s">
        <v>4817</v>
      </c>
      <c r="G397" t="s">
        <v>3240</v>
      </c>
      <c r="H397">
        <v>24</v>
      </c>
      <c r="I397" t="b">
        <f>AND(COUNTIF(CO!A:A,A397)&gt;0,COUNTIF('NO2'!A:A,A397)&gt;0,COUNTIF('O3'!A:A,A397)&gt;0,COUNTIF('PM10'!A:A,A397)&gt;0,COUNTIF('PM2.5'!A:A,A397)&gt;0,COUNTIF(Kendaraan!A:A,A397)&gt;0)</f>
        <v>1</v>
      </c>
    </row>
    <row r="398" spans="1:9" x14ac:dyDescent="0.45">
      <c r="A398" s="4">
        <v>45807</v>
      </c>
      <c r="B398" t="s">
        <v>5017</v>
      </c>
      <c r="C398" t="s">
        <v>5018</v>
      </c>
      <c r="D398" t="s">
        <v>4255</v>
      </c>
      <c r="E398" t="s">
        <v>5019</v>
      </c>
      <c r="F398" t="s">
        <v>4197</v>
      </c>
      <c r="G398" t="s">
        <v>239</v>
      </c>
      <c r="H398">
        <v>24</v>
      </c>
      <c r="I398" t="b">
        <f>AND(COUNTIF(CO!A:A,A398)&gt;0,COUNTIF('NO2'!A:A,A398)&gt;0,COUNTIF('O3'!A:A,A398)&gt;0,COUNTIF('PM10'!A:A,A398)&gt;0,COUNTIF('PM2.5'!A:A,A398)&gt;0,COUNTIF(Kendaraan!A:A,A398)&gt;0)</f>
        <v>1</v>
      </c>
    </row>
    <row r="399" spans="1:9" x14ac:dyDescent="0.45">
      <c r="A399" s="4">
        <v>45808</v>
      </c>
      <c r="B399" t="s">
        <v>4257</v>
      </c>
      <c r="C399" t="s">
        <v>5020</v>
      </c>
      <c r="D399" t="s">
        <v>5021</v>
      </c>
      <c r="E399" t="s">
        <v>5022</v>
      </c>
      <c r="F399" t="s">
        <v>5023</v>
      </c>
      <c r="G399" t="s">
        <v>3966</v>
      </c>
      <c r="H399">
        <v>24</v>
      </c>
      <c r="I399" t="b">
        <f>AND(COUNTIF(CO!A:A,A399)&gt;0,COUNTIF('NO2'!A:A,A399)&gt;0,COUNTIF('O3'!A:A,A399)&gt;0,COUNTIF('PM10'!A:A,A399)&gt;0,COUNTIF('PM2.5'!A:A,A399)&gt;0,COUNTIF(Kendaraan!A:A,A399)&gt;0)</f>
        <v>1</v>
      </c>
    </row>
    <row r="400" spans="1:9" x14ac:dyDescent="0.45">
      <c r="A400" s="4">
        <v>45809</v>
      </c>
      <c r="B400">
        <v>79</v>
      </c>
      <c r="C400" t="s">
        <v>5024</v>
      </c>
      <c r="D400" t="s">
        <v>5025</v>
      </c>
      <c r="E400" t="s">
        <v>5026</v>
      </c>
      <c r="F400" t="s">
        <v>5024</v>
      </c>
      <c r="G400" t="s">
        <v>561</v>
      </c>
      <c r="H400">
        <v>24</v>
      </c>
      <c r="I400" t="b">
        <f>AND(COUNTIF(CO!A:A,A400)&gt;0,COUNTIF('NO2'!A:A,A400)&gt;0,COUNTIF('O3'!A:A,A400)&gt;0,COUNTIF('PM10'!A:A,A400)&gt;0,COUNTIF('PM2.5'!A:A,A400)&gt;0,COUNTIF(Kendaraan!A:A,A400)&gt;0)</f>
        <v>1</v>
      </c>
    </row>
    <row r="401" spans="1:9" x14ac:dyDescent="0.45">
      <c r="A401" s="4">
        <v>45810</v>
      </c>
      <c r="B401" t="s">
        <v>465</v>
      </c>
      <c r="C401" t="s">
        <v>5027</v>
      </c>
      <c r="D401" t="s">
        <v>5028</v>
      </c>
      <c r="E401">
        <v>38</v>
      </c>
      <c r="F401" t="s">
        <v>958</v>
      </c>
      <c r="G401" t="s">
        <v>1981</v>
      </c>
      <c r="H401">
        <v>24</v>
      </c>
      <c r="I401" t="b">
        <f>AND(COUNTIF(CO!A:A,A401)&gt;0,COUNTIF('NO2'!A:A,A401)&gt;0,COUNTIF('O3'!A:A,A401)&gt;0,COUNTIF('PM10'!A:A,A401)&gt;0,COUNTIF('PM2.5'!A:A,A401)&gt;0,COUNTIF(Kendaraan!A:A,A401)&gt;0)</f>
        <v>1</v>
      </c>
    </row>
    <row r="402" spans="1:9" x14ac:dyDescent="0.45">
      <c r="A402" s="4">
        <v>45811</v>
      </c>
      <c r="B402" t="s">
        <v>1067</v>
      </c>
      <c r="C402" t="s">
        <v>511</v>
      </c>
      <c r="D402" t="s">
        <v>3259</v>
      </c>
      <c r="E402" t="s">
        <v>3483</v>
      </c>
      <c r="F402" t="s">
        <v>3346</v>
      </c>
      <c r="G402" s="1">
        <v>2343</v>
      </c>
      <c r="H402">
        <v>24</v>
      </c>
      <c r="I402" t="b">
        <f>AND(COUNTIF(CO!A:A,A402)&gt;0,COUNTIF('NO2'!A:A,A402)&gt;0,COUNTIF('O3'!A:A,A402)&gt;0,COUNTIF('PM10'!A:A,A402)&gt;0,COUNTIF('PM2.5'!A:A,A402)&gt;0,COUNTIF(Kendaraan!A:A,A402)&gt;0)</f>
        <v>1</v>
      </c>
    </row>
    <row r="403" spans="1:9" x14ac:dyDescent="0.45">
      <c r="A403" s="4">
        <v>45812</v>
      </c>
      <c r="B403" t="s">
        <v>575</v>
      </c>
      <c r="C403" t="s">
        <v>4973</v>
      </c>
      <c r="D403" t="s">
        <v>4603</v>
      </c>
      <c r="E403" t="s">
        <v>2228</v>
      </c>
      <c r="F403" t="s">
        <v>5029</v>
      </c>
      <c r="G403" s="1">
        <v>8529</v>
      </c>
      <c r="H403">
        <v>24</v>
      </c>
      <c r="I403" t="b">
        <f>AND(COUNTIF(CO!A:A,A403)&gt;0,COUNTIF('NO2'!A:A,A403)&gt;0,COUNTIF('O3'!A:A,A403)&gt;0,COUNTIF('PM10'!A:A,A403)&gt;0,COUNTIF('PM2.5'!A:A,A403)&gt;0,COUNTIF(Kendaraan!A:A,A403)&gt;0)</f>
        <v>1</v>
      </c>
    </row>
    <row r="404" spans="1:9" x14ac:dyDescent="0.45">
      <c r="A404" s="4">
        <v>45813</v>
      </c>
      <c r="B404" t="s">
        <v>2064</v>
      </c>
      <c r="C404" t="s">
        <v>5030</v>
      </c>
      <c r="D404" t="s">
        <v>1350</v>
      </c>
      <c r="E404" t="s">
        <v>2688</v>
      </c>
      <c r="F404" t="s">
        <v>5031</v>
      </c>
      <c r="G404" s="1">
        <v>12452</v>
      </c>
      <c r="H404">
        <v>24</v>
      </c>
      <c r="I404" t="b">
        <f>AND(COUNTIF(CO!A:A,A404)&gt;0,COUNTIF('NO2'!A:A,A404)&gt;0,COUNTIF('O3'!A:A,A404)&gt;0,COUNTIF('PM10'!A:A,A404)&gt;0,COUNTIF('PM2.5'!A:A,A404)&gt;0,COUNTIF(Kendaraan!A:A,A404)&gt;0)</f>
        <v>1</v>
      </c>
    </row>
    <row r="405" spans="1:9" x14ac:dyDescent="0.45">
      <c r="A405" s="4">
        <v>45814</v>
      </c>
      <c r="B405" t="s">
        <v>2735</v>
      </c>
      <c r="C405" t="s">
        <v>4034</v>
      </c>
      <c r="D405" t="s">
        <v>5032</v>
      </c>
      <c r="E405" t="s">
        <v>1900</v>
      </c>
      <c r="F405" t="s">
        <v>4687</v>
      </c>
      <c r="G405" s="1">
        <v>14808</v>
      </c>
      <c r="H405">
        <v>24</v>
      </c>
      <c r="I405" t="b">
        <f>AND(COUNTIF(CO!A:A,A405)&gt;0,COUNTIF('NO2'!A:A,A405)&gt;0,COUNTIF('O3'!A:A,A405)&gt;0,COUNTIF('PM10'!A:A,A405)&gt;0,COUNTIF('PM2.5'!A:A,A405)&gt;0,COUNTIF(Kendaraan!A:A,A405)&gt;0)</f>
        <v>1</v>
      </c>
    </row>
    <row r="406" spans="1:9" x14ac:dyDescent="0.45">
      <c r="A406" s="4">
        <v>45815</v>
      </c>
      <c r="B406" t="s">
        <v>1389</v>
      </c>
      <c r="C406" t="s">
        <v>3964</v>
      </c>
      <c r="D406" t="s">
        <v>3768</v>
      </c>
      <c r="E406" t="s">
        <v>652</v>
      </c>
      <c r="F406" t="s">
        <v>2122</v>
      </c>
      <c r="G406" s="1">
        <v>12142</v>
      </c>
      <c r="H406">
        <v>24</v>
      </c>
      <c r="I406" t="b">
        <f>AND(COUNTIF(CO!A:A,A406)&gt;0,COUNTIF('NO2'!A:A,A406)&gt;0,COUNTIF('O3'!A:A,A406)&gt;0,COUNTIF('PM10'!A:A,A406)&gt;0,COUNTIF('PM2.5'!A:A,A406)&gt;0,COUNTIF(Kendaraan!A:A,A406)&gt;0)</f>
        <v>1</v>
      </c>
    </row>
    <row r="407" spans="1:9" x14ac:dyDescent="0.45">
      <c r="A407" s="4">
        <v>45816</v>
      </c>
      <c r="B407" t="s">
        <v>2148</v>
      </c>
      <c r="C407" t="s">
        <v>5033</v>
      </c>
      <c r="D407" t="s">
        <v>5034</v>
      </c>
      <c r="E407" t="s">
        <v>5035</v>
      </c>
      <c r="F407" t="s">
        <v>5036</v>
      </c>
      <c r="G407" s="1">
        <v>7652</v>
      </c>
      <c r="H407">
        <v>24</v>
      </c>
      <c r="I407" t="b">
        <f>AND(COUNTIF(CO!A:A,A407)&gt;0,COUNTIF('NO2'!A:A,A407)&gt;0,COUNTIF('O3'!A:A,A407)&gt;0,COUNTIF('PM10'!A:A,A407)&gt;0,COUNTIF('PM2.5'!A:A,A407)&gt;0,COUNTIF(Kendaraan!A:A,A407)&gt;0)</f>
        <v>1</v>
      </c>
    </row>
    <row r="408" spans="1:9" x14ac:dyDescent="0.45">
      <c r="A408" s="4">
        <v>45817</v>
      </c>
      <c r="B408">
        <v>23</v>
      </c>
      <c r="C408" t="s">
        <v>3721</v>
      </c>
      <c r="D408" t="s">
        <v>5037</v>
      </c>
      <c r="E408" t="s">
        <v>3263</v>
      </c>
      <c r="F408" t="s">
        <v>2884</v>
      </c>
      <c r="G408" s="1">
        <v>5044</v>
      </c>
      <c r="H408">
        <v>24</v>
      </c>
      <c r="I408" t="b">
        <f>AND(COUNTIF(CO!A:A,A408)&gt;0,COUNTIF('NO2'!A:A,A408)&gt;0,COUNTIF('O3'!A:A,A408)&gt;0,COUNTIF('PM10'!A:A,A408)&gt;0,COUNTIF('PM2.5'!A:A,A408)&gt;0,COUNTIF(Kendaraan!A:A,A408)&gt;0)</f>
        <v>1</v>
      </c>
    </row>
    <row r="409" spans="1:9" x14ac:dyDescent="0.45">
      <c r="A409" s="4">
        <v>45818</v>
      </c>
      <c r="B409" t="s">
        <v>833</v>
      </c>
      <c r="C409" t="s">
        <v>5038</v>
      </c>
      <c r="D409" t="s">
        <v>1528</v>
      </c>
      <c r="E409" t="s">
        <v>2340</v>
      </c>
      <c r="F409" t="s">
        <v>3288</v>
      </c>
      <c r="G409" t="s">
        <v>3633</v>
      </c>
      <c r="H409">
        <v>24</v>
      </c>
      <c r="I409" t="b">
        <f>AND(COUNTIF(CO!A:A,A409)&gt;0,COUNTIF('NO2'!A:A,A409)&gt;0,COUNTIF('O3'!A:A,A409)&gt;0,COUNTIF('PM10'!A:A,A409)&gt;0,COUNTIF('PM2.5'!A:A,A409)&gt;0,COUNTIF(Kendaraan!A:A,A409)&gt;0)</f>
        <v>1</v>
      </c>
    </row>
    <row r="410" spans="1:9" x14ac:dyDescent="0.45">
      <c r="A410" s="4">
        <v>45819</v>
      </c>
      <c r="B410" t="s">
        <v>2029</v>
      </c>
      <c r="C410" t="s">
        <v>5039</v>
      </c>
      <c r="D410" t="s">
        <v>5040</v>
      </c>
      <c r="E410" t="s">
        <v>5041</v>
      </c>
      <c r="F410" t="s">
        <v>3306</v>
      </c>
      <c r="G410" s="1">
        <v>8154</v>
      </c>
      <c r="H410">
        <v>24</v>
      </c>
      <c r="I410" t="b">
        <f>AND(COUNTIF(CO!A:A,A410)&gt;0,COUNTIF('NO2'!A:A,A410)&gt;0,COUNTIF('O3'!A:A,A410)&gt;0,COUNTIF('PM10'!A:A,A410)&gt;0,COUNTIF('PM2.5'!A:A,A410)&gt;0,COUNTIF(Kendaraan!A:A,A410)&gt;0)</f>
        <v>1</v>
      </c>
    </row>
    <row r="411" spans="1:9" x14ac:dyDescent="0.45">
      <c r="A411" s="4">
        <v>45820</v>
      </c>
      <c r="B411" t="s">
        <v>5042</v>
      </c>
      <c r="C411" t="s">
        <v>5043</v>
      </c>
      <c r="D411" t="s">
        <v>5044</v>
      </c>
      <c r="E411" t="s">
        <v>5044</v>
      </c>
      <c r="F411" t="s">
        <v>5045</v>
      </c>
      <c r="G411" t="s">
        <v>2089</v>
      </c>
      <c r="H411">
        <v>24</v>
      </c>
      <c r="I411" t="b">
        <f>AND(COUNTIF(CO!A:A,A411)&gt;0,COUNTIF('NO2'!A:A,A411)&gt;0,COUNTIF('O3'!A:A,A411)&gt;0,COUNTIF('PM10'!A:A,A411)&gt;0,COUNTIF('PM2.5'!A:A,A411)&gt;0,COUNTIF(Kendaraan!A:A,A411)&gt;0)</f>
        <v>1</v>
      </c>
    </row>
    <row r="412" spans="1:9" x14ac:dyDescent="0.45">
      <c r="A412" s="4">
        <v>45821</v>
      </c>
      <c r="B412" t="s">
        <v>5046</v>
      </c>
      <c r="C412">
        <v>79</v>
      </c>
      <c r="D412" t="s">
        <v>4049</v>
      </c>
      <c r="E412" t="s">
        <v>5047</v>
      </c>
      <c r="F412" t="s">
        <v>5048</v>
      </c>
      <c r="G412" t="s">
        <v>3620</v>
      </c>
      <c r="H412">
        <v>24</v>
      </c>
      <c r="I412" t="b">
        <f>AND(COUNTIF(CO!A:A,A412)&gt;0,COUNTIF('NO2'!A:A,A412)&gt;0,COUNTIF('O3'!A:A,A412)&gt;0,COUNTIF('PM10'!A:A,A412)&gt;0,COUNTIF('PM2.5'!A:A,A412)&gt;0,COUNTIF(Kendaraan!A:A,A412)&gt;0)</f>
        <v>1</v>
      </c>
    </row>
    <row r="413" spans="1:9" x14ac:dyDescent="0.45">
      <c r="A413" s="4">
        <v>45822</v>
      </c>
      <c r="B413" t="s">
        <v>3665</v>
      </c>
      <c r="C413" t="s">
        <v>3889</v>
      </c>
      <c r="D413" t="s">
        <v>2263</v>
      </c>
      <c r="E413" t="s">
        <v>3175</v>
      </c>
      <c r="F413" t="s">
        <v>3959</v>
      </c>
      <c r="G413" s="1">
        <v>8064</v>
      </c>
      <c r="H413">
        <v>24</v>
      </c>
      <c r="I413" t="b">
        <f>AND(COUNTIF(CO!A:A,A413)&gt;0,COUNTIF('NO2'!A:A,A413)&gt;0,COUNTIF('O3'!A:A,A413)&gt;0,COUNTIF('PM10'!A:A,A413)&gt;0,COUNTIF('PM2.5'!A:A,A413)&gt;0,COUNTIF(Kendaraan!A:A,A413)&gt;0)</f>
        <v>1</v>
      </c>
    </row>
    <row r="414" spans="1:9" x14ac:dyDescent="0.45">
      <c r="A414" s="4">
        <v>45823</v>
      </c>
      <c r="B414" t="s">
        <v>3181</v>
      </c>
      <c r="C414" t="s">
        <v>5049</v>
      </c>
      <c r="D414" t="s">
        <v>5050</v>
      </c>
      <c r="E414" t="s">
        <v>1949</v>
      </c>
      <c r="F414" t="s">
        <v>5051</v>
      </c>
      <c r="G414" s="1">
        <v>8541</v>
      </c>
      <c r="H414">
        <v>24</v>
      </c>
      <c r="I414" t="b">
        <f>AND(COUNTIF(CO!A:A,A414)&gt;0,COUNTIF('NO2'!A:A,A414)&gt;0,COUNTIF('O3'!A:A,A414)&gt;0,COUNTIF('PM10'!A:A,A414)&gt;0,COUNTIF('PM2.5'!A:A,A414)&gt;0,COUNTIF(Kendaraan!A:A,A414)&gt;0)</f>
        <v>1</v>
      </c>
    </row>
    <row r="415" spans="1:9" x14ac:dyDescent="0.45">
      <c r="A415" s="4">
        <v>45824</v>
      </c>
      <c r="B415" t="s">
        <v>476</v>
      </c>
      <c r="C415" t="s">
        <v>5052</v>
      </c>
      <c r="D415" t="s">
        <v>5053</v>
      </c>
      <c r="E415" t="s">
        <v>2817</v>
      </c>
      <c r="F415" t="s">
        <v>5054</v>
      </c>
      <c r="G415" t="s">
        <v>3142</v>
      </c>
      <c r="H415">
        <v>24</v>
      </c>
      <c r="I415" t="b">
        <f>AND(COUNTIF(CO!A:A,A415)&gt;0,COUNTIF('NO2'!A:A,A415)&gt;0,COUNTIF('O3'!A:A,A415)&gt;0,COUNTIF('PM10'!A:A,A415)&gt;0,COUNTIF('PM2.5'!A:A,A415)&gt;0,COUNTIF(Kendaraan!A:A,A415)&gt;0)</f>
        <v>1</v>
      </c>
    </row>
    <row r="416" spans="1:9" x14ac:dyDescent="0.45">
      <c r="A416" s="4">
        <v>45826</v>
      </c>
      <c r="B416" t="s">
        <v>4232</v>
      </c>
      <c r="C416" t="s">
        <v>5055</v>
      </c>
      <c r="D416" t="s">
        <v>5056</v>
      </c>
      <c r="E416" t="s">
        <v>5057</v>
      </c>
      <c r="F416" t="s">
        <v>5058</v>
      </c>
      <c r="G416" s="1">
        <v>3551</v>
      </c>
      <c r="H416">
        <v>24</v>
      </c>
      <c r="I416" t="b">
        <f>AND(COUNTIF(CO!A:A,A416)&gt;0,COUNTIF('NO2'!A:A,A416)&gt;0,COUNTIF('O3'!A:A,A416)&gt;0,COUNTIF('PM10'!A:A,A416)&gt;0,COUNTIF('PM2.5'!A:A,A416)&gt;0,COUNTIF(Kendaraan!A:A,A416)&gt;0)</f>
        <v>1</v>
      </c>
    </row>
    <row r="417" spans="1:9" x14ac:dyDescent="0.45">
      <c r="A417" s="4">
        <v>45827</v>
      </c>
      <c r="B417" t="s">
        <v>5059</v>
      </c>
      <c r="C417" t="s">
        <v>5060</v>
      </c>
      <c r="D417" t="s">
        <v>5061</v>
      </c>
      <c r="E417" t="s">
        <v>5062</v>
      </c>
      <c r="F417" t="s">
        <v>5063</v>
      </c>
      <c r="G417" s="1">
        <v>4976</v>
      </c>
      <c r="H417">
        <v>24</v>
      </c>
      <c r="I417" t="b">
        <f>AND(COUNTIF(CO!A:A,A417)&gt;0,COUNTIF('NO2'!A:A,A417)&gt;0,COUNTIF('O3'!A:A,A417)&gt;0,COUNTIF('PM10'!A:A,A417)&gt;0,COUNTIF('PM2.5'!A:A,A417)&gt;0,COUNTIF(Kendaraan!A:A,A417)&gt;0)</f>
        <v>1</v>
      </c>
    </row>
    <row r="418" spans="1:9" x14ac:dyDescent="0.45">
      <c r="A418" s="4">
        <v>45828</v>
      </c>
      <c r="B418" t="s">
        <v>5064</v>
      </c>
      <c r="C418" t="s">
        <v>5065</v>
      </c>
      <c r="D418" t="s">
        <v>5066</v>
      </c>
      <c r="E418" t="s">
        <v>5067</v>
      </c>
      <c r="F418" t="s">
        <v>2662</v>
      </c>
      <c r="G418" s="1">
        <v>8322</v>
      </c>
      <c r="H418">
        <v>24</v>
      </c>
      <c r="I418" t="b">
        <f>AND(COUNTIF(CO!A:A,A418)&gt;0,COUNTIF('NO2'!A:A,A418)&gt;0,COUNTIF('O3'!A:A,A418)&gt;0,COUNTIF('PM10'!A:A,A418)&gt;0,COUNTIF('PM2.5'!A:A,A418)&gt;0,COUNTIF(Kendaraan!A:A,A418)&gt;0)</f>
        <v>1</v>
      </c>
    </row>
    <row r="419" spans="1:9" x14ac:dyDescent="0.45">
      <c r="A419" s="4">
        <v>45829</v>
      </c>
      <c r="B419" t="s">
        <v>5068</v>
      </c>
      <c r="C419">
        <v>116</v>
      </c>
      <c r="D419" t="s">
        <v>5069</v>
      </c>
      <c r="E419" t="s">
        <v>5070</v>
      </c>
      <c r="F419" t="s">
        <v>5071</v>
      </c>
      <c r="G419" s="1">
        <v>6673</v>
      </c>
      <c r="H419">
        <v>24</v>
      </c>
      <c r="I419" t="b">
        <f>AND(COUNTIF(CO!A:A,A419)&gt;0,COUNTIF('NO2'!A:A,A419)&gt;0,COUNTIF('O3'!A:A,A419)&gt;0,COUNTIF('PM10'!A:A,A419)&gt;0,COUNTIF('PM2.5'!A:A,A419)&gt;0,COUNTIF(Kendaraan!A:A,A419)&gt;0)</f>
        <v>1</v>
      </c>
    </row>
    <row r="420" spans="1:9" x14ac:dyDescent="0.45">
      <c r="A420" s="4">
        <v>45830</v>
      </c>
      <c r="B420" t="s">
        <v>5072</v>
      </c>
      <c r="C420" t="s">
        <v>4136</v>
      </c>
      <c r="D420" t="s">
        <v>5073</v>
      </c>
      <c r="E420" t="s">
        <v>5074</v>
      </c>
      <c r="F420" t="s">
        <v>5075</v>
      </c>
      <c r="G420" s="1">
        <v>7445</v>
      </c>
      <c r="H420">
        <v>24</v>
      </c>
      <c r="I420" t="b">
        <f>AND(COUNTIF(CO!A:A,A420)&gt;0,COUNTIF('NO2'!A:A,A420)&gt;0,COUNTIF('O3'!A:A,A420)&gt;0,COUNTIF('PM10'!A:A,A420)&gt;0,COUNTIF('PM2.5'!A:A,A420)&gt;0,COUNTIF(Kendaraan!A:A,A420)&gt;0)</f>
        <v>1</v>
      </c>
    </row>
    <row r="421" spans="1:9" x14ac:dyDescent="0.45">
      <c r="A421" s="4">
        <v>45831</v>
      </c>
      <c r="B421" t="s">
        <v>5076</v>
      </c>
      <c r="C421" t="s">
        <v>5077</v>
      </c>
      <c r="D421" t="s">
        <v>5078</v>
      </c>
      <c r="E421" t="s">
        <v>5079</v>
      </c>
      <c r="F421" t="s">
        <v>5080</v>
      </c>
      <c r="G421" s="1">
        <v>5606</v>
      </c>
      <c r="H421">
        <v>24</v>
      </c>
      <c r="I421" t="b">
        <f>AND(COUNTIF(CO!A:A,A421)&gt;0,COUNTIF('NO2'!A:A,A421)&gt;0,COUNTIF('O3'!A:A,A421)&gt;0,COUNTIF('PM10'!A:A,A421)&gt;0,COUNTIF('PM2.5'!A:A,A421)&gt;0,COUNTIF(Kendaraan!A:A,A421)&gt;0)</f>
        <v>1</v>
      </c>
    </row>
    <row r="422" spans="1:9" x14ac:dyDescent="0.45">
      <c r="A422" s="4">
        <v>45832</v>
      </c>
      <c r="B422" t="s">
        <v>5081</v>
      </c>
      <c r="C422" t="s">
        <v>5082</v>
      </c>
      <c r="D422" t="s">
        <v>5083</v>
      </c>
      <c r="E422" t="s">
        <v>5083</v>
      </c>
      <c r="F422" t="s">
        <v>4895</v>
      </c>
      <c r="G422" s="1">
        <v>1052</v>
      </c>
      <c r="H422">
        <v>24</v>
      </c>
      <c r="I422" t="b">
        <f>AND(COUNTIF(CO!A:A,A422)&gt;0,COUNTIF('NO2'!A:A,A422)&gt;0,COUNTIF('O3'!A:A,A422)&gt;0,COUNTIF('PM10'!A:A,A422)&gt;0,COUNTIF('PM2.5'!A:A,A422)&gt;0,COUNTIF(Kendaraan!A:A,A422)&gt;0)</f>
        <v>1</v>
      </c>
    </row>
    <row r="423" spans="1:9" x14ac:dyDescent="0.45">
      <c r="A423" s="4">
        <v>45833</v>
      </c>
      <c r="B423" t="s">
        <v>5084</v>
      </c>
      <c r="C423" t="s">
        <v>5085</v>
      </c>
      <c r="D423" t="s">
        <v>5086</v>
      </c>
      <c r="E423" t="s">
        <v>5087</v>
      </c>
      <c r="F423" t="s">
        <v>5088</v>
      </c>
      <c r="G423" t="s">
        <v>5089</v>
      </c>
      <c r="H423">
        <v>24</v>
      </c>
      <c r="I423" t="b">
        <f>AND(COUNTIF(CO!A:A,A423)&gt;0,COUNTIF('NO2'!A:A,A423)&gt;0,COUNTIF('O3'!A:A,A423)&gt;0,COUNTIF('PM10'!A:A,A423)&gt;0,COUNTIF('PM2.5'!A:A,A423)&gt;0,COUNTIF(Kendaraan!A:A,A423)&gt;0)</f>
        <v>1</v>
      </c>
    </row>
    <row r="424" spans="1:9" x14ac:dyDescent="0.45">
      <c r="A424" s="4">
        <v>45834</v>
      </c>
      <c r="B424" t="s">
        <v>5090</v>
      </c>
      <c r="C424" t="s">
        <v>5091</v>
      </c>
      <c r="D424" t="s">
        <v>5092</v>
      </c>
      <c r="E424" t="s">
        <v>5093</v>
      </c>
      <c r="F424" t="s">
        <v>5094</v>
      </c>
      <c r="G424" s="1">
        <v>3451</v>
      </c>
      <c r="H424">
        <v>12</v>
      </c>
      <c r="I424" t="b">
        <f>AND(COUNTIF(CO!A:A,A424)&gt;0,COUNTIF('NO2'!A:A,A424)&gt;0,COUNTIF('O3'!A:A,A424)&gt;0,COUNTIF('PM10'!A:A,A424)&gt;0,COUNTIF('PM2.5'!A:A,A424)&gt;0,COUNTIF(Kendaraan!A:A,A424)&gt;0)</f>
        <v>1</v>
      </c>
    </row>
    <row r="425" spans="1:9" x14ac:dyDescent="0.45">
      <c r="A425" s="4">
        <v>45838</v>
      </c>
      <c r="B425" t="s">
        <v>5095</v>
      </c>
      <c r="C425" t="s">
        <v>328</v>
      </c>
      <c r="D425" t="s">
        <v>5096</v>
      </c>
      <c r="E425" t="s">
        <v>5018</v>
      </c>
      <c r="F425" t="s">
        <v>4670</v>
      </c>
      <c r="G425" s="1">
        <v>1678</v>
      </c>
      <c r="H425">
        <v>4</v>
      </c>
      <c r="I425" t="b">
        <f>AND(COUNTIF(CO!A:A,A425)&gt;0,COUNTIF('NO2'!A:A,A425)&gt;0,COUNTIF('O3'!A:A,A425)&gt;0,COUNTIF('PM10'!A:A,A425)&gt;0,COUNTIF('PM2.5'!A:A,A425)&gt;0,COUNTIF(Kendaraan!A:A,A425)&gt;0)</f>
        <v>1</v>
      </c>
    </row>
    <row r="426" spans="1:9" x14ac:dyDescent="0.45">
      <c r="A426" s="4">
        <v>45839</v>
      </c>
      <c r="B426">
        <v>79</v>
      </c>
      <c r="C426" t="s">
        <v>967</v>
      </c>
      <c r="D426" t="s">
        <v>378</v>
      </c>
      <c r="E426" t="s">
        <v>5097</v>
      </c>
      <c r="F426" t="s">
        <v>1008</v>
      </c>
      <c r="G426" s="1">
        <v>3228</v>
      </c>
      <c r="H426">
        <v>24</v>
      </c>
      <c r="I426" t="b">
        <f>AND(COUNTIF(CO!A:A,A426)&gt;0,COUNTIF('NO2'!A:A,A426)&gt;0,COUNTIF('O3'!A:A,A426)&gt;0,COUNTIF('PM10'!A:A,A426)&gt;0,COUNTIF('PM2.5'!A:A,A426)&gt;0,COUNTIF(Kendaraan!A:A,A426)&gt;0)</f>
        <v>1</v>
      </c>
    </row>
    <row r="427" spans="1:9" x14ac:dyDescent="0.45">
      <c r="A427" s="4">
        <v>45840</v>
      </c>
      <c r="B427" t="s">
        <v>4019</v>
      </c>
      <c r="C427" t="s">
        <v>5098</v>
      </c>
      <c r="D427" t="s">
        <v>5099</v>
      </c>
      <c r="E427" t="s">
        <v>4963</v>
      </c>
      <c r="F427" t="s">
        <v>5100</v>
      </c>
      <c r="G427" s="1">
        <v>2301</v>
      </c>
      <c r="H427">
        <v>24</v>
      </c>
      <c r="I427" t="b">
        <f>AND(COUNTIF(CO!A:A,A427)&gt;0,COUNTIF('NO2'!A:A,A427)&gt;0,COUNTIF('O3'!A:A,A427)&gt;0,COUNTIF('PM10'!A:A,A427)&gt;0,COUNTIF('PM2.5'!A:A,A427)&gt;0,COUNTIF(Kendaraan!A:A,A427)&gt;0)</f>
        <v>1</v>
      </c>
    </row>
    <row r="428" spans="1:9" x14ac:dyDescent="0.45">
      <c r="A428" s="4">
        <v>45841</v>
      </c>
      <c r="B428" t="s">
        <v>5101</v>
      </c>
      <c r="C428" t="s">
        <v>5102</v>
      </c>
      <c r="D428" t="s">
        <v>684</v>
      </c>
      <c r="E428" t="s">
        <v>4048</v>
      </c>
      <c r="F428" t="s">
        <v>4517</v>
      </c>
      <c r="G428" t="s">
        <v>5103</v>
      </c>
      <c r="H428">
        <v>24</v>
      </c>
      <c r="I428" t="b">
        <f>AND(COUNTIF(CO!A:A,A428)&gt;0,COUNTIF('NO2'!A:A,A428)&gt;0,COUNTIF('O3'!A:A,A428)&gt;0,COUNTIF('PM10'!A:A,A428)&gt;0,COUNTIF('PM2.5'!A:A,A428)&gt;0,COUNTIF(Kendaraan!A:A,A428)&gt;0)</f>
        <v>1</v>
      </c>
    </row>
    <row r="429" spans="1:9" x14ac:dyDescent="0.45">
      <c r="A429" s="4">
        <v>45842</v>
      </c>
      <c r="B429" t="s">
        <v>5104</v>
      </c>
      <c r="C429" t="s">
        <v>4549</v>
      </c>
      <c r="D429" t="s">
        <v>5105</v>
      </c>
      <c r="E429" t="s">
        <v>4472</v>
      </c>
      <c r="F429" t="s">
        <v>5106</v>
      </c>
      <c r="G429" s="1">
        <v>3643</v>
      </c>
      <c r="H429">
        <v>20</v>
      </c>
      <c r="I429" t="b">
        <f>AND(COUNTIF(CO!A:A,A429)&gt;0,COUNTIF('NO2'!A:A,A429)&gt;0,COUNTIF('O3'!A:A,A429)&gt;0,COUNTIF('PM10'!A:A,A429)&gt;0,COUNTIF('PM2.5'!A:A,A429)&gt;0,COUNTIF(Kendaraan!A:A,A429)&gt;0)</f>
        <v>1</v>
      </c>
    </row>
    <row r="430" spans="1:9" x14ac:dyDescent="0.45">
      <c r="A430" s="4">
        <v>45845</v>
      </c>
      <c r="B430" t="s">
        <v>4892</v>
      </c>
      <c r="C430" t="s">
        <v>5107</v>
      </c>
      <c r="D430" t="s">
        <v>5108</v>
      </c>
      <c r="E430" t="s">
        <v>5109</v>
      </c>
      <c r="F430" t="s">
        <v>5110</v>
      </c>
      <c r="G430" s="1">
        <v>1937</v>
      </c>
      <c r="H430">
        <v>5</v>
      </c>
      <c r="I430" t="b">
        <f>AND(COUNTIF(CO!A:A,A430)&gt;0,COUNTIF('NO2'!A:A,A430)&gt;0,COUNTIF('O3'!A:A,A430)&gt;0,COUNTIF('PM10'!A:A,A430)&gt;0,COUNTIF('PM2.5'!A:A,A430)&gt;0,COUNTIF(Kendaraan!A:A,A430)&gt;0)</f>
        <v>1</v>
      </c>
    </row>
    <row r="431" spans="1:9" x14ac:dyDescent="0.45">
      <c r="A431" s="4">
        <v>45846</v>
      </c>
      <c r="B431" t="s">
        <v>5111</v>
      </c>
      <c r="C431" t="s">
        <v>5112</v>
      </c>
      <c r="D431" t="s">
        <v>5113</v>
      </c>
      <c r="E431" t="s">
        <v>5114</v>
      </c>
      <c r="F431" t="s">
        <v>315</v>
      </c>
      <c r="G431" s="1">
        <v>4694</v>
      </c>
      <c r="H431">
        <v>24</v>
      </c>
      <c r="I431" t="b">
        <f>AND(COUNTIF(CO!A:A,A431)&gt;0,COUNTIF('NO2'!A:A,A431)&gt;0,COUNTIF('O3'!A:A,A431)&gt;0,COUNTIF('PM10'!A:A,A431)&gt;0,COUNTIF('PM2.5'!A:A,A431)&gt;0,COUNTIF(Kendaraan!A:A,A431)&gt;0)</f>
        <v>1</v>
      </c>
    </row>
    <row r="432" spans="1:9" x14ac:dyDescent="0.45">
      <c r="A432" s="4">
        <v>45847</v>
      </c>
      <c r="B432" t="s">
        <v>5115</v>
      </c>
      <c r="C432" t="s">
        <v>1019</v>
      </c>
      <c r="D432" t="s">
        <v>4536</v>
      </c>
      <c r="E432" t="s">
        <v>5116</v>
      </c>
      <c r="F432" t="s">
        <v>326</v>
      </c>
      <c r="G432" s="1">
        <v>2711</v>
      </c>
      <c r="H432">
        <v>24</v>
      </c>
      <c r="I432" t="b">
        <f>AND(COUNTIF(CO!A:A,A432)&gt;0,COUNTIF('NO2'!A:A,A432)&gt;0,COUNTIF('O3'!A:A,A432)&gt;0,COUNTIF('PM10'!A:A,A432)&gt;0,COUNTIF('PM2.5'!A:A,A432)&gt;0,COUNTIF(Kendaraan!A:A,A432)&gt;0)</f>
        <v>1</v>
      </c>
    </row>
    <row r="433" spans="1:9" x14ac:dyDescent="0.45">
      <c r="A433" s="4">
        <v>45848</v>
      </c>
      <c r="B433" t="s">
        <v>5117</v>
      </c>
      <c r="C433" t="s">
        <v>5118</v>
      </c>
      <c r="D433" t="s">
        <v>5119</v>
      </c>
      <c r="E433" t="s">
        <v>4020</v>
      </c>
      <c r="F433" t="s">
        <v>5120</v>
      </c>
      <c r="G433" s="1">
        <v>8188</v>
      </c>
      <c r="H433">
        <v>24</v>
      </c>
      <c r="I433" t="b">
        <f>AND(COUNTIF(CO!A:A,A433)&gt;0,COUNTIF('NO2'!A:A,A433)&gt;0,COUNTIF('O3'!A:A,A433)&gt;0,COUNTIF('PM10'!A:A,A433)&gt;0,COUNTIF('PM2.5'!A:A,A433)&gt;0,COUNTIF(Kendaraan!A:A,A433)&gt;0)</f>
        <v>1</v>
      </c>
    </row>
    <row r="434" spans="1:9" x14ac:dyDescent="0.45">
      <c r="A434" s="4">
        <v>45849</v>
      </c>
      <c r="B434" t="s">
        <v>5121</v>
      </c>
      <c r="C434" t="s">
        <v>5122</v>
      </c>
      <c r="D434" t="s">
        <v>5123</v>
      </c>
      <c r="E434" t="s">
        <v>5124</v>
      </c>
      <c r="F434" t="s">
        <v>5125</v>
      </c>
      <c r="G434" s="1">
        <v>1981</v>
      </c>
      <c r="H434">
        <v>24</v>
      </c>
      <c r="I434" t="b">
        <f>AND(COUNTIF(CO!A:A,A434)&gt;0,COUNTIF('NO2'!A:A,A434)&gt;0,COUNTIF('O3'!A:A,A434)&gt;0,COUNTIF('PM10'!A:A,A434)&gt;0,COUNTIF('PM2.5'!A:A,A434)&gt;0,COUNTIF(Kendaraan!A:A,A434)&gt;0)</f>
        <v>1</v>
      </c>
    </row>
    <row r="435" spans="1:9" x14ac:dyDescent="0.45">
      <c r="A435" s="4">
        <v>45850</v>
      </c>
      <c r="B435" t="s">
        <v>4938</v>
      </c>
      <c r="C435" t="s">
        <v>2630</v>
      </c>
      <c r="D435" t="s">
        <v>5126</v>
      </c>
      <c r="E435" t="s">
        <v>5127</v>
      </c>
      <c r="F435" t="s">
        <v>5128</v>
      </c>
      <c r="G435" s="1">
        <v>5347</v>
      </c>
      <c r="H435">
        <v>24</v>
      </c>
      <c r="I435" t="b">
        <f>AND(COUNTIF(CO!A:A,A435)&gt;0,COUNTIF('NO2'!A:A,A435)&gt;0,COUNTIF('O3'!A:A,A435)&gt;0,COUNTIF('PM10'!A:A,A435)&gt;0,COUNTIF('PM2.5'!A:A,A435)&gt;0,COUNTIF(Kendaraan!A:A,A435)&gt;0)</f>
        <v>1</v>
      </c>
    </row>
    <row r="436" spans="1:9" x14ac:dyDescent="0.45">
      <c r="A436" s="4">
        <v>45851</v>
      </c>
      <c r="B436" t="s">
        <v>5129</v>
      </c>
      <c r="C436" t="s">
        <v>5130</v>
      </c>
      <c r="D436" t="s">
        <v>5131</v>
      </c>
      <c r="E436" t="s">
        <v>5132</v>
      </c>
      <c r="F436" t="s">
        <v>5130</v>
      </c>
      <c r="G436" t="s">
        <v>2131</v>
      </c>
      <c r="H436">
        <v>24</v>
      </c>
      <c r="I436" t="b">
        <f>AND(COUNTIF(CO!A:A,A436)&gt;0,COUNTIF('NO2'!A:A,A436)&gt;0,COUNTIF('O3'!A:A,A436)&gt;0,COUNTIF('PM10'!A:A,A436)&gt;0,COUNTIF('PM2.5'!A:A,A436)&gt;0,COUNTIF(Kendaraan!A:A,A436)&gt;0)</f>
        <v>1</v>
      </c>
    </row>
    <row r="437" spans="1:9" x14ac:dyDescent="0.45">
      <c r="A437" s="4">
        <v>45852</v>
      </c>
      <c r="B437" t="s">
        <v>5133</v>
      </c>
      <c r="C437" t="s">
        <v>2679</v>
      </c>
      <c r="D437" t="s">
        <v>5134</v>
      </c>
      <c r="E437" t="s">
        <v>5135</v>
      </c>
      <c r="F437" t="s">
        <v>5136</v>
      </c>
      <c r="G437" s="1">
        <v>3151</v>
      </c>
      <c r="H437">
        <v>24</v>
      </c>
      <c r="I437" t="b">
        <f>AND(COUNTIF(CO!A:A,A437)&gt;0,COUNTIF('NO2'!A:A,A437)&gt;0,COUNTIF('O3'!A:A,A437)&gt;0,COUNTIF('PM10'!A:A,A437)&gt;0,COUNTIF('PM2.5'!A:A,A437)&gt;0,COUNTIF(Kendaraan!A:A,A437)&gt;0)</f>
        <v>1</v>
      </c>
    </row>
    <row r="438" spans="1:9" x14ac:dyDescent="0.45">
      <c r="A438" s="4">
        <v>45853</v>
      </c>
      <c r="B438" t="s">
        <v>5111</v>
      </c>
      <c r="C438" t="s">
        <v>5137</v>
      </c>
      <c r="D438" t="s">
        <v>312</v>
      </c>
      <c r="E438" t="s">
        <v>1008</v>
      </c>
      <c r="F438" t="s">
        <v>5138</v>
      </c>
      <c r="G438" t="s">
        <v>3393</v>
      </c>
      <c r="H438">
        <v>24</v>
      </c>
      <c r="I438" t="b">
        <f>AND(COUNTIF(CO!A:A,A438)&gt;0,COUNTIF('NO2'!A:A,A438)&gt;0,COUNTIF('O3'!A:A,A438)&gt;0,COUNTIF('PM10'!A:A,A438)&gt;0,COUNTIF('PM2.5'!A:A,A438)&gt;0,COUNTIF(Kendaraan!A:A,A438)&gt;0)</f>
        <v>1</v>
      </c>
    </row>
    <row r="439" spans="1:9" x14ac:dyDescent="0.45">
      <c r="A439" s="4">
        <v>45854</v>
      </c>
      <c r="B439" t="s">
        <v>5139</v>
      </c>
      <c r="C439" t="s">
        <v>5140</v>
      </c>
      <c r="D439" t="s">
        <v>4652</v>
      </c>
      <c r="E439" t="s">
        <v>4935</v>
      </c>
      <c r="F439" t="s">
        <v>5141</v>
      </c>
      <c r="G439" s="1">
        <v>1959</v>
      </c>
      <c r="H439">
        <v>24</v>
      </c>
      <c r="I439" t="b">
        <f>AND(COUNTIF(CO!A:A,A439)&gt;0,COUNTIF('NO2'!A:A,A439)&gt;0,COUNTIF('O3'!A:A,A439)&gt;0,COUNTIF('PM10'!A:A,A439)&gt;0,COUNTIF('PM2.5'!A:A,A439)&gt;0,COUNTIF(Kendaraan!A:A,A439)&gt;0)</f>
        <v>1</v>
      </c>
    </row>
    <row r="440" spans="1:9" x14ac:dyDescent="0.45">
      <c r="A440" s="4">
        <v>45855</v>
      </c>
      <c r="B440">
        <v>79</v>
      </c>
      <c r="C440" t="s">
        <v>4964</v>
      </c>
      <c r="D440" t="s">
        <v>1607</v>
      </c>
      <c r="E440" t="s">
        <v>326</v>
      </c>
      <c r="F440" t="s">
        <v>5142</v>
      </c>
      <c r="G440" s="1">
        <v>4518</v>
      </c>
      <c r="H440">
        <v>24</v>
      </c>
      <c r="I440" t="b">
        <f>AND(COUNTIF(CO!A:A,A440)&gt;0,COUNTIF('NO2'!A:A,A440)&gt;0,COUNTIF('O3'!A:A,A440)&gt;0,COUNTIF('PM10'!A:A,A440)&gt;0,COUNTIF('PM2.5'!A:A,A440)&gt;0,COUNTIF(Kendaraan!A:A,A440)&gt;0)</f>
        <v>1</v>
      </c>
    </row>
    <row r="441" spans="1:9" x14ac:dyDescent="0.45">
      <c r="A441" s="4">
        <v>45857</v>
      </c>
      <c r="B441" t="s">
        <v>1605</v>
      </c>
      <c r="C441" t="s">
        <v>1020</v>
      </c>
      <c r="D441" t="s">
        <v>1605</v>
      </c>
      <c r="E441" t="s">
        <v>1605</v>
      </c>
      <c r="F441" t="s">
        <v>5143</v>
      </c>
      <c r="G441" s="1">
        <v>1594</v>
      </c>
      <c r="H441">
        <v>24</v>
      </c>
      <c r="I441" t="b">
        <f>AND(COUNTIF(CO!A:A,A441)&gt;0,COUNTIF('NO2'!A:A,A441)&gt;0,COUNTIF('O3'!A:A,A441)&gt;0,COUNTIF('PM10'!A:A,A441)&gt;0,COUNTIF('PM2.5'!A:A,A441)&gt;0,COUNTIF(Kendaraan!A:A,A441)&gt;0)</f>
        <v>1</v>
      </c>
    </row>
    <row r="442" spans="1:9" x14ac:dyDescent="0.45">
      <c r="A442" s="4">
        <v>45858</v>
      </c>
      <c r="B442" t="s">
        <v>4323</v>
      </c>
      <c r="C442" t="s">
        <v>5144</v>
      </c>
      <c r="D442" t="s">
        <v>5145</v>
      </c>
      <c r="E442" t="s">
        <v>5146</v>
      </c>
      <c r="F442" t="s">
        <v>5147</v>
      </c>
      <c r="G442" s="1">
        <v>2828</v>
      </c>
      <c r="H442">
        <v>24</v>
      </c>
      <c r="I442" t="b">
        <f>AND(COUNTIF(CO!A:A,A442)&gt;0,COUNTIF('NO2'!A:A,A442)&gt;0,COUNTIF('O3'!A:A,A442)&gt;0,COUNTIF('PM10'!A:A,A442)&gt;0,COUNTIF('PM2.5'!A:A,A442)&gt;0,COUNTIF(Kendaraan!A:A,A442)&gt;0)</f>
        <v>1</v>
      </c>
    </row>
    <row r="443" spans="1:9" x14ac:dyDescent="0.45">
      <c r="A443" s="4">
        <v>45859</v>
      </c>
      <c r="B443" t="s">
        <v>972</v>
      </c>
      <c r="C443" t="s">
        <v>5148</v>
      </c>
      <c r="D443" t="s">
        <v>4440</v>
      </c>
      <c r="E443" t="s">
        <v>5149</v>
      </c>
      <c r="F443" t="s">
        <v>5150</v>
      </c>
      <c r="G443" s="1">
        <v>1229</v>
      </c>
      <c r="H443">
        <v>24</v>
      </c>
      <c r="I443" t="b">
        <f>AND(COUNTIF(CO!A:A,A443)&gt;0,COUNTIF('NO2'!A:A,A443)&gt;0,COUNTIF('O3'!A:A,A443)&gt;0,COUNTIF('PM10'!A:A,A443)&gt;0,COUNTIF('PM2.5'!A:A,A443)&gt;0,COUNTIF(Kendaraan!A:A,A443)&gt;0)</f>
        <v>1</v>
      </c>
    </row>
    <row r="444" spans="1:9" x14ac:dyDescent="0.45">
      <c r="A444" s="4">
        <v>45860</v>
      </c>
      <c r="B444" t="s">
        <v>310</v>
      </c>
      <c r="C444" t="s">
        <v>5151</v>
      </c>
      <c r="D444">
        <v>92</v>
      </c>
      <c r="E444" t="s">
        <v>5152</v>
      </c>
      <c r="F444" t="s">
        <v>5153</v>
      </c>
      <c r="G444" s="1">
        <v>1347</v>
      </c>
      <c r="H444">
        <v>24</v>
      </c>
      <c r="I444" t="b">
        <f>AND(COUNTIF(CO!A:A,A444)&gt;0,COUNTIF('NO2'!A:A,A444)&gt;0,COUNTIF('O3'!A:A,A444)&gt;0,COUNTIF('PM10'!A:A,A444)&gt;0,COUNTIF('PM2.5'!A:A,A444)&gt;0,COUNTIF(Kendaraan!A:A,A444)&gt;0)</f>
        <v>1</v>
      </c>
    </row>
    <row r="445" spans="1:9" x14ac:dyDescent="0.45">
      <c r="A445" s="4">
        <v>45861</v>
      </c>
      <c r="B445" t="s">
        <v>5154</v>
      </c>
      <c r="C445" t="s">
        <v>5155</v>
      </c>
      <c r="D445" t="s">
        <v>5156</v>
      </c>
      <c r="E445" t="s">
        <v>5154</v>
      </c>
      <c r="F445" t="s">
        <v>5155</v>
      </c>
      <c r="G445" t="s">
        <v>1740</v>
      </c>
      <c r="H445">
        <v>2</v>
      </c>
      <c r="I445" t="b">
        <f>AND(COUNTIF(CO!A:A,A445)&gt;0,COUNTIF('NO2'!A:A,A445)&gt;0,COUNTIF('O3'!A:A,A445)&gt;0,COUNTIF('PM10'!A:A,A445)&gt;0,COUNTIF('PM2.5'!A:A,A445)&gt;0,COUNTIF(Kendaraan!A:A,A445)&gt;0)</f>
        <v>1</v>
      </c>
    </row>
    <row r="446" spans="1:9" x14ac:dyDescent="0.45">
      <c r="A446" s="4">
        <v>45862</v>
      </c>
      <c r="B446" t="s">
        <v>5157</v>
      </c>
      <c r="C446" t="s">
        <v>5158</v>
      </c>
      <c r="D446" t="s">
        <v>4964</v>
      </c>
      <c r="E446" t="s">
        <v>4941</v>
      </c>
      <c r="F446" t="s">
        <v>5159</v>
      </c>
      <c r="G446" t="s">
        <v>2030</v>
      </c>
      <c r="H446">
        <v>5</v>
      </c>
      <c r="I446" t="b">
        <f>AND(COUNTIF(CO!A:A,A446)&gt;0,COUNTIF('NO2'!A:A,A446)&gt;0,COUNTIF('O3'!A:A,A446)&gt;0,COUNTIF('PM10'!A:A,A446)&gt;0,COUNTIF('PM2.5'!A:A,A446)&gt;0,COUNTIF(Kendaraan!A:A,A446)&gt;0)</f>
        <v>1</v>
      </c>
    </row>
    <row r="447" spans="1:9" x14ac:dyDescent="0.45">
      <c r="A447" s="4">
        <v>45863</v>
      </c>
      <c r="B447" t="s">
        <v>5160</v>
      </c>
      <c r="C447" t="s">
        <v>5161</v>
      </c>
      <c r="D447" t="s">
        <v>5162</v>
      </c>
      <c r="E447" t="s">
        <v>5163</v>
      </c>
      <c r="F447" t="s">
        <v>5164</v>
      </c>
      <c r="G447" s="1">
        <v>3229</v>
      </c>
      <c r="H447">
        <v>24</v>
      </c>
      <c r="I447" t="b">
        <f>AND(COUNTIF(CO!A:A,A447)&gt;0,COUNTIF('NO2'!A:A,A447)&gt;0,COUNTIF('O3'!A:A,A447)&gt;0,COUNTIF('PM10'!A:A,A447)&gt;0,COUNTIF('PM2.5'!A:A,A447)&gt;0,COUNTIF(Kendaraan!A:A,A447)&gt;0)</f>
        <v>1</v>
      </c>
    </row>
    <row r="448" spans="1:9" x14ac:dyDescent="0.45">
      <c r="A448" s="4">
        <v>45864</v>
      </c>
      <c r="B448" t="s">
        <v>5165</v>
      </c>
      <c r="C448" t="s">
        <v>5166</v>
      </c>
      <c r="D448" t="s">
        <v>5167</v>
      </c>
      <c r="E448" t="s">
        <v>5168</v>
      </c>
      <c r="F448" t="s">
        <v>5169</v>
      </c>
      <c r="G448" s="1">
        <v>1187</v>
      </c>
      <c r="H448">
        <v>24</v>
      </c>
      <c r="I448" t="b">
        <f>AND(COUNTIF(CO!A:A,A448)&gt;0,COUNTIF('NO2'!A:A,A448)&gt;0,COUNTIF('O3'!A:A,A448)&gt;0,COUNTIF('PM10'!A:A,A448)&gt;0,COUNTIF('PM2.5'!A:A,A448)&gt;0,COUNTIF(Kendaraan!A:A,A448)&gt;0)</f>
        <v>1</v>
      </c>
    </row>
    <row r="449" spans="1:9" x14ac:dyDescent="0.45">
      <c r="A449" s="4">
        <v>45865</v>
      </c>
      <c r="B449" t="s">
        <v>5170</v>
      </c>
      <c r="C449" t="s">
        <v>2634</v>
      </c>
      <c r="D449" t="s">
        <v>5171</v>
      </c>
      <c r="E449" t="s">
        <v>5172</v>
      </c>
      <c r="F449" t="s">
        <v>5173</v>
      </c>
      <c r="G449" s="1">
        <v>3095</v>
      </c>
      <c r="H449">
        <v>24</v>
      </c>
      <c r="I449" t="b">
        <f>AND(COUNTIF(CO!A:A,A449)&gt;0,COUNTIF('NO2'!A:A,A449)&gt;0,COUNTIF('O3'!A:A,A449)&gt;0,COUNTIF('PM10'!A:A,A449)&gt;0,COUNTIF('PM2.5'!A:A,A449)&gt;0,COUNTIF(Kendaraan!A:A,A449)&gt;0)</f>
        <v>1</v>
      </c>
    </row>
    <row r="450" spans="1:9" x14ac:dyDescent="0.45">
      <c r="A450" s="4">
        <v>45866</v>
      </c>
      <c r="B450" t="s">
        <v>4535</v>
      </c>
      <c r="C450" t="s">
        <v>4860</v>
      </c>
      <c r="D450" t="s">
        <v>4530</v>
      </c>
      <c r="E450" t="s">
        <v>5174</v>
      </c>
      <c r="F450" t="s">
        <v>5175</v>
      </c>
      <c r="G450" s="1">
        <v>2181</v>
      </c>
      <c r="H450">
        <v>24</v>
      </c>
      <c r="I450" t="b">
        <f>AND(COUNTIF(CO!A:A,A450)&gt;0,COUNTIF('NO2'!A:A,A450)&gt;0,COUNTIF('O3'!A:A,A450)&gt;0,COUNTIF('PM10'!A:A,A450)&gt;0,COUNTIF('PM2.5'!A:A,A450)&gt;0,COUNTIF(Kendaraan!A:A,A450)&gt;0)</f>
        <v>1</v>
      </c>
    </row>
    <row r="451" spans="1:9" x14ac:dyDescent="0.45">
      <c r="A451" s="4">
        <v>45867</v>
      </c>
      <c r="B451" t="s">
        <v>5176</v>
      </c>
      <c r="C451" t="s">
        <v>5177</v>
      </c>
      <c r="D451" t="s">
        <v>5178</v>
      </c>
      <c r="E451" t="s">
        <v>5179</v>
      </c>
      <c r="F451" t="s">
        <v>5180</v>
      </c>
      <c r="G451" t="s">
        <v>5181</v>
      </c>
      <c r="H451">
        <v>24</v>
      </c>
      <c r="I451" t="b">
        <f>AND(COUNTIF(CO!A:A,A451)&gt;0,COUNTIF('NO2'!A:A,A451)&gt;0,COUNTIF('O3'!A:A,A451)&gt;0,COUNTIF('PM10'!A:A,A451)&gt;0,COUNTIF('PM2.5'!A:A,A451)&gt;0,COUNTIF(Kendaraan!A:A,A451)&gt;0)</f>
        <v>1</v>
      </c>
    </row>
    <row r="452" spans="1:9" x14ac:dyDescent="0.45">
      <c r="A452" s="4">
        <v>45868</v>
      </c>
      <c r="B452" t="s">
        <v>4766</v>
      </c>
      <c r="C452" t="s">
        <v>5182</v>
      </c>
      <c r="D452" t="s">
        <v>5183</v>
      </c>
      <c r="E452" t="s">
        <v>5135</v>
      </c>
      <c r="F452" t="s">
        <v>5184</v>
      </c>
      <c r="G452" s="1">
        <v>3404</v>
      </c>
      <c r="H452">
        <v>24</v>
      </c>
      <c r="I452" t="b">
        <f>AND(COUNTIF(CO!A:A,A452)&gt;0,COUNTIF('NO2'!A:A,A452)&gt;0,COUNTIF('O3'!A:A,A452)&gt;0,COUNTIF('PM10'!A:A,A452)&gt;0,COUNTIF('PM2.5'!A:A,A452)&gt;0,COUNTIF(Kendaraan!A:A,A452)&gt;0)</f>
        <v>1</v>
      </c>
    </row>
    <row r="453" spans="1:9" x14ac:dyDescent="0.45">
      <c r="A453" s="4">
        <v>45869</v>
      </c>
      <c r="B453" t="s">
        <v>5185</v>
      </c>
      <c r="C453" t="s">
        <v>5121</v>
      </c>
      <c r="D453" t="s">
        <v>5177</v>
      </c>
      <c r="E453" t="s">
        <v>5186</v>
      </c>
      <c r="F453" t="s">
        <v>5187</v>
      </c>
      <c r="G453" s="1">
        <v>4291</v>
      </c>
      <c r="H453">
        <v>24</v>
      </c>
      <c r="I453" t="b">
        <f>AND(COUNTIF(CO!A:A,A453)&gt;0,COUNTIF('NO2'!A:A,A453)&gt;0,COUNTIF('O3'!A:A,A453)&gt;0,COUNTIF('PM10'!A:A,A453)&gt;0,COUNTIF('PM2.5'!A:A,A453)&gt;0,COUNTIF(Kendaraan!A:A,A453)&gt;0)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40AB-811A-47F7-B909-19743B9999B4}">
  <dimension ref="A1:F453"/>
  <sheetViews>
    <sheetView topLeftCell="A424" workbookViewId="0">
      <selection activeCell="B2" sqref="B2:D453"/>
    </sheetView>
  </sheetViews>
  <sheetFormatPr defaultRowHeight="14.25" x14ac:dyDescent="0.45"/>
  <cols>
    <col min="1" max="1" width="13.9296875" bestFit="1" customWidth="1"/>
    <col min="5" max="5" width="17.33203125" bestFit="1" customWidth="1"/>
  </cols>
  <sheetData>
    <row r="1" spans="1:6" x14ac:dyDescent="0.45">
      <c r="A1" t="s">
        <v>5188</v>
      </c>
      <c r="B1" t="s">
        <v>5189</v>
      </c>
      <c r="C1" t="s">
        <v>5190</v>
      </c>
      <c r="D1" t="s">
        <v>5191</v>
      </c>
      <c r="E1" t="s">
        <v>5192</v>
      </c>
      <c r="F1" t="s">
        <v>5203</v>
      </c>
    </row>
    <row r="2" spans="1:6" x14ac:dyDescent="0.45">
      <c r="A2" s="2">
        <v>45337</v>
      </c>
      <c r="B2" s="1">
        <v>148384</v>
      </c>
      <c r="C2" s="1">
        <v>55102</v>
      </c>
      <c r="D2" s="1">
        <v>21131</v>
      </c>
      <c r="E2" s="1">
        <v>224617</v>
      </c>
      <c r="F2" t="b">
        <f>AND(COUNTIF(CO!A:A,A2)&gt;0,COUNTIF('NO2'!A:A,A2)&gt;0,COUNTIF('O3'!A:A,A2)&gt;0,COUNTIF('PM10'!A:A,A2)&gt;0,COUNTIF('PM2.5'!A:A,A2)&gt;0,COUNTIF('SO2'!A:A,A2)&gt;0)</f>
        <v>1</v>
      </c>
    </row>
    <row r="3" spans="1:6" x14ac:dyDescent="0.45">
      <c r="A3" s="2">
        <v>45338</v>
      </c>
      <c r="B3" s="1">
        <v>161673</v>
      </c>
      <c r="C3" s="1">
        <v>60396</v>
      </c>
      <c r="D3" s="1">
        <v>26323</v>
      </c>
      <c r="E3" s="1">
        <v>248392</v>
      </c>
      <c r="F3" t="b">
        <f>AND(COUNTIF(CO!A:A,A3)&gt;0,COUNTIF('NO2'!A:A,A3)&gt;0,COUNTIF('O3'!A:A,A3)&gt;0,COUNTIF('PM10'!A:A,A3)&gt;0,COUNTIF('PM2.5'!A:A,A3)&gt;0,COUNTIF('SO2'!A:A,A3)&gt;0)</f>
        <v>1</v>
      </c>
    </row>
    <row r="4" spans="1:6" x14ac:dyDescent="0.45">
      <c r="A4" s="2">
        <v>45342</v>
      </c>
      <c r="B4" s="1">
        <v>165764</v>
      </c>
      <c r="C4" s="1">
        <v>60934</v>
      </c>
      <c r="D4" s="1">
        <v>26548</v>
      </c>
      <c r="E4" s="1">
        <v>253246</v>
      </c>
      <c r="F4" t="b">
        <f>AND(COUNTIF(CO!A:A,A4)&gt;0,COUNTIF('NO2'!A:A,A4)&gt;0,COUNTIF('O3'!A:A,A4)&gt;0,COUNTIF('PM10'!A:A,A4)&gt;0,COUNTIF('PM2.5'!A:A,A4)&gt;0,COUNTIF('SO2'!A:A,A4)&gt;0)</f>
        <v>1</v>
      </c>
    </row>
    <row r="5" spans="1:6" x14ac:dyDescent="0.45">
      <c r="A5" s="2">
        <v>45343</v>
      </c>
      <c r="B5" s="1">
        <v>143283</v>
      </c>
      <c r="C5" s="1">
        <v>54033</v>
      </c>
      <c r="D5" s="1">
        <v>26256</v>
      </c>
      <c r="E5" s="1">
        <v>223572</v>
      </c>
      <c r="F5" t="b">
        <f>AND(COUNTIF(CO!A:A,A5)&gt;0,COUNTIF('NO2'!A:A,A5)&gt;0,COUNTIF('O3'!A:A,A5)&gt;0,COUNTIF('PM10'!A:A,A5)&gt;0,COUNTIF('PM2.5'!A:A,A5)&gt;0,COUNTIF('SO2'!A:A,A5)&gt;0)</f>
        <v>1</v>
      </c>
    </row>
    <row r="6" spans="1:6" x14ac:dyDescent="0.45">
      <c r="A6" s="2">
        <v>45344</v>
      </c>
      <c r="B6" s="1">
        <v>184188</v>
      </c>
      <c r="C6" s="1">
        <v>63106</v>
      </c>
      <c r="D6" s="1">
        <v>26807</v>
      </c>
      <c r="E6" s="1">
        <v>274101</v>
      </c>
      <c r="F6" t="b">
        <f>AND(COUNTIF(CO!A:A,A6)&gt;0,COUNTIF('NO2'!A:A,A6)&gt;0,COUNTIF('O3'!A:A,A6)&gt;0,COUNTIF('PM10'!A:A,A6)&gt;0,COUNTIF('PM2.5'!A:A,A6)&gt;0,COUNTIF('SO2'!A:A,A6)&gt;0)</f>
        <v>1</v>
      </c>
    </row>
    <row r="7" spans="1:6" x14ac:dyDescent="0.45">
      <c r="A7" s="2">
        <v>45372</v>
      </c>
      <c r="B7" s="1">
        <v>185771</v>
      </c>
      <c r="C7" s="1">
        <v>59183</v>
      </c>
      <c r="D7" s="1">
        <v>25106</v>
      </c>
      <c r="E7" s="1">
        <v>270060</v>
      </c>
      <c r="F7" t="b">
        <f>AND(COUNTIF(CO!A:A,A7)&gt;0,COUNTIF('NO2'!A:A,A7)&gt;0,COUNTIF('O3'!A:A,A7)&gt;0,COUNTIF('PM10'!A:A,A7)&gt;0,COUNTIF('PM2.5'!A:A,A7)&gt;0,COUNTIF('SO2'!A:A,A7)&gt;0)</f>
        <v>1</v>
      </c>
    </row>
    <row r="8" spans="1:6" x14ac:dyDescent="0.45">
      <c r="A8" s="2">
        <v>45373</v>
      </c>
      <c r="B8" s="1">
        <v>172673</v>
      </c>
      <c r="C8" s="1">
        <v>61134</v>
      </c>
      <c r="D8" s="1">
        <v>23582</v>
      </c>
      <c r="E8" s="1">
        <v>257389</v>
      </c>
      <c r="F8" t="b">
        <f>AND(COUNTIF(CO!A:A,A8)&gt;0,COUNTIF('NO2'!A:A,A8)&gt;0,COUNTIF('O3'!A:A,A8)&gt;0,COUNTIF('PM10'!A:A,A8)&gt;0,COUNTIF('PM2.5'!A:A,A8)&gt;0,COUNTIF('SO2'!A:A,A8)&gt;0)</f>
        <v>1</v>
      </c>
    </row>
    <row r="9" spans="1:6" x14ac:dyDescent="0.45">
      <c r="A9" s="2">
        <v>45377</v>
      </c>
      <c r="B9" s="1">
        <v>171563</v>
      </c>
      <c r="C9" s="1">
        <v>60161</v>
      </c>
      <c r="D9" s="1">
        <v>26248</v>
      </c>
      <c r="E9" s="1">
        <v>257972</v>
      </c>
      <c r="F9" t="b">
        <f>AND(COUNTIF(CO!A:A,A9)&gt;0,COUNTIF('NO2'!A:A,A9)&gt;0,COUNTIF('O3'!A:A,A9)&gt;0,COUNTIF('PM10'!A:A,A9)&gt;0,COUNTIF('PM2.5'!A:A,A9)&gt;0,COUNTIF('SO2'!A:A,A9)&gt;0)</f>
        <v>1</v>
      </c>
    </row>
    <row r="10" spans="1:6" x14ac:dyDescent="0.45">
      <c r="A10" s="2">
        <v>45383</v>
      </c>
      <c r="B10" s="1">
        <v>185013</v>
      </c>
      <c r="C10" s="1">
        <v>69963</v>
      </c>
      <c r="D10" s="1">
        <v>26633</v>
      </c>
      <c r="E10" s="1">
        <v>281609</v>
      </c>
      <c r="F10" t="b">
        <f>AND(COUNTIF(CO!A:A,A10)&gt;0,COUNTIF('NO2'!A:A,A10)&gt;0,COUNTIF('O3'!A:A,A10)&gt;0,COUNTIF('PM10'!A:A,A10)&gt;0,COUNTIF('PM2.5'!A:A,A10)&gt;0,COUNTIF('SO2'!A:A,A10)&gt;0)</f>
        <v>1</v>
      </c>
    </row>
    <row r="11" spans="1:6" x14ac:dyDescent="0.45">
      <c r="A11" s="2">
        <v>45384</v>
      </c>
      <c r="B11" s="1">
        <v>148613</v>
      </c>
      <c r="C11" s="1">
        <v>57298</v>
      </c>
      <c r="D11" s="1">
        <v>25567</v>
      </c>
      <c r="E11" s="1">
        <v>231478</v>
      </c>
      <c r="F11" t="b">
        <f>AND(COUNTIF(CO!A:A,A11)&gt;0,COUNTIF('NO2'!A:A,A11)&gt;0,COUNTIF('O3'!A:A,A11)&gt;0,COUNTIF('PM10'!A:A,A11)&gt;0,COUNTIF('PM2.5'!A:A,A11)&gt;0,COUNTIF('SO2'!A:A,A11)&gt;0)</f>
        <v>1</v>
      </c>
    </row>
    <row r="12" spans="1:6" x14ac:dyDescent="0.45">
      <c r="A12" s="2">
        <v>45385</v>
      </c>
      <c r="B12" s="1">
        <v>185635</v>
      </c>
      <c r="C12" s="1">
        <v>66703</v>
      </c>
      <c r="D12" s="1">
        <v>27783</v>
      </c>
      <c r="E12" s="1">
        <v>280121</v>
      </c>
      <c r="F12" t="b">
        <f>AND(COUNTIF(CO!A:A,A12)&gt;0,COUNTIF('NO2'!A:A,A12)&gt;0,COUNTIF('O3'!A:A,A12)&gt;0,COUNTIF('PM10'!A:A,A12)&gt;0,COUNTIF('PM2.5'!A:A,A12)&gt;0,COUNTIF('SO2'!A:A,A12)&gt;0)</f>
        <v>1</v>
      </c>
    </row>
    <row r="13" spans="1:6" x14ac:dyDescent="0.45">
      <c r="A13" s="2">
        <v>45386</v>
      </c>
      <c r="B13" s="1">
        <v>162905</v>
      </c>
      <c r="C13" s="1">
        <v>66811</v>
      </c>
      <c r="D13" s="1">
        <v>32650</v>
      </c>
      <c r="E13" s="1">
        <v>262366</v>
      </c>
      <c r="F13" t="b">
        <f>AND(COUNTIF(CO!A:A,A13)&gt;0,COUNTIF('NO2'!A:A,A13)&gt;0,COUNTIF('O3'!A:A,A13)&gt;0,COUNTIF('PM10'!A:A,A13)&gt;0,COUNTIF('PM2.5'!A:A,A13)&gt;0,COUNTIF('SO2'!A:A,A13)&gt;0)</f>
        <v>1</v>
      </c>
    </row>
    <row r="14" spans="1:6" x14ac:dyDescent="0.45">
      <c r="A14" s="2">
        <v>45387</v>
      </c>
      <c r="B14" s="1">
        <v>185156</v>
      </c>
      <c r="C14" s="1">
        <v>77105</v>
      </c>
      <c r="D14" s="1">
        <v>25781</v>
      </c>
      <c r="E14" s="1">
        <v>288042</v>
      </c>
      <c r="F14" t="b">
        <f>AND(COUNTIF(CO!A:A,A14)&gt;0,COUNTIF('NO2'!A:A,A14)&gt;0,COUNTIF('O3'!A:A,A14)&gt;0,COUNTIF('PM10'!A:A,A14)&gt;0,COUNTIF('PM2.5'!A:A,A14)&gt;0,COUNTIF('SO2'!A:A,A14)&gt;0)</f>
        <v>1</v>
      </c>
    </row>
    <row r="15" spans="1:6" x14ac:dyDescent="0.45">
      <c r="A15" s="2">
        <v>45388</v>
      </c>
      <c r="B15" s="1">
        <v>132394</v>
      </c>
      <c r="C15" s="1">
        <v>65332</v>
      </c>
      <c r="D15" s="1">
        <v>26447</v>
      </c>
      <c r="E15" s="1">
        <v>224173</v>
      </c>
      <c r="F15" t="b">
        <f>AND(COUNTIF(CO!A:A,A15)&gt;0,COUNTIF('NO2'!A:A,A15)&gt;0,COUNTIF('O3'!A:A,A15)&gt;0,COUNTIF('PM10'!A:A,A15)&gt;0,COUNTIF('PM2.5'!A:A,A15)&gt;0,COUNTIF('SO2'!A:A,A15)&gt;0)</f>
        <v>1</v>
      </c>
    </row>
    <row r="16" spans="1:6" x14ac:dyDescent="0.45">
      <c r="A16" s="2">
        <v>45389</v>
      </c>
      <c r="B16" s="1">
        <v>131300</v>
      </c>
      <c r="C16" s="1">
        <v>73922</v>
      </c>
      <c r="D16" s="1">
        <v>20660</v>
      </c>
      <c r="E16" s="1">
        <v>225882</v>
      </c>
      <c r="F16" t="b">
        <f>AND(COUNTIF(CO!A:A,A16)&gt;0,COUNTIF('NO2'!A:A,A16)&gt;0,COUNTIF('O3'!A:A,A16)&gt;0,COUNTIF('PM10'!A:A,A16)&gt;0,COUNTIF('PM2.5'!A:A,A16)&gt;0,COUNTIF('SO2'!A:A,A16)&gt;0)</f>
        <v>1</v>
      </c>
    </row>
    <row r="17" spans="1:6" x14ac:dyDescent="0.45">
      <c r="A17" s="2">
        <v>45390</v>
      </c>
      <c r="B17" s="1">
        <v>138682</v>
      </c>
      <c r="C17" s="1">
        <v>75842</v>
      </c>
      <c r="D17" s="1">
        <v>26904</v>
      </c>
      <c r="E17" s="1">
        <v>241428</v>
      </c>
      <c r="F17" t="b">
        <f>AND(COUNTIF(CO!A:A,A17)&gt;0,COUNTIF('NO2'!A:A,A17)&gt;0,COUNTIF('O3'!A:A,A17)&gt;0,COUNTIF('PM10'!A:A,A17)&gt;0,COUNTIF('PM2.5'!A:A,A17)&gt;0,COUNTIF('SO2'!A:A,A17)&gt;0)</f>
        <v>1</v>
      </c>
    </row>
    <row r="18" spans="1:6" x14ac:dyDescent="0.45">
      <c r="A18" s="2">
        <v>45391</v>
      </c>
      <c r="B18" s="1">
        <v>145227</v>
      </c>
      <c r="C18" s="1">
        <v>69217</v>
      </c>
      <c r="D18" s="1">
        <v>15346</v>
      </c>
      <c r="E18" s="1">
        <v>229790</v>
      </c>
      <c r="F18" t="b">
        <f>AND(COUNTIF(CO!A:A,A18)&gt;0,COUNTIF('NO2'!A:A,A18)&gt;0,COUNTIF('O3'!A:A,A18)&gt;0,COUNTIF('PM10'!A:A,A18)&gt;0,COUNTIF('PM2.5'!A:A,A18)&gt;0,COUNTIF('SO2'!A:A,A18)&gt;0)</f>
        <v>1</v>
      </c>
    </row>
    <row r="19" spans="1:6" x14ac:dyDescent="0.45">
      <c r="A19" s="2">
        <v>45392</v>
      </c>
      <c r="B19" s="1">
        <v>83315</v>
      </c>
      <c r="C19" s="1">
        <v>70686</v>
      </c>
      <c r="D19" s="1">
        <v>17916</v>
      </c>
      <c r="E19" s="1">
        <v>171917</v>
      </c>
      <c r="F19" t="b">
        <f>AND(COUNTIF(CO!A:A,A19)&gt;0,COUNTIF('NO2'!A:A,A19)&gt;0,COUNTIF('O3'!A:A,A19)&gt;0,COUNTIF('PM10'!A:A,A19)&gt;0,COUNTIF('PM2.5'!A:A,A19)&gt;0,COUNTIF('SO2'!A:A,A19)&gt;0)</f>
        <v>1</v>
      </c>
    </row>
    <row r="20" spans="1:6" x14ac:dyDescent="0.45">
      <c r="A20" s="2">
        <v>45393</v>
      </c>
      <c r="B20" s="1">
        <v>96864</v>
      </c>
      <c r="C20" s="1">
        <v>80354</v>
      </c>
      <c r="D20" s="1">
        <v>18746</v>
      </c>
      <c r="E20" s="1">
        <v>195964</v>
      </c>
      <c r="F20" t="b">
        <f>AND(COUNTIF(CO!A:A,A20)&gt;0,COUNTIF('NO2'!A:A,A20)&gt;0,COUNTIF('O3'!A:A,A20)&gt;0,COUNTIF('PM10'!A:A,A20)&gt;0,COUNTIF('PM2.5'!A:A,A20)&gt;0,COUNTIF('SO2'!A:A,A20)&gt;0)</f>
        <v>1</v>
      </c>
    </row>
    <row r="21" spans="1:6" x14ac:dyDescent="0.45">
      <c r="A21" s="2">
        <v>45394</v>
      </c>
      <c r="B21" s="1">
        <v>136910</v>
      </c>
      <c r="C21" s="1">
        <v>72175</v>
      </c>
      <c r="D21" s="1">
        <v>14803</v>
      </c>
      <c r="E21" s="1">
        <v>223888</v>
      </c>
      <c r="F21" t="b">
        <f>AND(COUNTIF(CO!A:A,A21)&gt;0,COUNTIF('NO2'!A:A,A21)&gt;0,COUNTIF('O3'!A:A,A21)&gt;0,COUNTIF('PM10'!A:A,A21)&gt;0,COUNTIF('PM2.5'!A:A,A21)&gt;0,COUNTIF('SO2'!A:A,A21)&gt;0)</f>
        <v>1</v>
      </c>
    </row>
    <row r="22" spans="1:6" x14ac:dyDescent="0.45">
      <c r="A22" s="2">
        <v>45395</v>
      </c>
      <c r="B22" s="1">
        <v>116389</v>
      </c>
      <c r="C22" s="1">
        <v>82775</v>
      </c>
      <c r="D22" s="1">
        <v>25296</v>
      </c>
      <c r="E22" s="1">
        <v>224460</v>
      </c>
      <c r="F22" t="b">
        <f>AND(COUNTIF(CO!A:A,A22)&gt;0,COUNTIF('NO2'!A:A,A22)&gt;0,COUNTIF('O3'!A:A,A22)&gt;0,COUNTIF('PM10'!A:A,A22)&gt;0,COUNTIF('PM2.5'!A:A,A22)&gt;0,COUNTIF('SO2'!A:A,A22)&gt;0)</f>
        <v>1</v>
      </c>
    </row>
    <row r="23" spans="1:6" x14ac:dyDescent="0.45">
      <c r="A23" s="2">
        <v>45396</v>
      </c>
      <c r="B23" s="1">
        <v>136340</v>
      </c>
      <c r="C23" s="1">
        <v>84449</v>
      </c>
      <c r="D23" s="1">
        <v>21273</v>
      </c>
      <c r="E23" s="1">
        <v>242062</v>
      </c>
      <c r="F23" t="b">
        <f>AND(COUNTIF(CO!A:A,A23)&gt;0,COUNTIF('NO2'!A:A,A23)&gt;0,COUNTIF('O3'!A:A,A23)&gt;0,COUNTIF('PM10'!A:A,A23)&gt;0,COUNTIF('PM2.5'!A:A,A23)&gt;0,COUNTIF('SO2'!A:A,A23)&gt;0)</f>
        <v>1</v>
      </c>
    </row>
    <row r="24" spans="1:6" x14ac:dyDescent="0.45">
      <c r="A24" s="2">
        <v>45397</v>
      </c>
      <c r="B24" s="1">
        <v>161911</v>
      </c>
      <c r="C24" s="1">
        <v>77932</v>
      </c>
      <c r="D24" s="1">
        <v>22331</v>
      </c>
      <c r="E24" s="1">
        <v>262174</v>
      </c>
      <c r="F24" t="b">
        <f>AND(COUNTIF(CO!A:A,A24)&gt;0,COUNTIF('NO2'!A:A,A24)&gt;0,COUNTIF('O3'!A:A,A24)&gt;0,COUNTIF('PM10'!A:A,A24)&gt;0,COUNTIF('PM2.5'!A:A,A24)&gt;0,COUNTIF('SO2'!A:A,A24)&gt;0)</f>
        <v>1</v>
      </c>
    </row>
    <row r="25" spans="1:6" x14ac:dyDescent="0.45">
      <c r="A25" s="2">
        <v>45398</v>
      </c>
      <c r="B25" s="1">
        <v>173055</v>
      </c>
      <c r="C25" s="1">
        <v>71573</v>
      </c>
      <c r="D25" s="1">
        <v>26832</v>
      </c>
      <c r="E25" s="1">
        <v>271460</v>
      </c>
      <c r="F25" t="b">
        <f>AND(COUNTIF(CO!A:A,A25)&gt;0,COUNTIF('NO2'!A:A,A25)&gt;0,COUNTIF('O3'!A:A,A25)&gt;0,COUNTIF('PM10'!A:A,A25)&gt;0,COUNTIF('PM2.5'!A:A,A25)&gt;0,COUNTIF('SO2'!A:A,A25)&gt;0)</f>
        <v>1</v>
      </c>
    </row>
    <row r="26" spans="1:6" x14ac:dyDescent="0.45">
      <c r="A26" s="2">
        <v>45399</v>
      </c>
      <c r="B26" s="1">
        <v>136714</v>
      </c>
      <c r="C26" s="1">
        <v>64963</v>
      </c>
      <c r="D26" s="1">
        <v>27918</v>
      </c>
      <c r="E26" s="1">
        <v>229595</v>
      </c>
      <c r="F26" t="b">
        <f>AND(COUNTIF(CO!A:A,A26)&gt;0,COUNTIF('NO2'!A:A,A26)&gt;0,COUNTIF('O3'!A:A,A26)&gt;0,COUNTIF('PM10'!A:A,A26)&gt;0,COUNTIF('PM2.5'!A:A,A26)&gt;0,COUNTIF('SO2'!A:A,A26)&gt;0)</f>
        <v>1</v>
      </c>
    </row>
    <row r="27" spans="1:6" x14ac:dyDescent="0.45">
      <c r="A27" s="2">
        <v>45400</v>
      </c>
      <c r="B27" s="1">
        <v>158986</v>
      </c>
      <c r="C27" s="1">
        <v>65700</v>
      </c>
      <c r="D27" s="1">
        <v>23944</v>
      </c>
      <c r="E27" s="1">
        <v>248630</v>
      </c>
      <c r="F27" t="b">
        <f>AND(COUNTIF(CO!A:A,A27)&gt;0,COUNTIF('NO2'!A:A,A27)&gt;0,COUNTIF('O3'!A:A,A27)&gt;0,COUNTIF('PM10'!A:A,A27)&gt;0,COUNTIF('PM2.5'!A:A,A27)&gt;0,COUNTIF('SO2'!A:A,A27)&gt;0)</f>
        <v>1</v>
      </c>
    </row>
    <row r="28" spans="1:6" x14ac:dyDescent="0.45">
      <c r="A28" s="2">
        <v>45401</v>
      </c>
      <c r="B28" s="1">
        <v>154378</v>
      </c>
      <c r="C28" s="1">
        <v>65911</v>
      </c>
      <c r="D28" s="1">
        <v>28749</v>
      </c>
      <c r="E28" s="1">
        <v>249038</v>
      </c>
      <c r="F28" t="b">
        <f>AND(COUNTIF(CO!A:A,A28)&gt;0,COUNTIF('NO2'!A:A,A28)&gt;0,COUNTIF('O3'!A:A,A28)&gt;0,COUNTIF('PM10'!A:A,A28)&gt;0,COUNTIF('PM2.5'!A:A,A28)&gt;0,COUNTIF('SO2'!A:A,A28)&gt;0)</f>
        <v>1</v>
      </c>
    </row>
    <row r="29" spans="1:6" x14ac:dyDescent="0.45">
      <c r="A29" s="2">
        <v>45402</v>
      </c>
      <c r="B29" s="1">
        <v>154000</v>
      </c>
      <c r="C29" s="1">
        <v>72316</v>
      </c>
      <c r="D29" s="1">
        <v>29668</v>
      </c>
      <c r="E29" s="1">
        <v>255984</v>
      </c>
      <c r="F29" t="b">
        <f>AND(COUNTIF(CO!A:A,A29)&gt;0,COUNTIF('NO2'!A:A,A29)&gt;0,COUNTIF('O3'!A:A,A29)&gt;0,COUNTIF('PM10'!A:A,A29)&gt;0,COUNTIF('PM2.5'!A:A,A29)&gt;0,COUNTIF('SO2'!A:A,A29)&gt;0)</f>
        <v>1</v>
      </c>
    </row>
    <row r="30" spans="1:6" x14ac:dyDescent="0.45">
      <c r="A30" s="2">
        <v>45403</v>
      </c>
      <c r="B30" s="1">
        <v>120505</v>
      </c>
      <c r="C30" s="1">
        <v>69223</v>
      </c>
      <c r="D30" s="1">
        <v>19673</v>
      </c>
      <c r="E30" s="1">
        <v>209401</v>
      </c>
      <c r="F30" t="b">
        <f>AND(COUNTIF(CO!A:A,A30)&gt;0,COUNTIF('NO2'!A:A,A30)&gt;0,COUNTIF('O3'!A:A,A30)&gt;0,COUNTIF('PM10'!A:A,A30)&gt;0,COUNTIF('PM2.5'!A:A,A30)&gt;0,COUNTIF('SO2'!A:A,A30)&gt;0)</f>
        <v>1</v>
      </c>
    </row>
    <row r="31" spans="1:6" x14ac:dyDescent="0.45">
      <c r="A31" s="2">
        <v>45404</v>
      </c>
      <c r="B31" s="1">
        <v>136653</v>
      </c>
      <c r="C31" s="1">
        <v>61731</v>
      </c>
      <c r="D31" s="1">
        <v>29105</v>
      </c>
      <c r="E31" s="1">
        <v>227489</v>
      </c>
      <c r="F31" t="b">
        <f>AND(COUNTIF(CO!A:A,A31)&gt;0,COUNTIF('NO2'!A:A,A31)&gt;0,COUNTIF('O3'!A:A,A31)&gt;0,COUNTIF('PM10'!A:A,A31)&gt;0,COUNTIF('PM2.5'!A:A,A31)&gt;0,COUNTIF('SO2'!A:A,A31)&gt;0)</f>
        <v>1</v>
      </c>
    </row>
    <row r="32" spans="1:6" x14ac:dyDescent="0.45">
      <c r="A32" s="2">
        <v>45405</v>
      </c>
      <c r="B32" s="1">
        <v>179314</v>
      </c>
      <c r="C32" s="1">
        <v>67401</v>
      </c>
      <c r="D32" s="1">
        <v>21034</v>
      </c>
      <c r="E32" s="1">
        <v>267749</v>
      </c>
      <c r="F32" t="b">
        <f>AND(COUNTIF(CO!A:A,A32)&gt;0,COUNTIF('NO2'!A:A,A32)&gt;0,COUNTIF('O3'!A:A,A32)&gt;0,COUNTIF('PM10'!A:A,A32)&gt;0,COUNTIF('PM2.5'!A:A,A32)&gt;0,COUNTIF('SO2'!A:A,A32)&gt;0)</f>
        <v>1</v>
      </c>
    </row>
    <row r="33" spans="1:6" x14ac:dyDescent="0.45">
      <c r="A33" s="2">
        <v>45406</v>
      </c>
      <c r="B33" s="1">
        <v>183023</v>
      </c>
      <c r="C33" s="1">
        <v>66596</v>
      </c>
      <c r="D33" s="1">
        <v>23649</v>
      </c>
      <c r="E33" s="1">
        <v>273268</v>
      </c>
      <c r="F33" t="b">
        <f>AND(COUNTIF(CO!A:A,A33)&gt;0,COUNTIF('NO2'!A:A,A33)&gt;0,COUNTIF('O3'!A:A,A33)&gt;0,COUNTIF('PM10'!A:A,A33)&gt;0,COUNTIF('PM2.5'!A:A,A33)&gt;0,COUNTIF('SO2'!A:A,A33)&gt;0)</f>
        <v>1</v>
      </c>
    </row>
    <row r="34" spans="1:6" x14ac:dyDescent="0.45">
      <c r="A34" s="2">
        <v>45407</v>
      </c>
      <c r="B34" s="1">
        <v>180926</v>
      </c>
      <c r="C34" s="1">
        <v>66500</v>
      </c>
      <c r="D34" s="1">
        <v>22820</v>
      </c>
      <c r="E34" s="1">
        <v>270246</v>
      </c>
      <c r="F34" t="b">
        <f>AND(COUNTIF(CO!A:A,A34)&gt;0,COUNTIF('NO2'!A:A,A34)&gt;0,COUNTIF('O3'!A:A,A34)&gt;0,COUNTIF('PM10'!A:A,A34)&gt;0,COUNTIF('PM2.5'!A:A,A34)&gt;0,COUNTIF('SO2'!A:A,A34)&gt;0)</f>
        <v>1</v>
      </c>
    </row>
    <row r="35" spans="1:6" x14ac:dyDescent="0.45">
      <c r="A35" s="2">
        <v>45408</v>
      </c>
      <c r="B35" s="1">
        <v>174082</v>
      </c>
      <c r="C35" s="1">
        <v>63860</v>
      </c>
      <c r="D35" s="1">
        <v>29455</v>
      </c>
      <c r="E35" s="1">
        <v>267397</v>
      </c>
      <c r="F35" t="b">
        <f>AND(COUNTIF(CO!A:A,A35)&gt;0,COUNTIF('NO2'!A:A,A35)&gt;0,COUNTIF('O3'!A:A,A35)&gt;0,COUNTIF('PM10'!A:A,A35)&gt;0,COUNTIF('PM2.5'!A:A,A35)&gt;0,COUNTIF('SO2'!A:A,A35)&gt;0)</f>
        <v>1</v>
      </c>
    </row>
    <row r="36" spans="1:6" x14ac:dyDescent="0.45">
      <c r="A36" s="2">
        <v>45409</v>
      </c>
      <c r="B36" s="1">
        <v>141930</v>
      </c>
      <c r="C36" s="1">
        <v>65369</v>
      </c>
      <c r="D36" s="1">
        <v>30755</v>
      </c>
      <c r="E36" s="1">
        <v>238054</v>
      </c>
      <c r="F36" t="b">
        <f>AND(COUNTIF(CO!A:A,A36)&gt;0,COUNTIF('NO2'!A:A,A36)&gt;0,COUNTIF('O3'!A:A,A36)&gt;0,COUNTIF('PM10'!A:A,A36)&gt;0,COUNTIF('PM2.5'!A:A,A36)&gt;0,COUNTIF('SO2'!A:A,A36)&gt;0)</f>
        <v>1</v>
      </c>
    </row>
    <row r="37" spans="1:6" x14ac:dyDescent="0.45">
      <c r="A37" s="2">
        <v>45410</v>
      </c>
      <c r="B37" s="1">
        <v>132903</v>
      </c>
      <c r="C37" s="1">
        <v>67298</v>
      </c>
      <c r="D37" s="1">
        <v>26758</v>
      </c>
      <c r="E37" s="1">
        <v>226959</v>
      </c>
      <c r="F37" t="b">
        <f>AND(COUNTIF(CO!A:A,A37)&gt;0,COUNTIF('NO2'!A:A,A37)&gt;0,COUNTIF('O3'!A:A,A37)&gt;0,COUNTIF('PM10'!A:A,A37)&gt;0,COUNTIF('PM2.5'!A:A,A37)&gt;0,COUNTIF('SO2'!A:A,A37)&gt;0)</f>
        <v>1</v>
      </c>
    </row>
    <row r="38" spans="1:6" x14ac:dyDescent="0.45">
      <c r="A38" s="2">
        <v>45411</v>
      </c>
      <c r="B38" s="1">
        <v>171608</v>
      </c>
      <c r="C38" s="1">
        <v>63485</v>
      </c>
      <c r="D38" s="1">
        <v>29197</v>
      </c>
      <c r="E38" s="1">
        <v>264290</v>
      </c>
      <c r="F38" t="b">
        <f>AND(COUNTIF(CO!A:A,A38)&gt;0,COUNTIF('NO2'!A:A,A38)&gt;0,COUNTIF('O3'!A:A,A38)&gt;0,COUNTIF('PM10'!A:A,A38)&gt;0,COUNTIF('PM2.5'!A:A,A38)&gt;0,COUNTIF('SO2'!A:A,A38)&gt;0)</f>
        <v>1</v>
      </c>
    </row>
    <row r="39" spans="1:6" x14ac:dyDescent="0.45">
      <c r="A39" s="2">
        <v>45412</v>
      </c>
      <c r="B39" s="1">
        <v>189591</v>
      </c>
      <c r="C39" s="1">
        <v>67009</v>
      </c>
      <c r="D39" s="1">
        <v>26866</v>
      </c>
      <c r="E39" s="1">
        <v>283466</v>
      </c>
      <c r="F39" t="b">
        <f>AND(COUNTIF(CO!A:A,A39)&gt;0,COUNTIF('NO2'!A:A,A39)&gt;0,COUNTIF('O3'!A:A,A39)&gt;0,COUNTIF('PM10'!A:A,A39)&gt;0,COUNTIF('PM2.5'!A:A,A39)&gt;0,COUNTIF('SO2'!A:A,A39)&gt;0)</f>
        <v>1</v>
      </c>
    </row>
    <row r="40" spans="1:6" x14ac:dyDescent="0.45">
      <c r="A40" s="2">
        <v>45413</v>
      </c>
      <c r="B40" s="1">
        <v>147924</v>
      </c>
      <c r="C40" s="1">
        <v>63815</v>
      </c>
      <c r="D40" s="1">
        <v>22068</v>
      </c>
      <c r="E40" s="1">
        <v>233807</v>
      </c>
      <c r="F40" t="b">
        <f>AND(COUNTIF(CO!A:A,A40)&gt;0,COUNTIF('NO2'!A:A,A40)&gt;0,COUNTIF('O3'!A:A,A40)&gt;0,COUNTIF('PM10'!A:A,A40)&gt;0,COUNTIF('PM2.5'!A:A,A40)&gt;0,COUNTIF('SO2'!A:A,A40)&gt;0)</f>
        <v>1</v>
      </c>
    </row>
    <row r="41" spans="1:6" x14ac:dyDescent="0.45">
      <c r="A41" s="2">
        <v>45414</v>
      </c>
      <c r="B41" s="1">
        <v>173903</v>
      </c>
      <c r="C41" s="1">
        <v>64973</v>
      </c>
      <c r="D41" s="1">
        <v>28906</v>
      </c>
      <c r="E41" s="1">
        <v>267782</v>
      </c>
      <c r="F41" t="b">
        <f>AND(COUNTIF(CO!A:A,A41)&gt;0,COUNTIF('NO2'!A:A,A41)&gt;0,COUNTIF('O3'!A:A,A41)&gt;0,COUNTIF('PM10'!A:A,A41)&gt;0,COUNTIF('PM2.5'!A:A,A41)&gt;0,COUNTIF('SO2'!A:A,A41)&gt;0)</f>
        <v>1</v>
      </c>
    </row>
    <row r="42" spans="1:6" x14ac:dyDescent="0.45">
      <c r="A42" s="2">
        <v>45415</v>
      </c>
      <c r="B42" s="1">
        <v>156603</v>
      </c>
      <c r="C42" s="1">
        <v>62545</v>
      </c>
      <c r="D42" s="1">
        <v>29120</v>
      </c>
      <c r="E42" s="1">
        <v>248268</v>
      </c>
      <c r="F42" t="b">
        <f>AND(COUNTIF(CO!A:A,A42)&gt;0,COUNTIF('NO2'!A:A,A42)&gt;0,COUNTIF('O3'!A:A,A42)&gt;0,COUNTIF('PM10'!A:A,A42)&gt;0,COUNTIF('PM2.5'!A:A,A42)&gt;0,COUNTIF('SO2'!A:A,A42)&gt;0)</f>
        <v>1</v>
      </c>
    </row>
    <row r="43" spans="1:6" x14ac:dyDescent="0.45">
      <c r="A43" s="2">
        <v>45416</v>
      </c>
      <c r="B43" s="1">
        <v>142106</v>
      </c>
      <c r="C43" s="1">
        <v>65640</v>
      </c>
      <c r="D43" s="1">
        <v>31840</v>
      </c>
      <c r="E43" s="1">
        <v>239586</v>
      </c>
      <c r="F43" t="b">
        <f>AND(COUNTIF(CO!A:A,A43)&gt;0,COUNTIF('NO2'!A:A,A43)&gt;0,COUNTIF('O3'!A:A,A43)&gt;0,COUNTIF('PM10'!A:A,A43)&gt;0,COUNTIF('PM2.5'!A:A,A43)&gt;0,COUNTIF('SO2'!A:A,A43)&gt;0)</f>
        <v>1</v>
      </c>
    </row>
    <row r="44" spans="1:6" x14ac:dyDescent="0.45">
      <c r="A44" s="2">
        <v>45417</v>
      </c>
      <c r="B44" s="1">
        <v>153475</v>
      </c>
      <c r="C44" s="1">
        <v>66384</v>
      </c>
      <c r="D44" s="1">
        <v>25323</v>
      </c>
      <c r="E44" s="1">
        <v>245182</v>
      </c>
      <c r="F44" t="b">
        <f>AND(COUNTIF(CO!A:A,A44)&gt;0,COUNTIF('NO2'!A:A,A44)&gt;0,COUNTIF('O3'!A:A,A44)&gt;0,COUNTIF('PM10'!A:A,A44)&gt;0,COUNTIF('PM2.5'!A:A,A44)&gt;0,COUNTIF('SO2'!A:A,A44)&gt;0)</f>
        <v>1</v>
      </c>
    </row>
    <row r="45" spans="1:6" x14ac:dyDescent="0.45">
      <c r="A45" s="2">
        <v>45418</v>
      </c>
      <c r="B45" s="1">
        <v>127665</v>
      </c>
      <c r="C45" s="1">
        <v>56736</v>
      </c>
      <c r="D45" s="1">
        <v>34423</v>
      </c>
      <c r="E45" s="1">
        <v>218824</v>
      </c>
      <c r="F45" t="b">
        <f>AND(COUNTIF(CO!A:A,A45)&gt;0,COUNTIF('NO2'!A:A,A45)&gt;0,COUNTIF('O3'!A:A,A45)&gt;0,COUNTIF('PM10'!A:A,A45)&gt;0,COUNTIF('PM2.5'!A:A,A45)&gt;0,COUNTIF('SO2'!A:A,A45)&gt;0)</f>
        <v>1</v>
      </c>
    </row>
    <row r="46" spans="1:6" x14ac:dyDescent="0.45">
      <c r="A46" s="2">
        <v>45419</v>
      </c>
      <c r="B46" s="1">
        <v>141241</v>
      </c>
      <c r="C46" s="1">
        <v>58537</v>
      </c>
      <c r="D46" s="1">
        <v>31969</v>
      </c>
      <c r="E46" s="1">
        <v>231747</v>
      </c>
      <c r="F46" t="b">
        <f>AND(COUNTIF(CO!A:A,A46)&gt;0,COUNTIF('NO2'!A:A,A46)&gt;0,COUNTIF('O3'!A:A,A46)&gt;0,COUNTIF('PM10'!A:A,A46)&gt;0,COUNTIF('PM2.5'!A:A,A46)&gt;0,COUNTIF('SO2'!A:A,A46)&gt;0)</f>
        <v>1</v>
      </c>
    </row>
    <row r="47" spans="1:6" x14ac:dyDescent="0.45">
      <c r="A47" s="2">
        <v>45420</v>
      </c>
      <c r="B47" s="1">
        <v>155464</v>
      </c>
      <c r="C47" s="1">
        <v>65768</v>
      </c>
      <c r="D47" s="1">
        <v>29695</v>
      </c>
      <c r="E47" s="1">
        <v>250927</v>
      </c>
      <c r="F47" t="b">
        <f>AND(COUNTIF(CO!A:A,A47)&gt;0,COUNTIF('NO2'!A:A,A47)&gt;0,COUNTIF('O3'!A:A,A47)&gt;0,COUNTIF('PM10'!A:A,A47)&gt;0,COUNTIF('PM2.5'!A:A,A47)&gt;0,COUNTIF('SO2'!A:A,A47)&gt;0)</f>
        <v>1</v>
      </c>
    </row>
    <row r="48" spans="1:6" x14ac:dyDescent="0.45">
      <c r="A48" s="2">
        <v>45421</v>
      </c>
      <c r="B48" s="1">
        <v>148305</v>
      </c>
      <c r="C48" s="1">
        <v>67511</v>
      </c>
      <c r="D48" s="1">
        <v>25664</v>
      </c>
      <c r="E48" s="1">
        <v>241480</v>
      </c>
      <c r="F48" t="b">
        <f>AND(COUNTIF(CO!A:A,A48)&gt;0,COUNTIF('NO2'!A:A,A48)&gt;0,COUNTIF('O3'!A:A,A48)&gt;0,COUNTIF('PM10'!A:A,A48)&gt;0,COUNTIF('PM2.5'!A:A,A48)&gt;0,COUNTIF('SO2'!A:A,A48)&gt;0)</f>
        <v>1</v>
      </c>
    </row>
    <row r="49" spans="1:6" x14ac:dyDescent="0.45">
      <c r="A49" s="2">
        <v>45422</v>
      </c>
      <c r="B49" s="1">
        <v>154327</v>
      </c>
      <c r="C49" s="1">
        <v>63373</v>
      </c>
      <c r="D49" s="1">
        <v>27740</v>
      </c>
      <c r="E49" s="1">
        <v>245440</v>
      </c>
      <c r="F49" t="b">
        <f>AND(COUNTIF(CO!A:A,A49)&gt;0,COUNTIF('NO2'!A:A,A49)&gt;0,COUNTIF('O3'!A:A,A49)&gt;0,COUNTIF('PM10'!A:A,A49)&gt;0,COUNTIF('PM2.5'!A:A,A49)&gt;0,COUNTIF('SO2'!A:A,A49)&gt;0)</f>
        <v>1</v>
      </c>
    </row>
    <row r="50" spans="1:6" x14ac:dyDescent="0.45">
      <c r="A50" s="2">
        <v>45423</v>
      </c>
      <c r="B50" s="1">
        <v>163824</v>
      </c>
      <c r="C50" s="1">
        <v>66076</v>
      </c>
      <c r="D50" s="1">
        <v>27943</v>
      </c>
      <c r="E50" s="1">
        <v>257843</v>
      </c>
      <c r="F50" t="b">
        <f>AND(COUNTIF(CO!A:A,A50)&gt;0,COUNTIF('NO2'!A:A,A50)&gt;0,COUNTIF('O3'!A:A,A50)&gt;0,COUNTIF('PM10'!A:A,A50)&gt;0,COUNTIF('PM2.5'!A:A,A50)&gt;0,COUNTIF('SO2'!A:A,A50)&gt;0)</f>
        <v>1</v>
      </c>
    </row>
    <row r="51" spans="1:6" x14ac:dyDescent="0.45">
      <c r="A51" s="2">
        <v>45424</v>
      </c>
      <c r="B51" s="1">
        <v>143482</v>
      </c>
      <c r="C51" s="1">
        <v>59366</v>
      </c>
      <c r="D51" s="1">
        <v>26177</v>
      </c>
      <c r="E51" s="1">
        <v>229025</v>
      </c>
      <c r="F51" t="b">
        <f>AND(COUNTIF(CO!A:A,A51)&gt;0,COUNTIF('NO2'!A:A,A51)&gt;0,COUNTIF('O3'!A:A,A51)&gt;0,COUNTIF('PM10'!A:A,A51)&gt;0,COUNTIF('PM2.5'!A:A,A51)&gt;0,COUNTIF('SO2'!A:A,A51)&gt;0)</f>
        <v>1</v>
      </c>
    </row>
    <row r="52" spans="1:6" x14ac:dyDescent="0.45">
      <c r="A52" s="2">
        <v>45425</v>
      </c>
      <c r="B52" s="1">
        <v>176195</v>
      </c>
      <c r="C52" s="1">
        <v>59139</v>
      </c>
      <c r="D52" s="1">
        <v>31892</v>
      </c>
      <c r="E52" s="1">
        <v>267226</v>
      </c>
      <c r="F52" t="b">
        <f>AND(COUNTIF(CO!A:A,A52)&gt;0,COUNTIF('NO2'!A:A,A52)&gt;0,COUNTIF('O3'!A:A,A52)&gt;0,COUNTIF('PM10'!A:A,A52)&gt;0,COUNTIF('PM2.5'!A:A,A52)&gt;0,COUNTIF('SO2'!A:A,A52)&gt;0)</f>
        <v>1</v>
      </c>
    </row>
    <row r="53" spans="1:6" x14ac:dyDescent="0.45">
      <c r="A53" s="2">
        <v>45426</v>
      </c>
      <c r="B53" s="1">
        <v>166263</v>
      </c>
      <c r="C53" s="1">
        <v>59406</v>
      </c>
      <c r="D53" s="1">
        <v>28431</v>
      </c>
      <c r="E53" s="1">
        <v>254100</v>
      </c>
      <c r="F53" t="b">
        <f>AND(COUNTIF(CO!A:A,A53)&gt;0,COUNTIF('NO2'!A:A,A53)&gt;0,COUNTIF('O3'!A:A,A53)&gt;0,COUNTIF('PM10'!A:A,A53)&gt;0,COUNTIF('PM2.5'!A:A,A53)&gt;0,COUNTIF('SO2'!A:A,A53)&gt;0)</f>
        <v>1</v>
      </c>
    </row>
    <row r="54" spans="1:6" x14ac:dyDescent="0.45">
      <c r="A54" s="2">
        <v>45427</v>
      </c>
      <c r="B54" s="1">
        <v>186561</v>
      </c>
      <c r="C54" s="1">
        <v>61296</v>
      </c>
      <c r="D54" s="1">
        <v>27906</v>
      </c>
      <c r="E54" s="1">
        <v>275763</v>
      </c>
      <c r="F54" t="b">
        <f>AND(COUNTIF(CO!A:A,A54)&gt;0,COUNTIF('NO2'!A:A,A54)&gt;0,COUNTIF('O3'!A:A,A54)&gt;0,COUNTIF('PM10'!A:A,A54)&gt;0,COUNTIF('PM2.5'!A:A,A54)&gt;0,COUNTIF('SO2'!A:A,A54)&gt;0)</f>
        <v>1</v>
      </c>
    </row>
    <row r="55" spans="1:6" x14ac:dyDescent="0.45">
      <c r="A55" s="2">
        <v>45428</v>
      </c>
      <c r="B55" s="1">
        <v>170709</v>
      </c>
      <c r="C55" s="1">
        <v>59572</v>
      </c>
      <c r="D55" s="1">
        <v>28387</v>
      </c>
      <c r="E55" s="1">
        <v>258668</v>
      </c>
      <c r="F55" t="b">
        <f>AND(COUNTIF(CO!A:A,A55)&gt;0,COUNTIF('NO2'!A:A,A55)&gt;0,COUNTIF('O3'!A:A,A55)&gt;0,COUNTIF('PM10'!A:A,A55)&gt;0,COUNTIF('PM2.5'!A:A,A55)&gt;0,COUNTIF('SO2'!A:A,A55)&gt;0)</f>
        <v>1</v>
      </c>
    </row>
    <row r="56" spans="1:6" x14ac:dyDescent="0.45">
      <c r="A56" s="2">
        <v>45429</v>
      </c>
      <c r="B56" s="1">
        <v>164514</v>
      </c>
      <c r="C56" s="1">
        <v>56869</v>
      </c>
      <c r="D56" s="1">
        <v>27898</v>
      </c>
      <c r="E56" s="1">
        <v>249281</v>
      </c>
      <c r="F56" t="b">
        <f>AND(COUNTIF(CO!A:A,A56)&gt;0,COUNTIF('NO2'!A:A,A56)&gt;0,COUNTIF('O3'!A:A,A56)&gt;0,COUNTIF('PM10'!A:A,A56)&gt;0,COUNTIF('PM2.5'!A:A,A56)&gt;0,COUNTIF('SO2'!A:A,A56)&gt;0)</f>
        <v>1</v>
      </c>
    </row>
    <row r="57" spans="1:6" x14ac:dyDescent="0.45">
      <c r="A57" s="2">
        <v>45430</v>
      </c>
      <c r="B57" s="1">
        <v>168598</v>
      </c>
      <c r="C57" s="1">
        <v>59768</v>
      </c>
      <c r="D57" s="1">
        <v>28485</v>
      </c>
      <c r="E57" s="1">
        <v>256851</v>
      </c>
      <c r="F57" t="b">
        <f>AND(COUNTIF(CO!A:A,A57)&gt;0,COUNTIF('NO2'!A:A,A57)&gt;0,COUNTIF('O3'!A:A,A57)&gt;0,COUNTIF('PM10'!A:A,A57)&gt;0,COUNTIF('PM2.5'!A:A,A57)&gt;0,COUNTIF('SO2'!A:A,A57)&gt;0)</f>
        <v>1</v>
      </c>
    </row>
    <row r="58" spans="1:6" x14ac:dyDescent="0.45">
      <c r="A58" s="2">
        <v>45431</v>
      </c>
      <c r="B58" s="1">
        <v>136966</v>
      </c>
      <c r="C58" s="1">
        <v>56181</v>
      </c>
      <c r="D58" s="1">
        <v>23002</v>
      </c>
      <c r="E58" s="1">
        <v>216149</v>
      </c>
      <c r="F58" t="b">
        <f>AND(COUNTIF(CO!A:A,A58)&gt;0,COUNTIF('NO2'!A:A,A58)&gt;0,COUNTIF('O3'!A:A,A58)&gt;0,COUNTIF('PM10'!A:A,A58)&gt;0,COUNTIF('PM2.5'!A:A,A58)&gt;0,COUNTIF('SO2'!A:A,A58)&gt;0)</f>
        <v>1</v>
      </c>
    </row>
    <row r="59" spans="1:6" x14ac:dyDescent="0.45">
      <c r="A59" s="2">
        <v>45432</v>
      </c>
      <c r="B59" s="1">
        <v>169365</v>
      </c>
      <c r="C59" s="1">
        <v>56190</v>
      </c>
      <c r="D59" s="1">
        <v>27075</v>
      </c>
      <c r="E59" s="1">
        <v>252630</v>
      </c>
      <c r="F59" t="b">
        <f>AND(COUNTIF(CO!A:A,A59)&gt;0,COUNTIF('NO2'!A:A,A59)&gt;0,COUNTIF('O3'!A:A,A59)&gt;0,COUNTIF('PM10'!A:A,A59)&gt;0,COUNTIF('PM2.5'!A:A,A59)&gt;0,COUNTIF('SO2'!A:A,A59)&gt;0)</f>
        <v>1</v>
      </c>
    </row>
    <row r="60" spans="1:6" x14ac:dyDescent="0.45">
      <c r="A60" s="2">
        <v>45433</v>
      </c>
      <c r="B60" s="1">
        <v>172008</v>
      </c>
      <c r="C60" s="1">
        <v>54816</v>
      </c>
      <c r="D60" s="1">
        <v>24438</v>
      </c>
      <c r="E60" s="1">
        <v>251262</v>
      </c>
      <c r="F60" t="b">
        <f>AND(COUNTIF(CO!A:A,A60)&gt;0,COUNTIF('NO2'!A:A,A60)&gt;0,COUNTIF('O3'!A:A,A60)&gt;0,COUNTIF('PM10'!A:A,A60)&gt;0,COUNTIF('PM2.5'!A:A,A60)&gt;0,COUNTIF('SO2'!A:A,A60)&gt;0)</f>
        <v>1</v>
      </c>
    </row>
    <row r="61" spans="1:6" x14ac:dyDescent="0.45">
      <c r="A61" s="2">
        <v>45434</v>
      </c>
      <c r="B61" s="1">
        <v>179411</v>
      </c>
      <c r="C61" s="1">
        <v>59182</v>
      </c>
      <c r="D61" s="1">
        <v>24033</v>
      </c>
      <c r="E61" s="1">
        <v>262626</v>
      </c>
      <c r="F61" t="b">
        <f>AND(COUNTIF(CO!A:A,A61)&gt;0,COUNTIF('NO2'!A:A,A61)&gt;0,COUNTIF('O3'!A:A,A61)&gt;0,COUNTIF('PM10'!A:A,A61)&gt;0,COUNTIF('PM2.5'!A:A,A61)&gt;0,COUNTIF('SO2'!A:A,A61)&gt;0)</f>
        <v>1</v>
      </c>
    </row>
    <row r="62" spans="1:6" x14ac:dyDescent="0.45">
      <c r="A62" s="2">
        <v>45435</v>
      </c>
      <c r="B62" s="1">
        <v>135507</v>
      </c>
      <c r="C62" s="1">
        <v>57282</v>
      </c>
      <c r="D62" s="1">
        <v>21974</v>
      </c>
      <c r="E62" s="1">
        <v>214763</v>
      </c>
      <c r="F62" t="b">
        <f>AND(COUNTIF(CO!A:A,A62)&gt;0,COUNTIF('NO2'!A:A,A62)&gt;0,COUNTIF('O3'!A:A,A62)&gt;0,COUNTIF('PM10'!A:A,A62)&gt;0,COUNTIF('PM2.5'!A:A,A62)&gt;0,COUNTIF('SO2'!A:A,A62)&gt;0)</f>
        <v>1</v>
      </c>
    </row>
    <row r="63" spans="1:6" x14ac:dyDescent="0.45">
      <c r="A63" s="2">
        <v>45446</v>
      </c>
      <c r="B63" s="1">
        <v>188592</v>
      </c>
      <c r="C63" s="1">
        <v>51488</v>
      </c>
      <c r="D63" s="1">
        <v>26633</v>
      </c>
      <c r="E63" s="1">
        <v>266713</v>
      </c>
      <c r="F63" t="b">
        <f>AND(COUNTIF(CO!A:A,A63)&gt;0,COUNTIF('NO2'!A:A,A63)&gt;0,COUNTIF('O3'!A:A,A63)&gt;0,COUNTIF('PM10'!A:A,A63)&gt;0,COUNTIF('PM2.5'!A:A,A63)&gt;0,COUNTIF('SO2'!A:A,A63)&gt;0)</f>
        <v>1</v>
      </c>
    </row>
    <row r="64" spans="1:6" x14ac:dyDescent="0.45">
      <c r="A64" s="2">
        <v>45447</v>
      </c>
      <c r="B64" s="1">
        <v>192581</v>
      </c>
      <c r="C64" s="1">
        <v>52647</v>
      </c>
      <c r="D64" s="1">
        <v>27393</v>
      </c>
      <c r="E64" s="1">
        <v>272621</v>
      </c>
      <c r="F64" t="b">
        <f>AND(COUNTIF(CO!A:A,A64)&gt;0,COUNTIF('NO2'!A:A,A64)&gt;0,COUNTIF('O3'!A:A,A64)&gt;0,COUNTIF('PM10'!A:A,A64)&gt;0,COUNTIF('PM2.5'!A:A,A64)&gt;0,COUNTIF('SO2'!A:A,A64)&gt;0)</f>
        <v>1</v>
      </c>
    </row>
    <row r="65" spans="1:6" x14ac:dyDescent="0.45">
      <c r="A65" s="2">
        <v>45448</v>
      </c>
      <c r="B65" s="1">
        <v>177285</v>
      </c>
      <c r="C65" s="1">
        <v>49822</v>
      </c>
      <c r="D65" s="1">
        <v>25697</v>
      </c>
      <c r="E65" s="1">
        <v>252804</v>
      </c>
      <c r="F65" t="b">
        <f>AND(COUNTIF(CO!A:A,A65)&gt;0,COUNTIF('NO2'!A:A,A65)&gt;0,COUNTIF('O3'!A:A,A65)&gt;0,COUNTIF('PM10'!A:A,A65)&gt;0,COUNTIF('PM2.5'!A:A,A65)&gt;0,COUNTIF('SO2'!A:A,A65)&gt;0)</f>
        <v>1</v>
      </c>
    </row>
    <row r="66" spans="1:6" x14ac:dyDescent="0.45">
      <c r="A66" s="2">
        <v>45449</v>
      </c>
      <c r="B66" s="1">
        <v>159798</v>
      </c>
      <c r="C66" s="1">
        <v>55280</v>
      </c>
      <c r="D66" s="1">
        <v>26677</v>
      </c>
      <c r="E66" s="1">
        <v>241755</v>
      </c>
      <c r="F66" t="b">
        <f>AND(COUNTIF(CO!A:A,A66)&gt;0,COUNTIF('NO2'!A:A,A66)&gt;0,COUNTIF('O3'!A:A,A66)&gt;0,COUNTIF('PM10'!A:A,A66)&gt;0,COUNTIF('PM2.5'!A:A,A66)&gt;0,COUNTIF('SO2'!A:A,A66)&gt;0)</f>
        <v>1</v>
      </c>
    </row>
    <row r="67" spans="1:6" x14ac:dyDescent="0.45">
      <c r="A67" s="2">
        <v>45450</v>
      </c>
      <c r="B67" s="1">
        <v>179364</v>
      </c>
      <c r="C67" s="1">
        <v>61084</v>
      </c>
      <c r="D67" s="1">
        <v>24879</v>
      </c>
      <c r="E67" s="1">
        <v>265327</v>
      </c>
      <c r="F67" t="b">
        <f>AND(COUNTIF(CO!A:A,A67)&gt;0,COUNTIF('NO2'!A:A,A67)&gt;0,COUNTIF('O3'!A:A,A67)&gt;0,COUNTIF('PM10'!A:A,A67)&gt;0,COUNTIF('PM2.5'!A:A,A67)&gt;0,COUNTIF('SO2'!A:A,A67)&gt;0)</f>
        <v>1</v>
      </c>
    </row>
    <row r="68" spans="1:6" x14ac:dyDescent="0.45">
      <c r="A68" s="2">
        <v>45451</v>
      </c>
      <c r="B68" s="1">
        <v>177516</v>
      </c>
      <c r="C68" s="1">
        <v>61357</v>
      </c>
      <c r="D68" s="1">
        <v>24874</v>
      </c>
      <c r="E68" s="1">
        <v>263747</v>
      </c>
      <c r="F68" t="b">
        <f>AND(COUNTIF(CO!A:A,A68)&gt;0,COUNTIF('NO2'!A:A,A68)&gt;0,COUNTIF('O3'!A:A,A68)&gt;0,COUNTIF('PM10'!A:A,A68)&gt;0,COUNTIF('PM2.5'!A:A,A68)&gt;0,COUNTIF('SO2'!A:A,A68)&gt;0)</f>
        <v>1</v>
      </c>
    </row>
    <row r="69" spans="1:6" x14ac:dyDescent="0.45">
      <c r="A69" s="2">
        <v>45452</v>
      </c>
      <c r="B69" s="1">
        <v>163439</v>
      </c>
      <c r="C69" s="1">
        <v>60367</v>
      </c>
      <c r="D69" s="1">
        <v>22954</v>
      </c>
      <c r="E69" s="1">
        <v>246760</v>
      </c>
      <c r="F69" t="b">
        <f>AND(COUNTIF(CO!A:A,A69)&gt;0,COUNTIF('NO2'!A:A,A69)&gt;0,COUNTIF('O3'!A:A,A69)&gt;0,COUNTIF('PM10'!A:A,A69)&gt;0,COUNTIF('PM2.5'!A:A,A69)&gt;0,COUNTIF('SO2'!A:A,A69)&gt;0)</f>
        <v>1</v>
      </c>
    </row>
    <row r="70" spans="1:6" x14ac:dyDescent="0.45">
      <c r="A70" s="2">
        <v>45453</v>
      </c>
      <c r="B70" s="1">
        <v>173581</v>
      </c>
      <c r="C70" s="1">
        <v>56777</v>
      </c>
      <c r="D70" s="1">
        <v>24245</v>
      </c>
      <c r="E70" s="1">
        <v>254603</v>
      </c>
      <c r="F70" t="b">
        <f>AND(COUNTIF(CO!A:A,A70)&gt;0,COUNTIF('NO2'!A:A,A70)&gt;0,COUNTIF('O3'!A:A,A70)&gt;0,COUNTIF('PM10'!A:A,A70)&gt;0,COUNTIF('PM2.5'!A:A,A70)&gt;0,COUNTIF('SO2'!A:A,A70)&gt;0)</f>
        <v>1</v>
      </c>
    </row>
    <row r="71" spans="1:6" x14ac:dyDescent="0.45">
      <c r="A71" s="2">
        <v>45454</v>
      </c>
      <c r="B71" s="1">
        <v>166845</v>
      </c>
      <c r="C71" s="1">
        <v>55248</v>
      </c>
      <c r="D71" s="1">
        <v>26737</v>
      </c>
      <c r="E71" s="1">
        <v>248830</v>
      </c>
      <c r="F71" t="b">
        <f>AND(COUNTIF(CO!A:A,A71)&gt;0,COUNTIF('NO2'!A:A,A71)&gt;0,COUNTIF('O3'!A:A,A71)&gt;0,COUNTIF('PM10'!A:A,A71)&gt;0,COUNTIF('PM2.5'!A:A,A71)&gt;0,COUNTIF('SO2'!A:A,A71)&gt;0)</f>
        <v>1</v>
      </c>
    </row>
    <row r="72" spans="1:6" x14ac:dyDescent="0.45">
      <c r="A72" s="2">
        <v>45455</v>
      </c>
      <c r="B72" s="1">
        <v>157854</v>
      </c>
      <c r="C72" s="1">
        <v>58180</v>
      </c>
      <c r="D72" s="1">
        <v>23700</v>
      </c>
      <c r="E72" s="1">
        <v>239734</v>
      </c>
      <c r="F72" t="b">
        <f>AND(COUNTIF(CO!A:A,A72)&gt;0,COUNTIF('NO2'!A:A,A72)&gt;0,COUNTIF('O3'!A:A,A72)&gt;0,COUNTIF('PM10'!A:A,A72)&gt;0,COUNTIF('PM2.5'!A:A,A72)&gt;0,COUNTIF('SO2'!A:A,A72)&gt;0)</f>
        <v>1</v>
      </c>
    </row>
    <row r="73" spans="1:6" x14ac:dyDescent="0.45">
      <c r="A73" s="2">
        <v>45456</v>
      </c>
      <c r="B73" s="1">
        <v>179582</v>
      </c>
      <c r="C73" s="1">
        <v>60751</v>
      </c>
      <c r="D73" s="1">
        <v>26835</v>
      </c>
      <c r="E73" s="1">
        <v>267168</v>
      </c>
      <c r="F73" t="b">
        <f>AND(COUNTIF(CO!A:A,A73)&gt;0,COUNTIF('NO2'!A:A,A73)&gt;0,COUNTIF('O3'!A:A,A73)&gt;0,COUNTIF('PM10'!A:A,A73)&gt;0,COUNTIF('PM2.5'!A:A,A73)&gt;0,COUNTIF('SO2'!A:A,A73)&gt;0)</f>
        <v>1</v>
      </c>
    </row>
    <row r="74" spans="1:6" x14ac:dyDescent="0.45">
      <c r="A74" s="2">
        <v>45457</v>
      </c>
      <c r="B74" s="1">
        <v>182849</v>
      </c>
      <c r="C74" s="1">
        <v>64237</v>
      </c>
      <c r="D74" s="1">
        <v>27264</v>
      </c>
      <c r="E74" s="1">
        <v>274350</v>
      </c>
      <c r="F74" t="b">
        <f>AND(COUNTIF(CO!A:A,A74)&gt;0,COUNTIF('NO2'!A:A,A74)&gt;0,COUNTIF('O3'!A:A,A74)&gt;0,COUNTIF('PM10'!A:A,A74)&gt;0,COUNTIF('PM2.5'!A:A,A74)&gt;0,COUNTIF('SO2'!A:A,A74)&gt;0)</f>
        <v>1</v>
      </c>
    </row>
    <row r="75" spans="1:6" x14ac:dyDescent="0.45">
      <c r="A75" s="2">
        <v>45458</v>
      </c>
      <c r="B75" s="1">
        <v>180566</v>
      </c>
      <c r="C75" s="1">
        <v>71152</v>
      </c>
      <c r="D75" s="1">
        <v>23817</v>
      </c>
      <c r="E75" s="1">
        <v>275535</v>
      </c>
      <c r="F75" t="b">
        <f>AND(COUNTIF(CO!A:A,A75)&gt;0,COUNTIF('NO2'!A:A,A75)&gt;0,COUNTIF('O3'!A:A,A75)&gt;0,COUNTIF('PM10'!A:A,A75)&gt;0,COUNTIF('PM2.5'!A:A,A75)&gt;0,COUNTIF('SO2'!A:A,A75)&gt;0)</f>
        <v>1</v>
      </c>
    </row>
    <row r="76" spans="1:6" x14ac:dyDescent="0.45">
      <c r="A76" s="2">
        <v>45459</v>
      </c>
      <c r="B76" s="1">
        <v>150362</v>
      </c>
      <c r="C76" s="1">
        <v>62821</v>
      </c>
      <c r="D76" s="1">
        <v>23335</v>
      </c>
      <c r="E76" s="1">
        <v>236518</v>
      </c>
      <c r="F76" t="b">
        <f>AND(COUNTIF(CO!A:A,A76)&gt;0,COUNTIF('NO2'!A:A,A76)&gt;0,COUNTIF('O3'!A:A,A76)&gt;0,COUNTIF('PM10'!A:A,A76)&gt;0,COUNTIF('PM2.5'!A:A,A76)&gt;0,COUNTIF('SO2'!A:A,A76)&gt;0)</f>
        <v>1</v>
      </c>
    </row>
    <row r="77" spans="1:6" x14ac:dyDescent="0.45">
      <c r="A77" s="2">
        <v>45460</v>
      </c>
      <c r="B77" s="1">
        <v>122440</v>
      </c>
      <c r="C77" s="1">
        <v>50393</v>
      </c>
      <c r="D77" s="1">
        <v>19664</v>
      </c>
      <c r="E77" s="1">
        <v>192497</v>
      </c>
      <c r="F77" t="b">
        <f>AND(COUNTIF(CO!A:A,A77)&gt;0,COUNTIF('NO2'!A:A,A77)&gt;0,COUNTIF('O3'!A:A,A77)&gt;0,COUNTIF('PM10'!A:A,A77)&gt;0,COUNTIF('PM2.5'!A:A,A77)&gt;0,COUNTIF('SO2'!A:A,A77)&gt;0)</f>
        <v>1</v>
      </c>
    </row>
    <row r="78" spans="1:6" x14ac:dyDescent="0.45">
      <c r="A78" s="2">
        <v>45461</v>
      </c>
      <c r="B78" s="1">
        <v>158621</v>
      </c>
      <c r="C78" s="1">
        <v>59578</v>
      </c>
      <c r="D78" s="1">
        <v>20667</v>
      </c>
      <c r="E78" s="1">
        <v>238866</v>
      </c>
      <c r="F78" t="b">
        <f>AND(COUNTIF(CO!A:A,A78)&gt;0,COUNTIF('NO2'!A:A,A78)&gt;0,COUNTIF('O3'!A:A,A78)&gt;0,COUNTIF('PM10'!A:A,A78)&gt;0,COUNTIF('PM2.5'!A:A,A78)&gt;0,COUNTIF('SO2'!A:A,A78)&gt;0)</f>
        <v>1</v>
      </c>
    </row>
    <row r="79" spans="1:6" x14ac:dyDescent="0.45">
      <c r="A79" s="2">
        <v>45462</v>
      </c>
      <c r="B79" s="1">
        <v>161046</v>
      </c>
      <c r="C79" s="1">
        <v>57307</v>
      </c>
      <c r="D79" s="1">
        <v>25897</v>
      </c>
      <c r="E79" s="1">
        <v>244250</v>
      </c>
      <c r="F79" t="b">
        <f>AND(COUNTIF(CO!A:A,A79)&gt;0,COUNTIF('NO2'!A:A,A79)&gt;0,COUNTIF('O3'!A:A,A79)&gt;0,COUNTIF('PM10'!A:A,A79)&gt;0,COUNTIF('PM2.5'!A:A,A79)&gt;0,COUNTIF('SO2'!A:A,A79)&gt;0)</f>
        <v>1</v>
      </c>
    </row>
    <row r="80" spans="1:6" x14ac:dyDescent="0.45">
      <c r="A80" s="2">
        <v>45463</v>
      </c>
      <c r="B80" s="1">
        <v>140935</v>
      </c>
      <c r="C80" s="1">
        <v>49503</v>
      </c>
      <c r="D80" s="1">
        <v>20362</v>
      </c>
      <c r="E80" s="1">
        <v>210800</v>
      </c>
      <c r="F80" t="b">
        <f>AND(COUNTIF(CO!A:A,A80)&gt;0,COUNTIF('NO2'!A:A,A80)&gt;0,COUNTIF('O3'!A:A,A80)&gt;0,COUNTIF('PM10'!A:A,A80)&gt;0,COUNTIF('PM2.5'!A:A,A80)&gt;0,COUNTIF('SO2'!A:A,A80)&gt;0)</f>
        <v>1</v>
      </c>
    </row>
    <row r="81" spans="1:6" x14ac:dyDescent="0.45">
      <c r="A81" s="2">
        <v>45464</v>
      </c>
      <c r="B81" s="1">
        <v>152805</v>
      </c>
      <c r="C81" s="1">
        <v>53761</v>
      </c>
      <c r="D81" s="1">
        <v>23229</v>
      </c>
      <c r="E81" s="1">
        <v>229795</v>
      </c>
      <c r="F81" t="b">
        <f>AND(COUNTIF(CO!A:A,A81)&gt;0,COUNTIF('NO2'!A:A,A81)&gt;0,COUNTIF('O3'!A:A,A81)&gt;0,COUNTIF('PM10'!A:A,A81)&gt;0,COUNTIF('PM2.5'!A:A,A81)&gt;0,COUNTIF('SO2'!A:A,A81)&gt;0)</f>
        <v>1</v>
      </c>
    </row>
    <row r="82" spans="1:6" x14ac:dyDescent="0.45">
      <c r="A82" s="2">
        <v>45465</v>
      </c>
      <c r="B82" s="1">
        <v>162140</v>
      </c>
      <c r="C82" s="1">
        <v>60911</v>
      </c>
      <c r="D82" s="1">
        <v>27366</v>
      </c>
      <c r="E82" s="1">
        <v>250417</v>
      </c>
      <c r="F82" t="b">
        <f>AND(COUNTIF(CO!A:A,A82)&gt;0,COUNTIF('NO2'!A:A,A82)&gt;0,COUNTIF('O3'!A:A,A82)&gt;0,COUNTIF('PM10'!A:A,A82)&gt;0,COUNTIF('PM2.5'!A:A,A82)&gt;0,COUNTIF('SO2'!A:A,A82)&gt;0)</f>
        <v>1</v>
      </c>
    </row>
    <row r="83" spans="1:6" x14ac:dyDescent="0.45">
      <c r="A83" s="2">
        <v>45466</v>
      </c>
      <c r="B83" s="1">
        <v>156095</v>
      </c>
      <c r="C83" s="1">
        <v>61457</v>
      </c>
      <c r="D83" s="1">
        <v>19868</v>
      </c>
      <c r="E83" s="1">
        <v>237420</v>
      </c>
      <c r="F83" t="b">
        <f>AND(COUNTIF(CO!A:A,A83)&gt;0,COUNTIF('NO2'!A:A,A83)&gt;0,COUNTIF('O3'!A:A,A83)&gt;0,COUNTIF('PM10'!A:A,A83)&gt;0,COUNTIF('PM2.5'!A:A,A83)&gt;0,COUNTIF('SO2'!A:A,A83)&gt;0)</f>
        <v>1</v>
      </c>
    </row>
    <row r="84" spans="1:6" x14ac:dyDescent="0.45">
      <c r="A84" s="2">
        <v>45467</v>
      </c>
      <c r="B84" s="1">
        <v>177958</v>
      </c>
      <c r="C84" s="1">
        <v>55631</v>
      </c>
      <c r="D84" s="1">
        <v>22908</v>
      </c>
      <c r="E84" s="1">
        <v>256497</v>
      </c>
      <c r="F84" t="b">
        <f>AND(COUNTIF(CO!A:A,A84)&gt;0,COUNTIF('NO2'!A:A,A84)&gt;0,COUNTIF('O3'!A:A,A84)&gt;0,COUNTIF('PM10'!A:A,A84)&gt;0,COUNTIF('PM2.5'!A:A,A84)&gt;0,COUNTIF('SO2'!A:A,A84)&gt;0)</f>
        <v>1</v>
      </c>
    </row>
    <row r="85" spans="1:6" x14ac:dyDescent="0.45">
      <c r="A85" s="2">
        <v>45468</v>
      </c>
      <c r="B85" s="1">
        <v>153477</v>
      </c>
      <c r="C85" s="1">
        <v>55766</v>
      </c>
      <c r="D85" s="1">
        <v>25181</v>
      </c>
      <c r="E85" s="1">
        <v>234424</v>
      </c>
      <c r="F85" t="b">
        <f>AND(COUNTIF(CO!A:A,A85)&gt;0,COUNTIF('NO2'!A:A,A85)&gt;0,COUNTIF('O3'!A:A,A85)&gt;0,COUNTIF('PM10'!A:A,A85)&gt;0,COUNTIF('PM2.5'!A:A,A85)&gt;0,COUNTIF('SO2'!A:A,A85)&gt;0)</f>
        <v>1</v>
      </c>
    </row>
    <row r="86" spans="1:6" x14ac:dyDescent="0.45">
      <c r="A86" s="2">
        <v>45469</v>
      </c>
      <c r="B86" s="1">
        <v>159888</v>
      </c>
      <c r="C86" s="1">
        <v>59455</v>
      </c>
      <c r="D86" s="1">
        <v>28075</v>
      </c>
      <c r="E86" s="1">
        <v>247418</v>
      </c>
      <c r="F86" t="b">
        <f>AND(COUNTIF(CO!A:A,A86)&gt;0,COUNTIF('NO2'!A:A,A86)&gt;0,COUNTIF('O3'!A:A,A86)&gt;0,COUNTIF('PM10'!A:A,A86)&gt;0,COUNTIF('PM2.5'!A:A,A86)&gt;0,COUNTIF('SO2'!A:A,A86)&gt;0)</f>
        <v>1</v>
      </c>
    </row>
    <row r="87" spans="1:6" x14ac:dyDescent="0.45">
      <c r="A87" s="2">
        <v>45470</v>
      </c>
      <c r="B87" s="1">
        <v>163168</v>
      </c>
      <c r="C87" s="1">
        <v>61158</v>
      </c>
      <c r="D87" s="1">
        <v>25233</v>
      </c>
      <c r="E87" s="1">
        <v>249559</v>
      </c>
      <c r="F87" t="b">
        <f>AND(COUNTIF(CO!A:A,A87)&gt;0,COUNTIF('NO2'!A:A,A87)&gt;0,COUNTIF('O3'!A:A,A87)&gt;0,COUNTIF('PM10'!A:A,A87)&gt;0,COUNTIF('PM2.5'!A:A,A87)&gt;0,COUNTIF('SO2'!A:A,A87)&gt;0)</f>
        <v>1</v>
      </c>
    </row>
    <row r="88" spans="1:6" x14ac:dyDescent="0.45">
      <c r="A88" s="2">
        <v>45471</v>
      </c>
      <c r="B88" s="1">
        <v>187055</v>
      </c>
      <c r="C88" s="1">
        <v>72768</v>
      </c>
      <c r="D88" s="1">
        <v>27061</v>
      </c>
      <c r="E88" s="1">
        <v>286884</v>
      </c>
      <c r="F88" t="b">
        <f>AND(COUNTIF(CO!A:A,A88)&gt;0,COUNTIF('NO2'!A:A,A88)&gt;0,COUNTIF('O3'!A:A,A88)&gt;0,COUNTIF('PM10'!A:A,A88)&gt;0,COUNTIF('PM2.5'!A:A,A88)&gt;0,COUNTIF('SO2'!A:A,A88)&gt;0)</f>
        <v>1</v>
      </c>
    </row>
    <row r="89" spans="1:6" x14ac:dyDescent="0.45">
      <c r="A89" s="2">
        <v>45472</v>
      </c>
      <c r="B89" s="1">
        <v>172196</v>
      </c>
      <c r="C89" s="1">
        <v>70361</v>
      </c>
      <c r="D89" s="1">
        <v>26573</v>
      </c>
      <c r="E89" s="1">
        <v>269130</v>
      </c>
      <c r="F89" t="b">
        <f>AND(COUNTIF(CO!A:A,A89)&gt;0,COUNTIF('NO2'!A:A,A89)&gt;0,COUNTIF('O3'!A:A,A89)&gt;0,COUNTIF('PM10'!A:A,A89)&gt;0,COUNTIF('PM2.5'!A:A,A89)&gt;0,COUNTIF('SO2'!A:A,A89)&gt;0)</f>
        <v>1</v>
      </c>
    </row>
    <row r="90" spans="1:6" x14ac:dyDescent="0.45">
      <c r="A90" s="2">
        <v>45473</v>
      </c>
      <c r="B90" s="1">
        <v>144103</v>
      </c>
      <c r="C90" s="1">
        <v>65200</v>
      </c>
      <c r="D90" s="1">
        <v>25008</v>
      </c>
      <c r="E90" s="1">
        <v>234311</v>
      </c>
      <c r="F90" t="b">
        <f>AND(COUNTIF(CO!A:A,A90)&gt;0,COUNTIF('NO2'!A:A,A90)&gt;0,COUNTIF('O3'!A:A,A90)&gt;0,COUNTIF('PM10'!A:A,A90)&gt;0,COUNTIF('PM2.5'!A:A,A90)&gt;0,COUNTIF('SO2'!A:A,A90)&gt;0)</f>
        <v>1</v>
      </c>
    </row>
    <row r="91" spans="1:6" x14ac:dyDescent="0.45">
      <c r="A91" s="2">
        <v>45474</v>
      </c>
      <c r="B91" s="1">
        <v>170957</v>
      </c>
      <c r="C91" s="1">
        <v>55377</v>
      </c>
      <c r="D91" s="1">
        <v>26494</v>
      </c>
      <c r="E91" s="1">
        <v>252828</v>
      </c>
      <c r="F91" t="b">
        <f>AND(COUNTIF(CO!A:A,A91)&gt;0,COUNTIF('NO2'!A:A,A91)&gt;0,COUNTIF('O3'!A:A,A91)&gt;0,COUNTIF('PM10'!A:A,A91)&gt;0,COUNTIF('PM2.5'!A:A,A91)&gt;0,COUNTIF('SO2'!A:A,A91)&gt;0)</f>
        <v>1</v>
      </c>
    </row>
    <row r="92" spans="1:6" x14ac:dyDescent="0.45">
      <c r="A92" s="2">
        <v>45475</v>
      </c>
      <c r="B92" s="1">
        <v>176239</v>
      </c>
      <c r="C92" s="1">
        <v>56669</v>
      </c>
      <c r="D92" s="1">
        <v>24498</v>
      </c>
      <c r="E92" s="1">
        <v>257406</v>
      </c>
      <c r="F92" t="b">
        <f>AND(COUNTIF(CO!A:A,A92)&gt;0,COUNTIF('NO2'!A:A,A92)&gt;0,COUNTIF('O3'!A:A,A92)&gt;0,COUNTIF('PM10'!A:A,A92)&gt;0,COUNTIF('PM2.5'!A:A,A92)&gt;0,COUNTIF('SO2'!A:A,A92)&gt;0)</f>
        <v>1</v>
      </c>
    </row>
    <row r="93" spans="1:6" x14ac:dyDescent="0.45">
      <c r="A93" s="2">
        <v>45476</v>
      </c>
      <c r="B93" s="1">
        <v>173466</v>
      </c>
      <c r="C93" s="1">
        <v>56363</v>
      </c>
      <c r="D93" s="1">
        <v>28553</v>
      </c>
      <c r="E93" s="1">
        <v>258382</v>
      </c>
      <c r="F93" t="b">
        <f>AND(COUNTIF(CO!A:A,A93)&gt;0,COUNTIF('NO2'!A:A,A93)&gt;0,COUNTIF('O3'!A:A,A93)&gt;0,COUNTIF('PM10'!A:A,A93)&gt;0,COUNTIF('PM2.5'!A:A,A93)&gt;0,COUNTIF('SO2'!A:A,A93)&gt;0)</f>
        <v>1</v>
      </c>
    </row>
    <row r="94" spans="1:6" x14ac:dyDescent="0.45">
      <c r="A94" s="2">
        <v>45477</v>
      </c>
      <c r="B94" s="1">
        <v>188337</v>
      </c>
      <c r="C94" s="1">
        <v>61415</v>
      </c>
      <c r="D94" s="1">
        <v>30301</v>
      </c>
      <c r="E94" s="1">
        <v>280053</v>
      </c>
      <c r="F94" t="b">
        <f>AND(COUNTIF(CO!A:A,A94)&gt;0,COUNTIF('NO2'!A:A,A94)&gt;0,COUNTIF('O3'!A:A,A94)&gt;0,COUNTIF('PM10'!A:A,A94)&gt;0,COUNTIF('PM2.5'!A:A,A94)&gt;0,COUNTIF('SO2'!A:A,A94)&gt;0)</f>
        <v>1</v>
      </c>
    </row>
    <row r="95" spans="1:6" x14ac:dyDescent="0.45">
      <c r="A95" s="2">
        <v>45478</v>
      </c>
      <c r="B95" s="1">
        <v>176922</v>
      </c>
      <c r="C95" s="1">
        <v>61204</v>
      </c>
      <c r="D95" s="1">
        <v>31480</v>
      </c>
      <c r="E95" s="1">
        <v>269606</v>
      </c>
      <c r="F95" t="b">
        <f>AND(COUNTIF(CO!A:A,A95)&gt;0,COUNTIF('NO2'!A:A,A95)&gt;0,COUNTIF('O3'!A:A,A95)&gt;0,COUNTIF('PM10'!A:A,A95)&gt;0,COUNTIF('PM2.5'!A:A,A95)&gt;0,COUNTIF('SO2'!A:A,A95)&gt;0)</f>
        <v>1</v>
      </c>
    </row>
    <row r="96" spans="1:6" x14ac:dyDescent="0.45">
      <c r="A96" s="2">
        <v>45479</v>
      </c>
      <c r="B96" s="1">
        <v>179536</v>
      </c>
      <c r="C96" s="1">
        <v>63606</v>
      </c>
      <c r="D96" s="1">
        <v>31398</v>
      </c>
      <c r="E96" s="1">
        <v>274540</v>
      </c>
      <c r="F96" t="b">
        <f>AND(COUNTIF(CO!A:A,A96)&gt;0,COUNTIF('NO2'!A:A,A96)&gt;0,COUNTIF('O3'!A:A,A96)&gt;0,COUNTIF('PM10'!A:A,A96)&gt;0,COUNTIF('PM2.5'!A:A,A96)&gt;0,COUNTIF('SO2'!A:A,A96)&gt;0)</f>
        <v>1</v>
      </c>
    </row>
    <row r="97" spans="1:6" x14ac:dyDescent="0.45">
      <c r="A97" s="2">
        <v>45480</v>
      </c>
      <c r="B97" s="1">
        <v>175749</v>
      </c>
      <c r="C97" s="1">
        <v>60981</v>
      </c>
      <c r="D97" s="1">
        <v>26456</v>
      </c>
      <c r="E97" s="1">
        <v>263186</v>
      </c>
      <c r="F97" t="b">
        <f>AND(COUNTIF(CO!A:A,A97)&gt;0,COUNTIF('NO2'!A:A,A97)&gt;0,COUNTIF('O3'!A:A,A97)&gt;0,COUNTIF('PM10'!A:A,A97)&gt;0,COUNTIF('PM2.5'!A:A,A97)&gt;0,COUNTIF('SO2'!A:A,A97)&gt;0)</f>
        <v>1</v>
      </c>
    </row>
    <row r="98" spans="1:6" x14ac:dyDescent="0.45">
      <c r="A98" s="2">
        <v>45481</v>
      </c>
      <c r="B98" s="1">
        <v>187919</v>
      </c>
      <c r="C98" s="1">
        <v>57439</v>
      </c>
      <c r="D98" s="1">
        <v>28669</v>
      </c>
      <c r="E98" s="1">
        <v>274027</v>
      </c>
      <c r="F98" t="b">
        <f>AND(COUNTIF(CO!A:A,A98)&gt;0,COUNTIF('NO2'!A:A,A98)&gt;0,COUNTIF('O3'!A:A,A98)&gt;0,COUNTIF('PM10'!A:A,A98)&gt;0,COUNTIF('PM2.5'!A:A,A98)&gt;0,COUNTIF('SO2'!A:A,A98)&gt;0)</f>
        <v>1</v>
      </c>
    </row>
    <row r="99" spans="1:6" x14ac:dyDescent="0.45">
      <c r="A99" s="2">
        <v>45482</v>
      </c>
      <c r="B99" s="1">
        <v>196896</v>
      </c>
      <c r="C99" s="1">
        <v>57280</v>
      </c>
      <c r="D99" s="1">
        <v>29157</v>
      </c>
      <c r="E99" s="1">
        <v>283333</v>
      </c>
      <c r="F99" t="b">
        <f>AND(COUNTIF(CO!A:A,A99)&gt;0,COUNTIF('NO2'!A:A,A99)&gt;0,COUNTIF('O3'!A:A,A99)&gt;0,COUNTIF('PM10'!A:A,A99)&gt;0,COUNTIF('PM2.5'!A:A,A99)&gt;0,COUNTIF('SO2'!A:A,A99)&gt;0)</f>
        <v>1</v>
      </c>
    </row>
    <row r="100" spans="1:6" x14ac:dyDescent="0.45">
      <c r="A100" s="2">
        <v>45483</v>
      </c>
      <c r="B100" s="1">
        <v>182434</v>
      </c>
      <c r="C100" s="1">
        <v>57714</v>
      </c>
      <c r="D100" s="1">
        <v>29873</v>
      </c>
      <c r="E100" s="1">
        <v>270021</v>
      </c>
      <c r="F100" t="b">
        <f>AND(COUNTIF(CO!A:A,A100)&gt;0,COUNTIF('NO2'!A:A,A100)&gt;0,COUNTIF('O3'!A:A,A100)&gt;0,COUNTIF('PM10'!A:A,A100)&gt;0,COUNTIF('PM2.5'!A:A,A100)&gt;0,COUNTIF('SO2'!A:A,A100)&gt;0)</f>
        <v>1</v>
      </c>
    </row>
    <row r="101" spans="1:6" x14ac:dyDescent="0.45">
      <c r="A101" s="2">
        <v>45484</v>
      </c>
      <c r="B101" s="1">
        <v>166015</v>
      </c>
      <c r="C101" s="1">
        <v>54644</v>
      </c>
      <c r="D101" s="1">
        <v>31529</v>
      </c>
      <c r="E101" s="1">
        <v>252188</v>
      </c>
      <c r="F101" t="b">
        <f>AND(COUNTIF(CO!A:A,A101)&gt;0,COUNTIF('NO2'!A:A,A101)&gt;0,COUNTIF('O3'!A:A,A101)&gt;0,COUNTIF('PM10'!A:A,A101)&gt;0,COUNTIF('PM2.5'!A:A,A101)&gt;0,COUNTIF('SO2'!A:A,A101)&gt;0)</f>
        <v>1</v>
      </c>
    </row>
    <row r="102" spans="1:6" x14ac:dyDescent="0.45">
      <c r="A102" s="2">
        <v>45485</v>
      </c>
      <c r="B102" s="1">
        <v>171175</v>
      </c>
      <c r="C102" s="1">
        <v>56654</v>
      </c>
      <c r="D102" s="1">
        <v>30012</v>
      </c>
      <c r="E102" s="1">
        <v>257841</v>
      </c>
      <c r="F102" t="b">
        <f>AND(COUNTIF(CO!A:A,A102)&gt;0,COUNTIF('NO2'!A:A,A102)&gt;0,COUNTIF('O3'!A:A,A102)&gt;0,COUNTIF('PM10'!A:A,A102)&gt;0,COUNTIF('PM2.5'!A:A,A102)&gt;0,COUNTIF('SO2'!A:A,A102)&gt;0)</f>
        <v>1</v>
      </c>
    </row>
    <row r="103" spans="1:6" x14ac:dyDescent="0.45">
      <c r="A103" s="2">
        <v>45486</v>
      </c>
      <c r="B103" s="1">
        <v>172472</v>
      </c>
      <c r="C103" s="1">
        <v>61125</v>
      </c>
      <c r="D103" s="1">
        <v>31284</v>
      </c>
      <c r="E103" s="1">
        <v>264881</v>
      </c>
      <c r="F103" t="b">
        <f>AND(COUNTIF(CO!A:A,A103)&gt;0,COUNTIF('NO2'!A:A,A103)&gt;0,COUNTIF('O3'!A:A,A103)&gt;0,COUNTIF('PM10'!A:A,A103)&gt;0,COUNTIF('PM2.5'!A:A,A103)&gt;0,COUNTIF('SO2'!A:A,A103)&gt;0)</f>
        <v>1</v>
      </c>
    </row>
    <row r="104" spans="1:6" x14ac:dyDescent="0.45">
      <c r="A104" s="2">
        <v>45487</v>
      </c>
      <c r="B104" s="1">
        <v>140419</v>
      </c>
      <c r="C104" s="1">
        <v>51493</v>
      </c>
      <c r="D104" s="1">
        <v>26146</v>
      </c>
      <c r="E104" s="1">
        <v>218058</v>
      </c>
      <c r="F104" t="b">
        <f>AND(COUNTIF(CO!A:A,A104)&gt;0,COUNTIF('NO2'!A:A,A104)&gt;0,COUNTIF('O3'!A:A,A104)&gt;0,COUNTIF('PM10'!A:A,A104)&gt;0,COUNTIF('PM2.5'!A:A,A104)&gt;0,COUNTIF('SO2'!A:A,A104)&gt;0)</f>
        <v>1</v>
      </c>
    </row>
    <row r="105" spans="1:6" x14ac:dyDescent="0.45">
      <c r="A105" s="2">
        <v>45488</v>
      </c>
      <c r="B105" s="1">
        <v>160205</v>
      </c>
      <c r="C105" s="1">
        <v>49657</v>
      </c>
      <c r="D105" s="1">
        <v>28944</v>
      </c>
      <c r="E105" s="1">
        <v>238806</v>
      </c>
      <c r="F105" t="b">
        <f>AND(COUNTIF(CO!A:A,A105)&gt;0,COUNTIF('NO2'!A:A,A105)&gt;0,COUNTIF('O3'!A:A,A105)&gt;0,COUNTIF('PM10'!A:A,A105)&gt;0,COUNTIF('PM2.5'!A:A,A105)&gt;0,COUNTIF('SO2'!A:A,A105)&gt;0)</f>
        <v>1</v>
      </c>
    </row>
    <row r="106" spans="1:6" x14ac:dyDescent="0.45">
      <c r="A106" s="2">
        <v>45489</v>
      </c>
      <c r="B106" s="1">
        <v>171114</v>
      </c>
      <c r="C106" s="1">
        <v>52118</v>
      </c>
      <c r="D106" s="1">
        <v>31182</v>
      </c>
      <c r="E106" s="1">
        <v>254414</v>
      </c>
      <c r="F106" t="b">
        <f>AND(COUNTIF(CO!A:A,A106)&gt;0,COUNTIF('NO2'!A:A,A106)&gt;0,COUNTIF('O3'!A:A,A106)&gt;0,COUNTIF('PM10'!A:A,A106)&gt;0,COUNTIF('PM2.5'!A:A,A106)&gt;0,COUNTIF('SO2'!A:A,A106)&gt;0)</f>
        <v>1</v>
      </c>
    </row>
    <row r="107" spans="1:6" x14ac:dyDescent="0.45">
      <c r="A107" s="2">
        <v>45490</v>
      </c>
      <c r="B107" s="1">
        <v>181679</v>
      </c>
      <c r="C107" s="1">
        <v>53603</v>
      </c>
      <c r="D107" s="1">
        <v>31175</v>
      </c>
      <c r="E107" s="1">
        <v>266457</v>
      </c>
      <c r="F107" t="b">
        <f>AND(COUNTIF(CO!A:A,A107)&gt;0,COUNTIF('NO2'!A:A,A107)&gt;0,COUNTIF('O3'!A:A,A107)&gt;0,COUNTIF('PM10'!A:A,A107)&gt;0,COUNTIF('PM2.5'!A:A,A107)&gt;0,COUNTIF('SO2'!A:A,A107)&gt;0)</f>
        <v>1</v>
      </c>
    </row>
    <row r="108" spans="1:6" x14ac:dyDescent="0.45">
      <c r="A108" s="2">
        <v>45491</v>
      </c>
      <c r="B108" s="1">
        <v>184822</v>
      </c>
      <c r="C108" s="1">
        <v>55525</v>
      </c>
      <c r="D108" s="1">
        <v>30782</v>
      </c>
      <c r="E108" s="1">
        <v>271129</v>
      </c>
      <c r="F108" t="b">
        <f>AND(COUNTIF(CO!A:A,A108)&gt;0,COUNTIF('NO2'!A:A,A108)&gt;0,COUNTIF('O3'!A:A,A108)&gt;0,COUNTIF('PM10'!A:A,A108)&gt;0,COUNTIF('PM2.5'!A:A,A108)&gt;0,COUNTIF('SO2'!A:A,A108)&gt;0)</f>
        <v>1</v>
      </c>
    </row>
    <row r="109" spans="1:6" x14ac:dyDescent="0.45">
      <c r="A109" s="2">
        <v>45492</v>
      </c>
      <c r="B109" s="1">
        <v>177416</v>
      </c>
      <c r="C109" s="1">
        <v>56317</v>
      </c>
      <c r="D109" s="1">
        <v>31228</v>
      </c>
      <c r="E109" s="1">
        <v>264961</v>
      </c>
      <c r="F109" t="b">
        <f>AND(COUNTIF(CO!A:A,A109)&gt;0,COUNTIF('NO2'!A:A,A109)&gt;0,COUNTIF('O3'!A:A,A109)&gt;0,COUNTIF('PM10'!A:A,A109)&gt;0,COUNTIF('PM2.5'!A:A,A109)&gt;0,COUNTIF('SO2'!A:A,A109)&gt;0)</f>
        <v>1</v>
      </c>
    </row>
    <row r="110" spans="1:6" x14ac:dyDescent="0.45">
      <c r="A110" s="2">
        <v>45493</v>
      </c>
      <c r="B110" s="1">
        <v>172199</v>
      </c>
      <c r="C110" s="1">
        <v>55444</v>
      </c>
      <c r="D110" s="1">
        <v>30217</v>
      </c>
      <c r="E110" s="1">
        <v>257860</v>
      </c>
      <c r="F110" t="b">
        <f>AND(COUNTIF(CO!A:A,A110)&gt;0,COUNTIF('NO2'!A:A,A110)&gt;0,COUNTIF('O3'!A:A,A110)&gt;0,COUNTIF('PM10'!A:A,A110)&gt;0,COUNTIF('PM2.5'!A:A,A110)&gt;0,COUNTIF('SO2'!A:A,A110)&gt;0)</f>
        <v>1</v>
      </c>
    </row>
    <row r="111" spans="1:6" x14ac:dyDescent="0.45">
      <c r="A111" s="2">
        <v>45494</v>
      </c>
      <c r="B111" s="1">
        <v>156491</v>
      </c>
      <c r="C111" s="1">
        <v>51427</v>
      </c>
      <c r="D111" s="1">
        <v>27376</v>
      </c>
      <c r="E111" s="1">
        <v>235294</v>
      </c>
      <c r="F111" t="b">
        <f>AND(COUNTIF(CO!A:A,A111)&gt;0,COUNTIF('NO2'!A:A,A111)&gt;0,COUNTIF('O3'!A:A,A111)&gt;0,COUNTIF('PM10'!A:A,A111)&gt;0,COUNTIF('PM2.5'!A:A,A111)&gt;0,COUNTIF('SO2'!A:A,A111)&gt;0)</f>
        <v>1</v>
      </c>
    </row>
    <row r="112" spans="1:6" x14ac:dyDescent="0.45">
      <c r="A112" s="2">
        <v>45495</v>
      </c>
      <c r="B112" s="1">
        <v>187154</v>
      </c>
      <c r="C112" s="1">
        <v>57285</v>
      </c>
      <c r="D112" s="1">
        <v>32317</v>
      </c>
      <c r="E112" s="1">
        <v>276756</v>
      </c>
      <c r="F112" t="b">
        <f>AND(COUNTIF(CO!A:A,A112)&gt;0,COUNTIF('NO2'!A:A,A112)&gt;0,COUNTIF('O3'!A:A,A112)&gt;0,COUNTIF('PM10'!A:A,A112)&gt;0,COUNTIF('PM2.5'!A:A,A112)&gt;0,COUNTIF('SO2'!A:A,A112)&gt;0)</f>
        <v>1</v>
      </c>
    </row>
    <row r="113" spans="1:6" x14ac:dyDescent="0.45">
      <c r="A113" s="2">
        <v>45496</v>
      </c>
      <c r="B113" s="1">
        <v>157771</v>
      </c>
      <c r="C113" s="1">
        <v>48941</v>
      </c>
      <c r="D113" s="1">
        <v>31189</v>
      </c>
      <c r="E113" s="1">
        <v>237901</v>
      </c>
      <c r="F113" t="b">
        <f>AND(COUNTIF(CO!A:A,A113)&gt;0,COUNTIF('NO2'!A:A,A113)&gt;0,COUNTIF('O3'!A:A,A113)&gt;0,COUNTIF('PM10'!A:A,A113)&gt;0,COUNTIF('PM2.5'!A:A,A113)&gt;0,COUNTIF('SO2'!A:A,A113)&gt;0)</f>
        <v>1</v>
      </c>
    </row>
    <row r="114" spans="1:6" x14ac:dyDescent="0.45">
      <c r="A114" s="2">
        <v>45497</v>
      </c>
      <c r="B114" s="1">
        <v>166953</v>
      </c>
      <c r="C114" s="1">
        <v>60381</v>
      </c>
      <c r="D114" s="1">
        <v>29511</v>
      </c>
      <c r="E114" s="1">
        <v>256845</v>
      </c>
      <c r="F114" t="b">
        <f>AND(COUNTIF(CO!A:A,A114)&gt;0,COUNTIF('NO2'!A:A,A114)&gt;0,COUNTIF('O3'!A:A,A114)&gt;0,COUNTIF('PM10'!A:A,A114)&gt;0,COUNTIF('PM2.5'!A:A,A114)&gt;0,COUNTIF('SO2'!A:A,A114)&gt;0)</f>
        <v>1</v>
      </c>
    </row>
    <row r="115" spans="1:6" x14ac:dyDescent="0.45">
      <c r="A115" s="2">
        <v>45498</v>
      </c>
      <c r="B115" s="1">
        <v>152172</v>
      </c>
      <c r="C115" s="1">
        <v>56498</v>
      </c>
      <c r="D115" s="1">
        <v>30524</v>
      </c>
      <c r="E115" s="1">
        <v>239194</v>
      </c>
      <c r="F115" t="b">
        <f>AND(COUNTIF(CO!A:A,A115)&gt;0,COUNTIF('NO2'!A:A,A115)&gt;0,COUNTIF('O3'!A:A,A115)&gt;0,COUNTIF('PM10'!A:A,A115)&gt;0,COUNTIF('PM2.5'!A:A,A115)&gt;0,COUNTIF('SO2'!A:A,A115)&gt;0)</f>
        <v>1</v>
      </c>
    </row>
    <row r="116" spans="1:6" x14ac:dyDescent="0.45">
      <c r="A116" s="2">
        <v>45499</v>
      </c>
      <c r="B116" s="1">
        <v>175115</v>
      </c>
      <c r="C116" s="1">
        <v>61587</v>
      </c>
      <c r="D116" s="1">
        <v>27935</v>
      </c>
      <c r="E116" s="1">
        <v>264637</v>
      </c>
      <c r="F116" t="b">
        <f>AND(COUNTIF(CO!A:A,A116)&gt;0,COUNTIF('NO2'!A:A,A116)&gt;0,COUNTIF('O3'!A:A,A116)&gt;0,COUNTIF('PM10'!A:A,A116)&gt;0,COUNTIF('PM2.5'!A:A,A116)&gt;0,COUNTIF('SO2'!A:A,A116)&gt;0)</f>
        <v>1</v>
      </c>
    </row>
    <row r="117" spans="1:6" x14ac:dyDescent="0.45">
      <c r="A117" s="2">
        <v>45500</v>
      </c>
      <c r="B117" s="1">
        <v>155760</v>
      </c>
      <c r="C117" s="1">
        <v>70163</v>
      </c>
      <c r="D117" s="1">
        <v>32663</v>
      </c>
      <c r="E117" s="1">
        <v>258586</v>
      </c>
      <c r="F117" t="b">
        <f>AND(COUNTIF(CO!A:A,A117)&gt;0,COUNTIF('NO2'!A:A,A117)&gt;0,COUNTIF('O3'!A:A,A117)&gt;0,COUNTIF('PM10'!A:A,A117)&gt;0,COUNTIF('PM2.5'!A:A,A117)&gt;0,COUNTIF('SO2'!A:A,A117)&gt;0)</f>
        <v>1</v>
      </c>
    </row>
    <row r="118" spans="1:6" x14ac:dyDescent="0.45">
      <c r="A118" s="2">
        <v>45501</v>
      </c>
      <c r="B118" s="1">
        <v>121431</v>
      </c>
      <c r="C118" s="1">
        <v>60069</v>
      </c>
      <c r="D118" s="1">
        <v>25891</v>
      </c>
      <c r="E118" s="1">
        <v>207391</v>
      </c>
      <c r="F118" t="b">
        <f>AND(COUNTIF(CO!A:A,A118)&gt;0,COUNTIF('NO2'!A:A,A118)&gt;0,COUNTIF('O3'!A:A,A118)&gt;0,COUNTIF('PM10'!A:A,A118)&gt;0,COUNTIF('PM2.5'!A:A,A118)&gt;0,COUNTIF('SO2'!A:A,A118)&gt;0)</f>
        <v>1</v>
      </c>
    </row>
    <row r="119" spans="1:6" x14ac:dyDescent="0.45">
      <c r="A119" s="2">
        <v>45502</v>
      </c>
      <c r="B119" s="1">
        <v>173294</v>
      </c>
      <c r="C119" s="1">
        <v>64330</v>
      </c>
      <c r="D119" s="1">
        <v>32299</v>
      </c>
      <c r="E119" s="1">
        <v>269923</v>
      </c>
      <c r="F119" t="b">
        <f>AND(COUNTIF(CO!A:A,A119)&gt;0,COUNTIF('NO2'!A:A,A119)&gt;0,COUNTIF('O3'!A:A,A119)&gt;0,COUNTIF('PM10'!A:A,A119)&gt;0,COUNTIF('PM2.5'!A:A,A119)&gt;0,COUNTIF('SO2'!A:A,A119)&gt;0)</f>
        <v>1</v>
      </c>
    </row>
    <row r="120" spans="1:6" x14ac:dyDescent="0.45">
      <c r="A120" s="2">
        <v>45503</v>
      </c>
      <c r="B120" s="1">
        <v>150074</v>
      </c>
      <c r="C120" s="1">
        <v>57122</v>
      </c>
      <c r="D120" s="1">
        <v>31545</v>
      </c>
      <c r="E120" s="1">
        <v>238741</v>
      </c>
      <c r="F120" t="b">
        <f>AND(COUNTIF(CO!A:A,A120)&gt;0,COUNTIF('NO2'!A:A,A120)&gt;0,COUNTIF('O3'!A:A,A120)&gt;0,COUNTIF('PM10'!A:A,A120)&gt;0,COUNTIF('PM2.5'!A:A,A120)&gt;0,COUNTIF('SO2'!A:A,A120)&gt;0)</f>
        <v>1</v>
      </c>
    </row>
    <row r="121" spans="1:6" x14ac:dyDescent="0.45">
      <c r="A121" s="2">
        <v>45504</v>
      </c>
      <c r="B121" s="1">
        <v>166685</v>
      </c>
      <c r="C121" s="1">
        <v>60294</v>
      </c>
      <c r="D121" s="1">
        <v>31176</v>
      </c>
      <c r="E121" s="1">
        <v>258155</v>
      </c>
      <c r="F121" t="b">
        <f>AND(COUNTIF(CO!A:A,A121)&gt;0,COUNTIF('NO2'!A:A,A121)&gt;0,COUNTIF('O3'!A:A,A121)&gt;0,COUNTIF('PM10'!A:A,A121)&gt;0,COUNTIF('PM2.5'!A:A,A121)&gt;0,COUNTIF('SO2'!A:A,A121)&gt;0)</f>
        <v>1</v>
      </c>
    </row>
    <row r="122" spans="1:6" x14ac:dyDescent="0.45">
      <c r="A122" s="2">
        <v>45505</v>
      </c>
      <c r="B122" s="1">
        <v>214228</v>
      </c>
      <c r="C122" s="1">
        <v>63900</v>
      </c>
      <c r="D122" s="1">
        <v>24987</v>
      </c>
      <c r="E122" s="1">
        <v>303115</v>
      </c>
      <c r="F122" t="b">
        <f>AND(COUNTIF(CO!A:A,A122)&gt;0,COUNTIF('NO2'!A:A,A122)&gt;0,COUNTIF('O3'!A:A,A122)&gt;0,COUNTIF('PM10'!A:A,A122)&gt;0,COUNTIF('PM2.5'!A:A,A122)&gt;0,COUNTIF('SO2'!A:A,A122)&gt;0)</f>
        <v>1</v>
      </c>
    </row>
    <row r="123" spans="1:6" x14ac:dyDescent="0.45">
      <c r="A123" s="2">
        <v>45506</v>
      </c>
      <c r="B123" s="1">
        <v>156679</v>
      </c>
      <c r="C123" s="1">
        <v>60302</v>
      </c>
      <c r="D123" s="1">
        <v>26478</v>
      </c>
      <c r="E123" s="1">
        <v>243459</v>
      </c>
      <c r="F123" t="b">
        <f>AND(COUNTIF(CO!A:A,A123)&gt;0,COUNTIF('NO2'!A:A,A123)&gt;0,COUNTIF('O3'!A:A,A123)&gt;0,COUNTIF('PM10'!A:A,A123)&gt;0,COUNTIF('PM2.5'!A:A,A123)&gt;0,COUNTIF('SO2'!A:A,A123)&gt;0)</f>
        <v>1</v>
      </c>
    </row>
    <row r="124" spans="1:6" x14ac:dyDescent="0.45">
      <c r="A124" s="2">
        <v>45507</v>
      </c>
      <c r="B124" s="1">
        <v>131229</v>
      </c>
      <c r="C124" s="1">
        <v>62193</v>
      </c>
      <c r="D124" s="1">
        <v>33448</v>
      </c>
      <c r="E124" s="1">
        <v>226870</v>
      </c>
      <c r="F124" t="b">
        <f>AND(COUNTIF(CO!A:A,A124)&gt;0,COUNTIF('NO2'!A:A,A124)&gt;0,COUNTIF('O3'!A:A,A124)&gt;0,COUNTIF('PM10'!A:A,A124)&gt;0,COUNTIF('PM2.5'!A:A,A124)&gt;0,COUNTIF('SO2'!A:A,A124)&gt;0)</f>
        <v>1</v>
      </c>
    </row>
    <row r="125" spans="1:6" x14ac:dyDescent="0.45">
      <c r="A125" s="2">
        <v>45508</v>
      </c>
      <c r="B125" s="1">
        <v>108257</v>
      </c>
      <c r="C125" s="1">
        <v>57493</v>
      </c>
      <c r="D125" s="1">
        <v>32065</v>
      </c>
      <c r="E125" s="1">
        <v>197815</v>
      </c>
      <c r="F125" t="b">
        <f>AND(COUNTIF(CO!A:A,A125)&gt;0,COUNTIF('NO2'!A:A,A125)&gt;0,COUNTIF('O3'!A:A,A125)&gt;0,COUNTIF('PM10'!A:A,A125)&gt;0,COUNTIF('PM2.5'!A:A,A125)&gt;0,COUNTIF('SO2'!A:A,A125)&gt;0)</f>
        <v>1</v>
      </c>
    </row>
    <row r="126" spans="1:6" x14ac:dyDescent="0.45">
      <c r="A126" s="2">
        <v>45509</v>
      </c>
      <c r="B126" s="1">
        <v>129316</v>
      </c>
      <c r="C126" s="1">
        <v>54531</v>
      </c>
      <c r="D126" s="1">
        <v>35524</v>
      </c>
      <c r="E126" s="1">
        <v>219371</v>
      </c>
      <c r="F126" t="b">
        <f>AND(COUNTIF(CO!A:A,A126)&gt;0,COUNTIF('NO2'!A:A,A126)&gt;0,COUNTIF('O3'!A:A,A126)&gt;0,COUNTIF('PM10'!A:A,A126)&gt;0,COUNTIF('PM2.5'!A:A,A126)&gt;0,COUNTIF('SO2'!A:A,A126)&gt;0)</f>
        <v>1</v>
      </c>
    </row>
    <row r="127" spans="1:6" x14ac:dyDescent="0.45">
      <c r="A127" s="2">
        <v>45510</v>
      </c>
      <c r="B127" s="1">
        <v>156020</v>
      </c>
      <c r="C127" s="1">
        <v>57770</v>
      </c>
      <c r="D127" s="1">
        <v>33797</v>
      </c>
      <c r="E127" s="1">
        <v>247587</v>
      </c>
      <c r="F127" t="b">
        <f>AND(COUNTIF(CO!A:A,A127)&gt;0,COUNTIF('NO2'!A:A,A127)&gt;0,COUNTIF('O3'!A:A,A127)&gt;0,COUNTIF('PM10'!A:A,A127)&gt;0,COUNTIF('PM2.5'!A:A,A127)&gt;0,COUNTIF('SO2'!A:A,A127)&gt;0)</f>
        <v>1</v>
      </c>
    </row>
    <row r="128" spans="1:6" x14ac:dyDescent="0.45">
      <c r="A128" s="2">
        <v>45511</v>
      </c>
      <c r="B128" s="1">
        <v>179171</v>
      </c>
      <c r="C128" s="1">
        <v>59565</v>
      </c>
      <c r="D128" s="1">
        <v>26328</v>
      </c>
      <c r="E128" s="1">
        <v>265064</v>
      </c>
      <c r="F128" t="b">
        <f>AND(COUNTIF(CO!A:A,A128)&gt;0,COUNTIF('NO2'!A:A,A128)&gt;0,COUNTIF('O3'!A:A,A128)&gt;0,COUNTIF('PM10'!A:A,A128)&gt;0,COUNTIF('PM2.5'!A:A,A128)&gt;0,COUNTIF('SO2'!A:A,A128)&gt;0)</f>
        <v>1</v>
      </c>
    </row>
    <row r="129" spans="1:6" x14ac:dyDescent="0.45">
      <c r="A129" s="2">
        <v>45512</v>
      </c>
      <c r="B129" s="1">
        <v>186522</v>
      </c>
      <c r="C129" s="1">
        <v>62885</v>
      </c>
      <c r="D129" s="1">
        <v>29090</v>
      </c>
      <c r="E129" s="1">
        <v>278497</v>
      </c>
      <c r="F129" t="b">
        <f>AND(COUNTIF(CO!A:A,A129)&gt;0,COUNTIF('NO2'!A:A,A129)&gt;0,COUNTIF('O3'!A:A,A129)&gt;0,COUNTIF('PM10'!A:A,A129)&gt;0,COUNTIF('PM2.5'!A:A,A129)&gt;0,COUNTIF('SO2'!A:A,A129)&gt;0)</f>
        <v>1</v>
      </c>
    </row>
    <row r="130" spans="1:6" x14ac:dyDescent="0.45">
      <c r="A130" s="2">
        <v>45513</v>
      </c>
      <c r="B130" s="1">
        <v>149409</v>
      </c>
      <c r="C130" s="1">
        <v>61009</v>
      </c>
      <c r="D130" s="1">
        <v>31510</v>
      </c>
      <c r="E130" s="1">
        <v>241928</v>
      </c>
      <c r="F130" t="b">
        <f>AND(COUNTIF(CO!A:A,A130)&gt;0,COUNTIF('NO2'!A:A,A130)&gt;0,COUNTIF('O3'!A:A,A130)&gt;0,COUNTIF('PM10'!A:A,A130)&gt;0,COUNTIF('PM2.5'!A:A,A130)&gt;0,COUNTIF('SO2'!A:A,A130)&gt;0)</f>
        <v>1</v>
      </c>
    </row>
    <row r="131" spans="1:6" x14ac:dyDescent="0.45">
      <c r="A131" s="2">
        <v>45514</v>
      </c>
      <c r="B131" s="1">
        <v>161049</v>
      </c>
      <c r="C131" s="1">
        <v>68576</v>
      </c>
      <c r="D131" s="1">
        <v>33505</v>
      </c>
      <c r="E131" s="1">
        <v>263130</v>
      </c>
      <c r="F131" t="b">
        <f>AND(COUNTIF(CO!A:A,A131)&gt;0,COUNTIF('NO2'!A:A,A131)&gt;0,COUNTIF('O3'!A:A,A131)&gt;0,COUNTIF('PM10'!A:A,A131)&gt;0,COUNTIF('PM2.5'!A:A,A131)&gt;0,COUNTIF('SO2'!A:A,A131)&gt;0)</f>
        <v>1</v>
      </c>
    </row>
    <row r="132" spans="1:6" x14ac:dyDescent="0.45">
      <c r="A132" s="2">
        <v>45516</v>
      </c>
      <c r="B132" s="1">
        <v>136297</v>
      </c>
      <c r="C132" s="1">
        <v>55433</v>
      </c>
      <c r="D132" s="1">
        <v>33158</v>
      </c>
      <c r="E132" s="1">
        <v>224888</v>
      </c>
      <c r="F132" t="b">
        <f>AND(COUNTIF(CO!A:A,A132)&gt;0,COUNTIF('NO2'!A:A,A132)&gt;0,COUNTIF('O3'!A:A,A132)&gt;0,COUNTIF('PM10'!A:A,A132)&gt;0,COUNTIF('PM2.5'!A:A,A132)&gt;0,COUNTIF('SO2'!A:A,A132)&gt;0)</f>
        <v>1</v>
      </c>
    </row>
    <row r="133" spans="1:6" x14ac:dyDescent="0.45">
      <c r="A133" s="2">
        <v>45517</v>
      </c>
      <c r="B133" s="1">
        <v>135026</v>
      </c>
      <c r="C133" s="1">
        <v>54819</v>
      </c>
      <c r="D133" s="1">
        <v>35225</v>
      </c>
      <c r="E133" s="1">
        <v>225070</v>
      </c>
      <c r="F133" t="b">
        <f>AND(COUNTIF(CO!A:A,A133)&gt;0,COUNTIF('NO2'!A:A,A133)&gt;0,COUNTIF('O3'!A:A,A133)&gt;0,COUNTIF('PM10'!A:A,A133)&gt;0,COUNTIF('PM2.5'!A:A,A133)&gt;0,COUNTIF('SO2'!A:A,A133)&gt;0)</f>
        <v>1</v>
      </c>
    </row>
    <row r="134" spans="1:6" x14ac:dyDescent="0.45">
      <c r="A134" s="2">
        <v>45518</v>
      </c>
      <c r="B134" s="1">
        <v>128558</v>
      </c>
      <c r="C134" s="1">
        <v>54660</v>
      </c>
      <c r="D134" s="1">
        <v>30367</v>
      </c>
      <c r="E134" s="1">
        <v>213585</v>
      </c>
      <c r="F134" t="b">
        <f>AND(COUNTIF(CO!A:A,A134)&gt;0,COUNTIF('NO2'!A:A,A134)&gt;0,COUNTIF('O3'!A:A,A134)&gt;0,COUNTIF('PM10'!A:A,A134)&gt;0,COUNTIF('PM2.5'!A:A,A134)&gt;0,COUNTIF('SO2'!A:A,A134)&gt;0)</f>
        <v>1</v>
      </c>
    </row>
    <row r="135" spans="1:6" x14ac:dyDescent="0.45">
      <c r="A135" s="2">
        <v>45519</v>
      </c>
      <c r="B135" s="1">
        <v>126932</v>
      </c>
      <c r="C135" s="1">
        <v>54148</v>
      </c>
      <c r="D135" s="1">
        <v>30229</v>
      </c>
      <c r="E135" s="1">
        <v>211309</v>
      </c>
      <c r="F135" t="b">
        <f>AND(COUNTIF(CO!A:A,A135)&gt;0,COUNTIF('NO2'!A:A,A135)&gt;0,COUNTIF('O3'!A:A,A135)&gt;0,COUNTIF('PM10'!A:A,A135)&gt;0,COUNTIF('PM2.5'!A:A,A135)&gt;0,COUNTIF('SO2'!A:A,A135)&gt;0)</f>
        <v>1</v>
      </c>
    </row>
    <row r="136" spans="1:6" x14ac:dyDescent="0.45">
      <c r="A136" s="2">
        <v>45521</v>
      </c>
      <c r="B136" s="1">
        <v>129924</v>
      </c>
      <c r="C136" s="1">
        <v>57816</v>
      </c>
      <c r="D136" s="1">
        <v>27095</v>
      </c>
      <c r="E136" s="1">
        <v>214835</v>
      </c>
      <c r="F136" t="b">
        <f>AND(COUNTIF(CO!A:A,A136)&gt;0,COUNTIF('NO2'!A:A,A136)&gt;0,COUNTIF('O3'!A:A,A136)&gt;0,COUNTIF('PM10'!A:A,A136)&gt;0,COUNTIF('PM2.5'!A:A,A136)&gt;0,COUNTIF('SO2'!A:A,A136)&gt;0)</f>
        <v>1</v>
      </c>
    </row>
    <row r="137" spans="1:6" x14ac:dyDescent="0.45">
      <c r="A137" s="2">
        <v>45522</v>
      </c>
      <c r="B137" s="1">
        <v>108541</v>
      </c>
      <c r="C137" s="1">
        <v>53560</v>
      </c>
      <c r="D137" s="1">
        <v>26172</v>
      </c>
      <c r="E137" s="1">
        <v>188273</v>
      </c>
      <c r="F137" t="b">
        <f>AND(COUNTIF(CO!A:A,A137)&gt;0,COUNTIF('NO2'!A:A,A137)&gt;0,COUNTIF('O3'!A:A,A137)&gt;0,COUNTIF('PM10'!A:A,A137)&gt;0,COUNTIF('PM2.5'!A:A,A137)&gt;0,COUNTIF('SO2'!A:A,A137)&gt;0)</f>
        <v>1</v>
      </c>
    </row>
    <row r="138" spans="1:6" x14ac:dyDescent="0.45">
      <c r="A138" s="2">
        <v>45523</v>
      </c>
      <c r="B138" s="1">
        <v>150663</v>
      </c>
      <c r="C138" s="1">
        <v>58354</v>
      </c>
      <c r="D138" s="1">
        <v>32382</v>
      </c>
      <c r="E138" s="1">
        <v>241399</v>
      </c>
      <c r="F138" t="b">
        <f>AND(COUNTIF(CO!A:A,A138)&gt;0,COUNTIF('NO2'!A:A,A138)&gt;0,COUNTIF('O3'!A:A,A138)&gt;0,COUNTIF('PM10'!A:A,A138)&gt;0,COUNTIF('PM2.5'!A:A,A138)&gt;0,COUNTIF('SO2'!A:A,A138)&gt;0)</f>
        <v>1</v>
      </c>
    </row>
    <row r="139" spans="1:6" x14ac:dyDescent="0.45">
      <c r="A139" s="2">
        <v>45524</v>
      </c>
      <c r="B139" s="1">
        <v>141591</v>
      </c>
      <c r="C139" s="1">
        <v>56310</v>
      </c>
      <c r="D139" s="1">
        <v>32850</v>
      </c>
      <c r="E139" s="1">
        <v>230751</v>
      </c>
      <c r="F139" t="b">
        <f>AND(COUNTIF(CO!A:A,A139)&gt;0,COUNTIF('NO2'!A:A,A139)&gt;0,COUNTIF('O3'!A:A,A139)&gt;0,COUNTIF('PM10'!A:A,A139)&gt;0,COUNTIF('PM2.5'!A:A,A139)&gt;0,COUNTIF('SO2'!A:A,A139)&gt;0)</f>
        <v>1</v>
      </c>
    </row>
    <row r="140" spans="1:6" x14ac:dyDescent="0.45">
      <c r="A140" s="2">
        <v>45525</v>
      </c>
      <c r="B140" s="1">
        <v>144659</v>
      </c>
      <c r="C140" s="1">
        <v>57322</v>
      </c>
      <c r="D140" s="1">
        <v>34379</v>
      </c>
      <c r="E140" s="1">
        <v>236360</v>
      </c>
      <c r="F140" t="b">
        <f>AND(COUNTIF(CO!A:A,A140)&gt;0,COUNTIF('NO2'!A:A,A140)&gt;0,COUNTIF('O3'!A:A,A140)&gt;0,COUNTIF('PM10'!A:A,A140)&gt;0,COUNTIF('PM2.5'!A:A,A140)&gt;0,COUNTIF('SO2'!A:A,A140)&gt;0)</f>
        <v>1</v>
      </c>
    </row>
    <row r="141" spans="1:6" x14ac:dyDescent="0.45">
      <c r="A141" s="2">
        <v>45526</v>
      </c>
      <c r="B141" s="1">
        <v>185595</v>
      </c>
      <c r="C141" s="1">
        <v>61630</v>
      </c>
      <c r="D141" s="1">
        <v>30818</v>
      </c>
      <c r="E141" s="1">
        <v>278043</v>
      </c>
      <c r="F141" t="b">
        <f>AND(COUNTIF(CO!A:A,A141)&gt;0,COUNTIF('NO2'!A:A,A141)&gt;0,COUNTIF('O3'!A:A,A141)&gt;0,COUNTIF('PM10'!A:A,A141)&gt;0,COUNTIF('PM2.5'!A:A,A141)&gt;0,COUNTIF('SO2'!A:A,A141)&gt;0)</f>
        <v>1</v>
      </c>
    </row>
    <row r="142" spans="1:6" x14ac:dyDescent="0.45">
      <c r="A142" s="2">
        <v>45527</v>
      </c>
      <c r="B142" s="1">
        <v>183187</v>
      </c>
      <c r="C142" s="1">
        <v>62998</v>
      </c>
      <c r="D142" s="1">
        <v>29917</v>
      </c>
      <c r="E142" s="1">
        <v>276102</v>
      </c>
      <c r="F142" t="b">
        <f>AND(COUNTIF(CO!A:A,A142)&gt;0,COUNTIF('NO2'!A:A,A142)&gt;0,COUNTIF('O3'!A:A,A142)&gt;0,COUNTIF('PM10'!A:A,A142)&gt;0,COUNTIF('PM2.5'!A:A,A142)&gt;0,COUNTIF('SO2'!A:A,A142)&gt;0)</f>
        <v>1</v>
      </c>
    </row>
    <row r="143" spans="1:6" x14ac:dyDescent="0.45">
      <c r="A143" s="2">
        <v>45528</v>
      </c>
      <c r="B143" s="1">
        <v>136425</v>
      </c>
      <c r="C143" s="1">
        <v>65598</v>
      </c>
      <c r="D143" s="1">
        <v>34562</v>
      </c>
      <c r="E143" s="1">
        <v>236585</v>
      </c>
      <c r="F143" t="b">
        <f>AND(COUNTIF(CO!A:A,A143)&gt;0,COUNTIF('NO2'!A:A,A143)&gt;0,COUNTIF('O3'!A:A,A143)&gt;0,COUNTIF('PM10'!A:A,A143)&gt;0,COUNTIF('PM2.5'!A:A,A143)&gt;0,COUNTIF('SO2'!A:A,A143)&gt;0)</f>
        <v>1</v>
      </c>
    </row>
    <row r="144" spans="1:6" x14ac:dyDescent="0.45">
      <c r="A144" s="2">
        <v>45529</v>
      </c>
      <c r="B144" s="1">
        <v>120256</v>
      </c>
      <c r="C144" s="1">
        <v>52810</v>
      </c>
      <c r="D144" s="1">
        <v>28210</v>
      </c>
      <c r="E144" s="1">
        <v>201276</v>
      </c>
      <c r="F144" t="b">
        <f>AND(COUNTIF(CO!A:A,A144)&gt;0,COUNTIF('NO2'!A:A,A144)&gt;0,COUNTIF('O3'!A:A,A144)&gt;0,COUNTIF('PM10'!A:A,A144)&gt;0,COUNTIF('PM2.5'!A:A,A144)&gt;0,COUNTIF('SO2'!A:A,A144)&gt;0)</f>
        <v>1</v>
      </c>
    </row>
    <row r="145" spans="1:6" x14ac:dyDescent="0.45">
      <c r="A145" s="2">
        <v>45530</v>
      </c>
      <c r="B145" s="1">
        <v>182228</v>
      </c>
      <c r="C145" s="1">
        <v>67624</v>
      </c>
      <c r="D145" s="1">
        <v>35410</v>
      </c>
      <c r="E145" s="1">
        <v>285262</v>
      </c>
      <c r="F145" t="b">
        <f>AND(COUNTIF(CO!A:A,A145)&gt;0,COUNTIF('NO2'!A:A,A145)&gt;0,COUNTIF('O3'!A:A,A145)&gt;0,COUNTIF('PM10'!A:A,A145)&gt;0,COUNTIF('PM2.5'!A:A,A145)&gt;0,COUNTIF('SO2'!A:A,A145)&gt;0)</f>
        <v>1</v>
      </c>
    </row>
    <row r="146" spans="1:6" x14ac:dyDescent="0.45">
      <c r="A146" s="2">
        <v>45531</v>
      </c>
      <c r="B146" s="1">
        <v>156626</v>
      </c>
      <c r="C146" s="1">
        <v>47429</v>
      </c>
      <c r="D146" s="1">
        <v>32306</v>
      </c>
      <c r="E146" s="1">
        <v>236361</v>
      </c>
      <c r="F146" t="b">
        <f>AND(COUNTIF(CO!A:A,A146)&gt;0,COUNTIF('NO2'!A:A,A146)&gt;0,COUNTIF('O3'!A:A,A146)&gt;0,COUNTIF('PM10'!A:A,A146)&gt;0,COUNTIF('PM2.5'!A:A,A146)&gt;0,COUNTIF('SO2'!A:A,A146)&gt;0)</f>
        <v>1</v>
      </c>
    </row>
    <row r="147" spans="1:6" x14ac:dyDescent="0.45">
      <c r="A147" s="2">
        <v>45532</v>
      </c>
      <c r="B147" s="1">
        <v>188705</v>
      </c>
      <c r="C147" s="1">
        <v>63179</v>
      </c>
      <c r="D147" s="1">
        <v>31317</v>
      </c>
      <c r="E147" s="1">
        <v>283201</v>
      </c>
      <c r="F147" t="b">
        <f>AND(COUNTIF(CO!A:A,A147)&gt;0,COUNTIF('NO2'!A:A,A147)&gt;0,COUNTIF('O3'!A:A,A147)&gt;0,COUNTIF('PM10'!A:A,A147)&gt;0,COUNTIF('PM2.5'!A:A,A147)&gt;0,COUNTIF('SO2'!A:A,A147)&gt;0)</f>
        <v>1</v>
      </c>
    </row>
    <row r="148" spans="1:6" x14ac:dyDescent="0.45">
      <c r="A148" s="2">
        <v>45533</v>
      </c>
      <c r="B148" s="1">
        <v>190673</v>
      </c>
      <c r="C148" s="1">
        <v>61813</v>
      </c>
      <c r="D148" s="1">
        <v>29330</v>
      </c>
      <c r="E148" s="1">
        <v>281816</v>
      </c>
      <c r="F148" t="b">
        <f>AND(COUNTIF(CO!A:A,A148)&gt;0,COUNTIF('NO2'!A:A,A148)&gt;0,COUNTIF('O3'!A:A,A148)&gt;0,COUNTIF('PM10'!A:A,A148)&gt;0,COUNTIF('PM2.5'!A:A,A148)&gt;0,COUNTIF('SO2'!A:A,A148)&gt;0)</f>
        <v>1</v>
      </c>
    </row>
    <row r="149" spans="1:6" x14ac:dyDescent="0.45">
      <c r="A149" s="2">
        <v>45534</v>
      </c>
      <c r="B149" s="1">
        <v>139560</v>
      </c>
      <c r="C149" s="1">
        <v>59350</v>
      </c>
      <c r="D149" s="1">
        <v>36554</v>
      </c>
      <c r="E149" s="1">
        <v>235464</v>
      </c>
      <c r="F149" t="b">
        <f>AND(COUNTIF(CO!A:A,A149)&gt;0,COUNTIF('NO2'!A:A,A149)&gt;0,COUNTIF('O3'!A:A,A149)&gt;0,COUNTIF('PM10'!A:A,A149)&gt;0,COUNTIF('PM2.5'!A:A,A149)&gt;0,COUNTIF('SO2'!A:A,A149)&gt;0)</f>
        <v>1</v>
      </c>
    </row>
    <row r="150" spans="1:6" x14ac:dyDescent="0.45">
      <c r="A150" s="2">
        <v>45535</v>
      </c>
      <c r="B150" s="1">
        <v>145666</v>
      </c>
      <c r="C150" s="1">
        <v>62968</v>
      </c>
      <c r="D150" s="1">
        <v>36491</v>
      </c>
      <c r="E150" s="1">
        <v>245125</v>
      </c>
      <c r="F150" t="b">
        <f>AND(COUNTIF(CO!A:A,A150)&gt;0,COUNTIF('NO2'!A:A,A150)&gt;0,COUNTIF('O3'!A:A,A150)&gt;0,COUNTIF('PM10'!A:A,A150)&gt;0,COUNTIF('PM2.5'!A:A,A150)&gt;0,COUNTIF('SO2'!A:A,A150)&gt;0)</f>
        <v>1</v>
      </c>
    </row>
    <row r="151" spans="1:6" x14ac:dyDescent="0.45">
      <c r="A151" s="2">
        <v>45536</v>
      </c>
      <c r="B151" s="1">
        <v>145752</v>
      </c>
      <c r="C151" s="1">
        <v>63353</v>
      </c>
      <c r="D151" s="1">
        <v>30738</v>
      </c>
      <c r="E151" s="1">
        <v>239843</v>
      </c>
      <c r="F151" t="b">
        <f>AND(COUNTIF(CO!A:A,A151)&gt;0,COUNTIF('NO2'!A:A,A151)&gt;0,COUNTIF('O3'!A:A,A151)&gt;0,COUNTIF('PM10'!A:A,A151)&gt;0,COUNTIF('PM2.5'!A:A,A151)&gt;0,COUNTIF('SO2'!A:A,A151)&gt;0)</f>
        <v>1</v>
      </c>
    </row>
    <row r="152" spans="1:6" x14ac:dyDescent="0.45">
      <c r="A152" s="2">
        <v>45537</v>
      </c>
      <c r="B152" s="1">
        <v>174405</v>
      </c>
      <c r="C152" s="1">
        <v>58698</v>
      </c>
      <c r="D152" s="1">
        <v>33790</v>
      </c>
      <c r="E152" s="1">
        <v>266893</v>
      </c>
      <c r="F152" t="b">
        <f>AND(COUNTIF(CO!A:A,A152)&gt;0,COUNTIF('NO2'!A:A,A152)&gt;0,COUNTIF('O3'!A:A,A152)&gt;0,COUNTIF('PM10'!A:A,A152)&gt;0,COUNTIF('PM2.5'!A:A,A152)&gt;0,COUNTIF('SO2'!A:A,A152)&gt;0)</f>
        <v>1</v>
      </c>
    </row>
    <row r="153" spans="1:6" x14ac:dyDescent="0.45">
      <c r="A153" s="2">
        <v>45538</v>
      </c>
      <c r="B153" s="1">
        <v>171788</v>
      </c>
      <c r="C153" s="1">
        <v>57245</v>
      </c>
      <c r="D153" s="1">
        <v>33640</v>
      </c>
      <c r="E153" s="1">
        <v>262673</v>
      </c>
      <c r="F153" t="b">
        <f>AND(COUNTIF(CO!A:A,A153)&gt;0,COUNTIF('NO2'!A:A,A153)&gt;0,COUNTIF('O3'!A:A,A153)&gt;0,COUNTIF('PM10'!A:A,A153)&gt;0,COUNTIF('PM2.5'!A:A,A153)&gt;0,COUNTIF('SO2'!A:A,A153)&gt;0)</f>
        <v>1</v>
      </c>
    </row>
    <row r="154" spans="1:6" x14ac:dyDescent="0.45">
      <c r="A154" s="2">
        <v>45539</v>
      </c>
      <c r="B154" s="1">
        <v>161779</v>
      </c>
      <c r="C154" s="1">
        <v>57759</v>
      </c>
      <c r="D154" s="1">
        <v>32843</v>
      </c>
      <c r="E154" s="1">
        <v>252381</v>
      </c>
      <c r="F154" t="b">
        <f>AND(COUNTIF(CO!A:A,A154)&gt;0,COUNTIF('NO2'!A:A,A154)&gt;0,COUNTIF('O3'!A:A,A154)&gt;0,COUNTIF('PM10'!A:A,A154)&gt;0,COUNTIF('PM2.5'!A:A,A154)&gt;0,COUNTIF('SO2'!A:A,A154)&gt;0)</f>
        <v>1</v>
      </c>
    </row>
    <row r="155" spans="1:6" x14ac:dyDescent="0.45">
      <c r="A155" s="2">
        <v>45540</v>
      </c>
      <c r="B155" s="1">
        <v>162285</v>
      </c>
      <c r="C155" s="1">
        <v>59049</v>
      </c>
      <c r="D155" s="1">
        <v>33792</v>
      </c>
      <c r="E155" s="1">
        <v>255126</v>
      </c>
      <c r="F155" t="b">
        <f>AND(COUNTIF(CO!A:A,A155)&gt;0,COUNTIF('NO2'!A:A,A155)&gt;0,COUNTIF('O3'!A:A,A155)&gt;0,COUNTIF('PM10'!A:A,A155)&gt;0,COUNTIF('PM2.5'!A:A,A155)&gt;0,COUNTIF('SO2'!A:A,A155)&gt;0)</f>
        <v>1</v>
      </c>
    </row>
    <row r="156" spans="1:6" x14ac:dyDescent="0.45">
      <c r="A156" s="2">
        <v>45541</v>
      </c>
      <c r="B156" s="1">
        <v>156484</v>
      </c>
      <c r="C156" s="1">
        <v>58110</v>
      </c>
      <c r="D156" s="1">
        <v>33863</v>
      </c>
      <c r="E156" s="1">
        <v>248457</v>
      </c>
      <c r="F156" t="b">
        <f>AND(COUNTIF(CO!A:A,A156)&gt;0,COUNTIF('NO2'!A:A,A156)&gt;0,COUNTIF('O3'!A:A,A156)&gt;0,COUNTIF('PM10'!A:A,A156)&gt;0,COUNTIF('PM2.5'!A:A,A156)&gt;0,COUNTIF('SO2'!A:A,A156)&gt;0)</f>
        <v>1</v>
      </c>
    </row>
    <row r="157" spans="1:6" x14ac:dyDescent="0.45">
      <c r="A157" s="2">
        <v>45542</v>
      </c>
      <c r="B157" s="1">
        <v>166592</v>
      </c>
      <c r="C157" s="1">
        <v>64308</v>
      </c>
      <c r="D157" s="1">
        <v>33365</v>
      </c>
      <c r="E157" s="1">
        <v>264265</v>
      </c>
      <c r="F157" t="b">
        <f>AND(COUNTIF(CO!A:A,A157)&gt;0,COUNTIF('NO2'!A:A,A157)&gt;0,COUNTIF('O3'!A:A,A157)&gt;0,COUNTIF('PM10'!A:A,A157)&gt;0,COUNTIF('PM2.5'!A:A,A157)&gt;0,COUNTIF('SO2'!A:A,A157)&gt;0)</f>
        <v>1</v>
      </c>
    </row>
    <row r="158" spans="1:6" x14ac:dyDescent="0.45">
      <c r="A158" s="2">
        <v>45543</v>
      </c>
      <c r="B158" s="1">
        <v>131873</v>
      </c>
      <c r="C158" s="1">
        <v>57061</v>
      </c>
      <c r="D158" s="1">
        <v>24442</v>
      </c>
      <c r="E158" s="1">
        <v>213376</v>
      </c>
      <c r="F158" t="b">
        <f>AND(COUNTIF(CO!A:A,A158)&gt;0,COUNTIF('NO2'!A:A,A158)&gt;0,COUNTIF('O3'!A:A,A158)&gt;0,COUNTIF('PM10'!A:A,A158)&gt;0,COUNTIF('PM2.5'!A:A,A158)&gt;0,COUNTIF('SO2'!A:A,A158)&gt;0)</f>
        <v>1</v>
      </c>
    </row>
    <row r="159" spans="1:6" x14ac:dyDescent="0.45">
      <c r="A159" s="2">
        <v>45544</v>
      </c>
      <c r="B159" s="1">
        <v>164380</v>
      </c>
      <c r="C159" s="1">
        <v>59112</v>
      </c>
      <c r="D159" s="1">
        <v>27179</v>
      </c>
      <c r="E159" s="1">
        <v>250671</v>
      </c>
      <c r="F159" t="b">
        <f>AND(COUNTIF(CO!A:A,A159)&gt;0,COUNTIF('NO2'!A:A,A159)&gt;0,COUNTIF('O3'!A:A,A159)&gt;0,COUNTIF('PM10'!A:A,A159)&gt;0,COUNTIF('PM2.5'!A:A,A159)&gt;0,COUNTIF('SO2'!A:A,A159)&gt;0)</f>
        <v>1</v>
      </c>
    </row>
    <row r="160" spans="1:6" x14ac:dyDescent="0.45">
      <c r="A160" s="2">
        <v>45545</v>
      </c>
      <c r="B160" s="1">
        <v>128950</v>
      </c>
      <c r="C160" s="1">
        <v>45430</v>
      </c>
      <c r="D160" s="1">
        <v>22464</v>
      </c>
      <c r="E160" s="1">
        <v>196844</v>
      </c>
      <c r="F160" t="b">
        <f>AND(COUNTIF(CO!A:A,A160)&gt;0,COUNTIF('NO2'!A:A,A160)&gt;0,COUNTIF('O3'!A:A,A160)&gt;0,COUNTIF('PM10'!A:A,A160)&gt;0,COUNTIF('PM2.5'!A:A,A160)&gt;0,COUNTIF('SO2'!A:A,A160)&gt;0)</f>
        <v>1</v>
      </c>
    </row>
    <row r="161" spans="1:6" x14ac:dyDescent="0.45">
      <c r="A161" s="2">
        <v>45546</v>
      </c>
      <c r="B161" s="1">
        <v>177275</v>
      </c>
      <c r="C161" s="1">
        <v>58504</v>
      </c>
      <c r="D161" s="1">
        <v>27306</v>
      </c>
      <c r="E161" s="1">
        <v>263085</v>
      </c>
      <c r="F161" t="b">
        <f>AND(COUNTIF(CO!A:A,A161)&gt;0,COUNTIF('NO2'!A:A,A161)&gt;0,COUNTIF('O3'!A:A,A161)&gt;0,COUNTIF('PM10'!A:A,A161)&gt;0,COUNTIF('PM2.5'!A:A,A161)&gt;0,COUNTIF('SO2'!A:A,A161)&gt;0)</f>
        <v>1</v>
      </c>
    </row>
    <row r="162" spans="1:6" x14ac:dyDescent="0.45">
      <c r="A162" s="2">
        <v>45547</v>
      </c>
      <c r="B162" s="1">
        <v>172098</v>
      </c>
      <c r="C162" s="1">
        <v>48441</v>
      </c>
      <c r="D162" s="1">
        <v>30742</v>
      </c>
      <c r="E162" s="1">
        <v>251281</v>
      </c>
      <c r="F162" t="b">
        <f>AND(COUNTIF(CO!A:A,A162)&gt;0,COUNTIF('NO2'!A:A,A162)&gt;0,COUNTIF('O3'!A:A,A162)&gt;0,COUNTIF('PM10'!A:A,A162)&gt;0,COUNTIF('PM2.5'!A:A,A162)&gt;0,COUNTIF('SO2'!A:A,A162)&gt;0)</f>
        <v>1</v>
      </c>
    </row>
    <row r="163" spans="1:6" x14ac:dyDescent="0.45">
      <c r="A163" s="2">
        <v>45548</v>
      </c>
      <c r="B163" s="1">
        <v>154841</v>
      </c>
      <c r="C163" s="1">
        <v>55793</v>
      </c>
      <c r="D163" s="1">
        <v>31479</v>
      </c>
      <c r="E163" s="1">
        <v>242113</v>
      </c>
      <c r="F163" t="b">
        <f>AND(COUNTIF(CO!A:A,A163)&gt;0,COUNTIF('NO2'!A:A,A163)&gt;0,COUNTIF('O3'!A:A,A163)&gt;0,COUNTIF('PM10'!A:A,A163)&gt;0,COUNTIF('PM2.5'!A:A,A163)&gt;0,COUNTIF('SO2'!A:A,A163)&gt;0)</f>
        <v>1</v>
      </c>
    </row>
    <row r="164" spans="1:6" x14ac:dyDescent="0.45">
      <c r="A164" s="2">
        <v>45549</v>
      </c>
      <c r="B164" s="1">
        <v>161029</v>
      </c>
      <c r="C164" s="1">
        <v>64966</v>
      </c>
      <c r="D164" s="1">
        <v>32537</v>
      </c>
      <c r="E164" s="1">
        <v>258532</v>
      </c>
      <c r="F164" t="b">
        <f>AND(COUNTIF(CO!A:A,A164)&gt;0,COUNTIF('NO2'!A:A,A164)&gt;0,COUNTIF('O3'!A:A,A164)&gt;0,COUNTIF('PM10'!A:A,A164)&gt;0,COUNTIF('PM2.5'!A:A,A164)&gt;0,COUNTIF('SO2'!A:A,A164)&gt;0)</f>
        <v>1</v>
      </c>
    </row>
    <row r="165" spans="1:6" x14ac:dyDescent="0.45">
      <c r="A165" s="2">
        <v>45550</v>
      </c>
      <c r="B165" s="1">
        <v>145832</v>
      </c>
      <c r="C165" s="1">
        <v>66004</v>
      </c>
      <c r="D165" s="1">
        <v>29228</v>
      </c>
      <c r="E165" s="1">
        <v>241064</v>
      </c>
      <c r="F165" t="b">
        <f>AND(COUNTIF(CO!A:A,A165)&gt;0,COUNTIF('NO2'!A:A,A165)&gt;0,COUNTIF('O3'!A:A,A165)&gt;0,COUNTIF('PM10'!A:A,A165)&gt;0,COUNTIF('PM2.5'!A:A,A165)&gt;0,COUNTIF('SO2'!A:A,A165)&gt;0)</f>
        <v>1</v>
      </c>
    </row>
    <row r="166" spans="1:6" x14ac:dyDescent="0.45">
      <c r="A166" s="2">
        <v>45551</v>
      </c>
      <c r="B166" s="1">
        <v>136697</v>
      </c>
      <c r="C166" s="1">
        <v>57657</v>
      </c>
      <c r="D166" s="1">
        <v>31551</v>
      </c>
      <c r="E166" s="1">
        <v>225905</v>
      </c>
      <c r="F166" t="b">
        <f>AND(COUNTIF(CO!A:A,A166)&gt;0,COUNTIF('NO2'!A:A,A166)&gt;0,COUNTIF('O3'!A:A,A166)&gt;0,COUNTIF('PM10'!A:A,A166)&gt;0,COUNTIF('PM2.5'!A:A,A166)&gt;0,COUNTIF('SO2'!A:A,A166)&gt;0)</f>
        <v>1</v>
      </c>
    </row>
    <row r="167" spans="1:6" x14ac:dyDescent="0.45">
      <c r="A167" s="2">
        <v>45552</v>
      </c>
      <c r="B167" s="1">
        <v>149851</v>
      </c>
      <c r="C167" s="1">
        <v>54386</v>
      </c>
      <c r="D167" s="1">
        <v>33165</v>
      </c>
      <c r="E167" s="1">
        <v>237402</v>
      </c>
      <c r="F167" t="b">
        <f>AND(COUNTIF(CO!A:A,A167)&gt;0,COUNTIF('NO2'!A:A,A167)&gt;0,COUNTIF('O3'!A:A,A167)&gt;0,COUNTIF('PM10'!A:A,A167)&gt;0,COUNTIF('PM2.5'!A:A,A167)&gt;0,COUNTIF('SO2'!A:A,A167)&gt;0)</f>
        <v>1</v>
      </c>
    </row>
    <row r="168" spans="1:6" x14ac:dyDescent="0.45">
      <c r="A168" s="2">
        <v>45553</v>
      </c>
      <c r="B168" s="1">
        <v>155082</v>
      </c>
      <c r="C168" s="1">
        <v>54159</v>
      </c>
      <c r="D168" s="1">
        <v>33790</v>
      </c>
      <c r="E168" s="1">
        <v>243031</v>
      </c>
      <c r="F168" t="b">
        <f>AND(COUNTIF(CO!A:A,A168)&gt;0,COUNTIF('NO2'!A:A,A168)&gt;0,COUNTIF('O3'!A:A,A168)&gt;0,COUNTIF('PM10'!A:A,A168)&gt;0,COUNTIF('PM2.5'!A:A,A168)&gt;0,COUNTIF('SO2'!A:A,A168)&gt;0)</f>
        <v>1</v>
      </c>
    </row>
    <row r="169" spans="1:6" x14ac:dyDescent="0.45">
      <c r="A169" s="2">
        <v>45554</v>
      </c>
      <c r="B169" s="1">
        <v>153024</v>
      </c>
      <c r="C169" s="1">
        <v>55497</v>
      </c>
      <c r="D169" s="1">
        <v>33345</v>
      </c>
      <c r="E169" s="1">
        <v>241866</v>
      </c>
      <c r="F169" t="b">
        <f>AND(COUNTIF(CO!A:A,A169)&gt;0,COUNTIF('NO2'!A:A,A169)&gt;0,COUNTIF('O3'!A:A,A169)&gt;0,COUNTIF('PM10'!A:A,A169)&gt;0,COUNTIF('PM2.5'!A:A,A169)&gt;0,COUNTIF('SO2'!A:A,A169)&gt;0)</f>
        <v>1</v>
      </c>
    </row>
    <row r="170" spans="1:6" x14ac:dyDescent="0.45">
      <c r="A170" s="2">
        <v>45555</v>
      </c>
      <c r="B170" s="1">
        <v>162784</v>
      </c>
      <c r="C170" s="1">
        <v>57150</v>
      </c>
      <c r="D170" s="1">
        <v>32428</v>
      </c>
      <c r="E170" s="1">
        <v>252362</v>
      </c>
      <c r="F170" t="b">
        <f>AND(COUNTIF(CO!A:A,A170)&gt;0,COUNTIF('NO2'!A:A,A170)&gt;0,COUNTIF('O3'!A:A,A170)&gt;0,COUNTIF('PM10'!A:A,A170)&gt;0,COUNTIF('PM2.5'!A:A,A170)&gt;0,COUNTIF('SO2'!A:A,A170)&gt;0)</f>
        <v>1</v>
      </c>
    </row>
    <row r="171" spans="1:6" x14ac:dyDescent="0.45">
      <c r="A171" s="2">
        <v>45556</v>
      </c>
      <c r="B171" s="1">
        <v>190846</v>
      </c>
      <c r="C171" s="1">
        <v>65996</v>
      </c>
      <c r="D171" s="1">
        <v>25669</v>
      </c>
      <c r="E171" s="1">
        <v>282511</v>
      </c>
      <c r="F171" t="b">
        <f>AND(COUNTIF(CO!A:A,A171)&gt;0,COUNTIF('NO2'!A:A,A171)&gt;0,COUNTIF('O3'!A:A,A171)&gt;0,COUNTIF('PM10'!A:A,A171)&gt;0,COUNTIF('PM2.5'!A:A,A171)&gt;0,COUNTIF('SO2'!A:A,A171)&gt;0)</f>
        <v>1</v>
      </c>
    </row>
    <row r="172" spans="1:6" x14ac:dyDescent="0.45">
      <c r="A172" s="2">
        <v>45557</v>
      </c>
      <c r="B172" s="1">
        <v>155989</v>
      </c>
      <c r="C172" s="1">
        <v>58943</v>
      </c>
      <c r="D172" s="1">
        <v>20762</v>
      </c>
      <c r="E172" s="1">
        <v>235694</v>
      </c>
      <c r="F172" t="b">
        <f>AND(COUNTIF(CO!A:A,A172)&gt;0,COUNTIF('NO2'!A:A,A172)&gt;0,COUNTIF('O3'!A:A,A172)&gt;0,COUNTIF('PM10'!A:A,A172)&gt;0,COUNTIF('PM2.5'!A:A,A172)&gt;0,COUNTIF('SO2'!A:A,A172)&gt;0)</f>
        <v>1</v>
      </c>
    </row>
    <row r="173" spans="1:6" x14ac:dyDescent="0.45">
      <c r="A173" s="2">
        <v>45558</v>
      </c>
      <c r="B173" s="1">
        <v>194713</v>
      </c>
      <c r="C173" s="1">
        <v>60197</v>
      </c>
      <c r="D173" s="1">
        <v>21173</v>
      </c>
      <c r="E173" s="1">
        <v>276083</v>
      </c>
      <c r="F173" t="b">
        <f>AND(COUNTIF(CO!A:A,A173)&gt;0,COUNTIF('NO2'!A:A,A173)&gt;0,COUNTIF('O3'!A:A,A173)&gt;0,COUNTIF('PM10'!A:A,A173)&gt;0,COUNTIF('PM2.5'!A:A,A173)&gt;0,COUNTIF('SO2'!A:A,A173)&gt;0)</f>
        <v>1</v>
      </c>
    </row>
    <row r="174" spans="1:6" x14ac:dyDescent="0.45">
      <c r="A174" s="2">
        <v>45559</v>
      </c>
      <c r="B174" s="1">
        <v>189980</v>
      </c>
      <c r="C174" s="1">
        <v>63186</v>
      </c>
      <c r="D174" s="1">
        <v>30152</v>
      </c>
      <c r="E174" s="1">
        <v>283318</v>
      </c>
      <c r="F174" t="b">
        <f>AND(COUNTIF(CO!A:A,A174)&gt;0,COUNTIF('NO2'!A:A,A174)&gt;0,COUNTIF('O3'!A:A,A174)&gt;0,COUNTIF('PM10'!A:A,A174)&gt;0,COUNTIF('PM2.5'!A:A,A174)&gt;0,COUNTIF('SO2'!A:A,A174)&gt;0)</f>
        <v>1</v>
      </c>
    </row>
    <row r="175" spans="1:6" x14ac:dyDescent="0.45">
      <c r="A175" s="2">
        <v>45560</v>
      </c>
      <c r="B175" s="1">
        <v>153802</v>
      </c>
      <c r="C175" s="1">
        <v>60164</v>
      </c>
      <c r="D175" s="1">
        <v>28209</v>
      </c>
      <c r="E175" s="1">
        <v>242175</v>
      </c>
      <c r="F175" t="b">
        <f>AND(COUNTIF(CO!A:A,A175)&gt;0,COUNTIF('NO2'!A:A,A175)&gt;0,COUNTIF('O3'!A:A,A175)&gt;0,COUNTIF('PM10'!A:A,A175)&gt;0,COUNTIF('PM2.5'!A:A,A175)&gt;0,COUNTIF('SO2'!A:A,A175)&gt;0)</f>
        <v>1</v>
      </c>
    </row>
    <row r="176" spans="1:6" x14ac:dyDescent="0.45">
      <c r="A176" s="2">
        <v>45561</v>
      </c>
      <c r="B176" s="1">
        <v>184919</v>
      </c>
      <c r="C176" s="1">
        <v>63736</v>
      </c>
      <c r="D176" s="1">
        <v>25400</v>
      </c>
      <c r="E176" s="1">
        <v>274055</v>
      </c>
      <c r="F176" t="b">
        <f>AND(COUNTIF(CO!A:A,A176)&gt;0,COUNTIF('NO2'!A:A,A176)&gt;0,COUNTIF('O3'!A:A,A176)&gt;0,COUNTIF('PM10'!A:A,A176)&gt;0,COUNTIF('PM2.5'!A:A,A176)&gt;0,COUNTIF('SO2'!A:A,A176)&gt;0)</f>
        <v>1</v>
      </c>
    </row>
    <row r="177" spans="1:6" x14ac:dyDescent="0.45">
      <c r="A177" s="2">
        <v>45562</v>
      </c>
      <c r="B177" s="1">
        <v>191785</v>
      </c>
      <c r="C177" s="1">
        <v>62271</v>
      </c>
      <c r="D177" s="1">
        <v>25886</v>
      </c>
      <c r="E177" s="1">
        <v>279942</v>
      </c>
      <c r="F177" t="b">
        <f>AND(COUNTIF(CO!A:A,A177)&gt;0,COUNTIF('NO2'!A:A,A177)&gt;0,COUNTIF('O3'!A:A,A177)&gt;0,COUNTIF('PM10'!A:A,A177)&gt;0,COUNTIF('PM2.5'!A:A,A177)&gt;0,COUNTIF('SO2'!A:A,A177)&gt;0)</f>
        <v>1</v>
      </c>
    </row>
    <row r="178" spans="1:6" x14ac:dyDescent="0.45">
      <c r="A178" s="2">
        <v>45563</v>
      </c>
      <c r="B178" s="1">
        <v>176871</v>
      </c>
      <c r="C178" s="1">
        <v>66080</v>
      </c>
      <c r="D178" s="1">
        <v>27759</v>
      </c>
      <c r="E178" s="1">
        <v>270710</v>
      </c>
      <c r="F178" t="b">
        <f>AND(COUNTIF(CO!A:A,A178)&gt;0,COUNTIF('NO2'!A:A,A178)&gt;0,COUNTIF('O3'!A:A,A178)&gt;0,COUNTIF('PM10'!A:A,A178)&gt;0,COUNTIF('PM2.5'!A:A,A178)&gt;0,COUNTIF('SO2'!A:A,A178)&gt;0)</f>
        <v>1</v>
      </c>
    </row>
    <row r="179" spans="1:6" x14ac:dyDescent="0.45">
      <c r="A179" s="2">
        <v>45564</v>
      </c>
      <c r="B179" s="1">
        <v>137995</v>
      </c>
      <c r="C179" s="1">
        <v>53915</v>
      </c>
      <c r="D179" s="1">
        <v>23930</v>
      </c>
      <c r="E179" s="1">
        <v>215840</v>
      </c>
      <c r="F179" t="b">
        <f>AND(COUNTIF(CO!A:A,A179)&gt;0,COUNTIF('NO2'!A:A,A179)&gt;0,COUNTIF('O3'!A:A,A179)&gt;0,COUNTIF('PM10'!A:A,A179)&gt;0,COUNTIF('PM2.5'!A:A,A179)&gt;0,COUNTIF('SO2'!A:A,A179)&gt;0)</f>
        <v>1</v>
      </c>
    </row>
    <row r="180" spans="1:6" x14ac:dyDescent="0.45">
      <c r="A180" s="2">
        <v>45565</v>
      </c>
      <c r="B180" s="1">
        <v>151219</v>
      </c>
      <c r="C180" s="1">
        <v>47923</v>
      </c>
      <c r="D180" s="1">
        <v>19288</v>
      </c>
      <c r="E180" s="1">
        <v>218430</v>
      </c>
      <c r="F180" t="b">
        <f>AND(COUNTIF(CO!A:A,A180)&gt;0,COUNTIF('NO2'!A:A,A180)&gt;0,COUNTIF('O3'!A:A,A180)&gt;0,COUNTIF('PM10'!A:A,A180)&gt;0,COUNTIF('PM2.5'!A:A,A180)&gt;0,COUNTIF('SO2'!A:A,A180)&gt;0)</f>
        <v>1</v>
      </c>
    </row>
    <row r="181" spans="1:6" x14ac:dyDescent="0.45">
      <c r="A181" s="2">
        <v>45566</v>
      </c>
      <c r="B181" s="1">
        <v>184209</v>
      </c>
      <c r="C181" s="1">
        <v>59218</v>
      </c>
      <c r="D181" s="1">
        <v>25464</v>
      </c>
      <c r="E181" s="1">
        <v>268891</v>
      </c>
      <c r="F181" t="b">
        <f>AND(COUNTIF(CO!A:A,A181)&gt;0,COUNTIF('NO2'!A:A,A181)&gt;0,COUNTIF('O3'!A:A,A181)&gt;0,COUNTIF('PM10'!A:A,A181)&gt;0,COUNTIF('PM2.5'!A:A,A181)&gt;0,COUNTIF('SO2'!A:A,A181)&gt;0)</f>
        <v>1</v>
      </c>
    </row>
    <row r="182" spans="1:6" x14ac:dyDescent="0.45">
      <c r="A182" s="2">
        <v>45567</v>
      </c>
      <c r="B182" s="1">
        <v>174150</v>
      </c>
      <c r="C182" s="1">
        <v>61392</v>
      </c>
      <c r="D182" s="1">
        <v>27297</v>
      </c>
      <c r="E182" s="1">
        <v>262839</v>
      </c>
      <c r="F182" t="b">
        <f>AND(COUNTIF(CO!A:A,A182)&gt;0,COUNTIF('NO2'!A:A,A182)&gt;0,COUNTIF('O3'!A:A,A182)&gt;0,COUNTIF('PM10'!A:A,A182)&gt;0,COUNTIF('PM2.5'!A:A,A182)&gt;0,COUNTIF('SO2'!A:A,A182)&gt;0)</f>
        <v>1</v>
      </c>
    </row>
    <row r="183" spans="1:6" x14ac:dyDescent="0.45">
      <c r="A183" s="2">
        <v>45568</v>
      </c>
      <c r="B183" s="1">
        <v>204439</v>
      </c>
      <c r="C183" s="1">
        <v>65513</v>
      </c>
      <c r="D183" s="1">
        <v>22267</v>
      </c>
      <c r="E183" s="1">
        <v>292219</v>
      </c>
      <c r="F183" t="b">
        <f>AND(COUNTIF(CO!A:A,A183)&gt;0,COUNTIF('NO2'!A:A,A183)&gt;0,COUNTIF('O3'!A:A,A183)&gt;0,COUNTIF('PM10'!A:A,A183)&gt;0,COUNTIF('PM2.5'!A:A,A183)&gt;0,COUNTIF('SO2'!A:A,A183)&gt;0)</f>
        <v>1</v>
      </c>
    </row>
    <row r="184" spans="1:6" x14ac:dyDescent="0.45">
      <c r="A184" s="2">
        <v>45569</v>
      </c>
      <c r="B184" s="1">
        <v>188267</v>
      </c>
      <c r="C184" s="1">
        <v>66420</v>
      </c>
      <c r="D184" s="1">
        <v>26653</v>
      </c>
      <c r="E184" s="1">
        <v>281340</v>
      </c>
      <c r="F184" t="b">
        <f>AND(COUNTIF(CO!A:A,A184)&gt;0,COUNTIF('NO2'!A:A,A184)&gt;0,COUNTIF('O3'!A:A,A184)&gt;0,COUNTIF('PM10'!A:A,A184)&gt;0,COUNTIF('PM2.5'!A:A,A184)&gt;0,COUNTIF('SO2'!A:A,A184)&gt;0)</f>
        <v>1</v>
      </c>
    </row>
    <row r="185" spans="1:6" x14ac:dyDescent="0.45">
      <c r="A185" s="2">
        <v>45570</v>
      </c>
      <c r="B185" s="1">
        <v>199776</v>
      </c>
      <c r="C185" s="1">
        <v>72810</v>
      </c>
      <c r="D185" s="1">
        <v>23640</v>
      </c>
      <c r="E185" s="1">
        <v>296226</v>
      </c>
      <c r="F185" t="b">
        <f>AND(COUNTIF(CO!A:A,A185)&gt;0,COUNTIF('NO2'!A:A,A185)&gt;0,COUNTIF('O3'!A:A,A185)&gt;0,COUNTIF('PM10'!A:A,A185)&gt;0,COUNTIF('PM2.5'!A:A,A185)&gt;0,COUNTIF('SO2'!A:A,A185)&gt;0)</f>
        <v>1</v>
      </c>
    </row>
    <row r="186" spans="1:6" x14ac:dyDescent="0.45">
      <c r="A186" s="2">
        <v>45571</v>
      </c>
      <c r="B186" s="1">
        <v>201261</v>
      </c>
      <c r="C186" s="1">
        <v>73831</v>
      </c>
      <c r="D186" s="1">
        <v>23805</v>
      </c>
      <c r="E186" s="1">
        <v>298897</v>
      </c>
      <c r="F186" t="b">
        <f>AND(COUNTIF(CO!A:A,A186)&gt;0,COUNTIF('NO2'!A:A,A186)&gt;0,COUNTIF('O3'!A:A,A186)&gt;0,COUNTIF('PM10'!A:A,A186)&gt;0,COUNTIF('PM2.5'!A:A,A186)&gt;0,COUNTIF('SO2'!A:A,A186)&gt;0)</f>
        <v>1</v>
      </c>
    </row>
    <row r="187" spans="1:6" x14ac:dyDescent="0.45">
      <c r="A187" s="2">
        <v>45572</v>
      </c>
      <c r="B187" s="1">
        <v>202247</v>
      </c>
      <c r="C187" s="1">
        <v>73486</v>
      </c>
      <c r="D187" s="1">
        <v>24755</v>
      </c>
      <c r="E187" s="1">
        <v>300488</v>
      </c>
      <c r="F187" t="b">
        <f>AND(COUNTIF(CO!A:A,A187)&gt;0,COUNTIF('NO2'!A:A,A187)&gt;0,COUNTIF('O3'!A:A,A187)&gt;0,COUNTIF('PM10'!A:A,A187)&gt;0,COUNTIF('PM2.5'!A:A,A187)&gt;0,COUNTIF('SO2'!A:A,A187)&gt;0)</f>
        <v>1</v>
      </c>
    </row>
    <row r="188" spans="1:6" x14ac:dyDescent="0.45">
      <c r="A188" s="2">
        <v>45573</v>
      </c>
      <c r="B188" s="1">
        <v>201897</v>
      </c>
      <c r="C188" s="1">
        <v>72278</v>
      </c>
      <c r="D188" s="1">
        <v>23890</v>
      </c>
      <c r="E188" s="1">
        <v>298065</v>
      </c>
      <c r="F188" t="b">
        <f>AND(COUNTIF(CO!A:A,A188)&gt;0,COUNTIF('NO2'!A:A,A188)&gt;0,COUNTIF('O3'!A:A,A188)&gt;0,COUNTIF('PM10'!A:A,A188)&gt;0,COUNTIF('PM2.5'!A:A,A188)&gt;0,COUNTIF('SO2'!A:A,A188)&gt;0)</f>
        <v>1</v>
      </c>
    </row>
    <row r="189" spans="1:6" x14ac:dyDescent="0.45">
      <c r="A189" s="2">
        <v>45574</v>
      </c>
      <c r="B189" s="1">
        <v>189258</v>
      </c>
      <c r="C189" s="1">
        <v>62205</v>
      </c>
      <c r="D189" s="1">
        <v>28254</v>
      </c>
      <c r="E189" s="1">
        <v>279717</v>
      </c>
      <c r="F189" t="b">
        <f>AND(COUNTIF(CO!A:A,A189)&gt;0,COUNTIF('NO2'!A:A,A189)&gt;0,COUNTIF('O3'!A:A,A189)&gt;0,COUNTIF('PM10'!A:A,A189)&gt;0,COUNTIF('PM2.5'!A:A,A189)&gt;0,COUNTIF('SO2'!A:A,A189)&gt;0)</f>
        <v>1</v>
      </c>
    </row>
    <row r="190" spans="1:6" x14ac:dyDescent="0.45">
      <c r="A190" s="2">
        <v>45575</v>
      </c>
      <c r="B190" s="1">
        <v>197763</v>
      </c>
      <c r="C190" s="1">
        <v>66756</v>
      </c>
      <c r="D190" s="1">
        <v>25910</v>
      </c>
      <c r="E190" s="1">
        <v>290429</v>
      </c>
      <c r="F190" t="b">
        <f>AND(COUNTIF(CO!A:A,A190)&gt;0,COUNTIF('NO2'!A:A,A190)&gt;0,COUNTIF('O3'!A:A,A190)&gt;0,COUNTIF('PM10'!A:A,A190)&gt;0,COUNTIF('PM2.5'!A:A,A190)&gt;0,COUNTIF('SO2'!A:A,A190)&gt;0)</f>
        <v>1</v>
      </c>
    </row>
    <row r="191" spans="1:6" x14ac:dyDescent="0.45">
      <c r="A191" s="2">
        <v>45576</v>
      </c>
      <c r="B191" s="1">
        <v>179715</v>
      </c>
      <c r="C191" s="1">
        <v>65678</v>
      </c>
      <c r="D191" s="1">
        <v>28472</v>
      </c>
      <c r="E191" s="1">
        <v>273865</v>
      </c>
      <c r="F191" t="b">
        <f>AND(COUNTIF(CO!A:A,A191)&gt;0,COUNTIF('NO2'!A:A,A191)&gt;0,COUNTIF('O3'!A:A,A191)&gt;0,COUNTIF('PM10'!A:A,A191)&gt;0,COUNTIF('PM2.5'!A:A,A191)&gt;0,COUNTIF('SO2'!A:A,A191)&gt;0)</f>
        <v>1</v>
      </c>
    </row>
    <row r="192" spans="1:6" x14ac:dyDescent="0.45">
      <c r="A192" s="2">
        <v>45577</v>
      </c>
      <c r="B192" s="1">
        <v>180906</v>
      </c>
      <c r="C192" s="1">
        <v>69662</v>
      </c>
      <c r="D192" s="1">
        <v>27042</v>
      </c>
      <c r="E192" s="1">
        <v>277610</v>
      </c>
      <c r="F192" t="b">
        <f>AND(COUNTIF(CO!A:A,A192)&gt;0,COUNTIF('NO2'!A:A,A192)&gt;0,COUNTIF('O3'!A:A,A192)&gt;0,COUNTIF('PM10'!A:A,A192)&gt;0,COUNTIF('PM2.5'!A:A,A192)&gt;0,COUNTIF('SO2'!A:A,A192)&gt;0)</f>
        <v>1</v>
      </c>
    </row>
    <row r="193" spans="1:6" x14ac:dyDescent="0.45">
      <c r="A193" s="2">
        <v>45578</v>
      </c>
      <c r="B193" s="1">
        <v>177451</v>
      </c>
      <c r="C193" s="1">
        <v>67951</v>
      </c>
      <c r="D193" s="1">
        <v>28120</v>
      </c>
      <c r="E193" s="1">
        <v>273522</v>
      </c>
      <c r="F193" t="b">
        <f>AND(COUNTIF(CO!A:A,A193)&gt;0,COUNTIF('NO2'!A:A,A193)&gt;0,COUNTIF('O3'!A:A,A193)&gt;0,COUNTIF('PM10'!A:A,A193)&gt;0,COUNTIF('PM2.5'!A:A,A193)&gt;0,COUNTIF('SO2'!A:A,A193)&gt;0)</f>
        <v>1</v>
      </c>
    </row>
    <row r="194" spans="1:6" x14ac:dyDescent="0.45">
      <c r="A194" s="2">
        <v>45579</v>
      </c>
      <c r="B194" s="1">
        <v>197974</v>
      </c>
      <c r="C194" s="1">
        <v>62946</v>
      </c>
      <c r="D194" s="1">
        <v>26419</v>
      </c>
      <c r="E194" s="1">
        <v>287339</v>
      </c>
      <c r="F194" t="b">
        <f>AND(COUNTIF(CO!A:A,A194)&gt;0,COUNTIF('NO2'!A:A,A194)&gt;0,COUNTIF('O3'!A:A,A194)&gt;0,COUNTIF('PM10'!A:A,A194)&gt;0,COUNTIF('PM2.5'!A:A,A194)&gt;0,COUNTIF('SO2'!A:A,A194)&gt;0)</f>
        <v>1</v>
      </c>
    </row>
    <row r="195" spans="1:6" x14ac:dyDescent="0.45">
      <c r="A195" s="2">
        <v>45580</v>
      </c>
      <c r="B195" s="1">
        <v>190297</v>
      </c>
      <c r="C195" s="1">
        <v>59585</v>
      </c>
      <c r="D195" s="1">
        <v>24821</v>
      </c>
      <c r="E195" s="1">
        <v>274703</v>
      </c>
      <c r="F195" t="b">
        <f>AND(COUNTIF(CO!A:A,A195)&gt;0,COUNTIF('NO2'!A:A,A195)&gt;0,COUNTIF('O3'!A:A,A195)&gt;0,COUNTIF('PM10'!A:A,A195)&gt;0,COUNTIF('PM2.5'!A:A,A195)&gt;0,COUNTIF('SO2'!A:A,A195)&gt;0)</f>
        <v>1</v>
      </c>
    </row>
    <row r="196" spans="1:6" x14ac:dyDescent="0.45">
      <c r="A196" s="2">
        <v>45581</v>
      </c>
      <c r="B196" s="1">
        <v>159992</v>
      </c>
      <c r="C196" s="1">
        <v>55890</v>
      </c>
      <c r="D196" s="1">
        <v>28893</v>
      </c>
      <c r="E196" s="1">
        <v>244775</v>
      </c>
      <c r="F196" t="b">
        <f>AND(COUNTIF(CO!A:A,A196)&gt;0,COUNTIF('NO2'!A:A,A196)&gt;0,COUNTIF('O3'!A:A,A196)&gt;0,COUNTIF('PM10'!A:A,A196)&gt;0,COUNTIF('PM2.5'!A:A,A196)&gt;0,COUNTIF('SO2'!A:A,A196)&gt;0)</f>
        <v>1</v>
      </c>
    </row>
    <row r="197" spans="1:6" x14ac:dyDescent="0.45">
      <c r="A197" s="2">
        <v>45582</v>
      </c>
      <c r="B197" s="1">
        <v>172895</v>
      </c>
      <c r="C197" s="1">
        <v>59697</v>
      </c>
      <c r="D197" s="1">
        <v>28698</v>
      </c>
      <c r="E197" s="1">
        <v>261290</v>
      </c>
      <c r="F197" t="b">
        <f>AND(COUNTIF(CO!A:A,A197)&gt;0,COUNTIF('NO2'!A:A,A197)&gt;0,COUNTIF('O3'!A:A,A197)&gt;0,COUNTIF('PM10'!A:A,A197)&gt;0,COUNTIF('PM2.5'!A:A,A197)&gt;0,COUNTIF('SO2'!A:A,A197)&gt;0)</f>
        <v>1</v>
      </c>
    </row>
    <row r="198" spans="1:6" x14ac:dyDescent="0.45">
      <c r="A198" s="2">
        <v>45583</v>
      </c>
      <c r="B198" s="1">
        <v>174952</v>
      </c>
      <c r="C198" s="1">
        <v>62092</v>
      </c>
      <c r="D198" s="1">
        <v>28360</v>
      </c>
      <c r="E198" s="1">
        <v>265404</v>
      </c>
      <c r="F198" t="b">
        <f>AND(COUNTIF(CO!A:A,A198)&gt;0,COUNTIF('NO2'!A:A,A198)&gt;0,COUNTIF('O3'!A:A,A198)&gt;0,COUNTIF('PM10'!A:A,A198)&gt;0,COUNTIF('PM2.5'!A:A,A198)&gt;0,COUNTIF('SO2'!A:A,A198)&gt;0)</f>
        <v>1</v>
      </c>
    </row>
    <row r="199" spans="1:6" x14ac:dyDescent="0.45">
      <c r="A199" s="2">
        <v>45584</v>
      </c>
      <c r="B199" s="1">
        <v>190629</v>
      </c>
      <c r="C199" s="1">
        <v>69901</v>
      </c>
      <c r="D199" s="1">
        <v>24736</v>
      </c>
      <c r="E199" s="1">
        <v>285266</v>
      </c>
      <c r="F199" t="b">
        <f>AND(COUNTIF(CO!A:A,A199)&gt;0,COUNTIF('NO2'!A:A,A199)&gt;0,COUNTIF('O3'!A:A,A199)&gt;0,COUNTIF('PM10'!A:A,A199)&gt;0,COUNTIF('PM2.5'!A:A,A199)&gt;0,COUNTIF('SO2'!A:A,A199)&gt;0)</f>
        <v>1</v>
      </c>
    </row>
    <row r="200" spans="1:6" x14ac:dyDescent="0.45">
      <c r="A200" s="2">
        <v>45585</v>
      </c>
      <c r="B200" s="1">
        <v>164179</v>
      </c>
      <c r="C200" s="1">
        <v>68616</v>
      </c>
      <c r="D200" s="1">
        <v>20934</v>
      </c>
      <c r="E200" s="1">
        <v>253729</v>
      </c>
      <c r="F200" t="b">
        <f>AND(COUNTIF(CO!A:A,A200)&gt;0,COUNTIF('NO2'!A:A,A200)&gt;0,COUNTIF('O3'!A:A,A200)&gt;0,COUNTIF('PM10'!A:A,A200)&gt;0,COUNTIF('PM2.5'!A:A,A200)&gt;0,COUNTIF('SO2'!A:A,A200)&gt;0)</f>
        <v>1</v>
      </c>
    </row>
    <row r="201" spans="1:6" x14ac:dyDescent="0.45">
      <c r="A201" s="2">
        <v>45586</v>
      </c>
      <c r="B201" s="1">
        <v>174500</v>
      </c>
      <c r="C201" s="1">
        <v>61259</v>
      </c>
      <c r="D201" s="1">
        <v>26516</v>
      </c>
      <c r="E201" s="1">
        <v>262275</v>
      </c>
      <c r="F201" t="b">
        <f>AND(COUNTIF(CO!A:A,A201)&gt;0,COUNTIF('NO2'!A:A,A201)&gt;0,COUNTIF('O3'!A:A,A201)&gt;0,COUNTIF('PM10'!A:A,A201)&gt;0,COUNTIF('PM2.5'!A:A,A201)&gt;0,COUNTIF('SO2'!A:A,A201)&gt;0)</f>
        <v>1</v>
      </c>
    </row>
    <row r="202" spans="1:6" x14ac:dyDescent="0.45">
      <c r="A202" s="2">
        <v>45587</v>
      </c>
      <c r="B202" s="1">
        <v>189355</v>
      </c>
      <c r="C202" s="1">
        <v>63959</v>
      </c>
      <c r="D202" s="1">
        <v>26422</v>
      </c>
      <c r="E202" s="1">
        <v>279736</v>
      </c>
      <c r="F202" t="b">
        <f>AND(COUNTIF(CO!A:A,A202)&gt;0,COUNTIF('NO2'!A:A,A202)&gt;0,COUNTIF('O3'!A:A,A202)&gt;0,COUNTIF('PM10'!A:A,A202)&gt;0,COUNTIF('PM2.5'!A:A,A202)&gt;0,COUNTIF('SO2'!A:A,A202)&gt;0)</f>
        <v>1</v>
      </c>
    </row>
    <row r="203" spans="1:6" x14ac:dyDescent="0.45">
      <c r="A203" s="2">
        <v>45588</v>
      </c>
      <c r="B203" s="1">
        <v>194796</v>
      </c>
      <c r="C203" s="1">
        <v>66079</v>
      </c>
      <c r="D203" s="1">
        <v>26582</v>
      </c>
      <c r="E203" s="1">
        <v>287457</v>
      </c>
      <c r="F203" t="b">
        <f>AND(COUNTIF(CO!A:A,A203)&gt;0,COUNTIF('NO2'!A:A,A203)&gt;0,COUNTIF('O3'!A:A,A203)&gt;0,COUNTIF('PM10'!A:A,A203)&gt;0,COUNTIF('PM2.5'!A:A,A203)&gt;0,COUNTIF('SO2'!A:A,A203)&gt;0)</f>
        <v>1</v>
      </c>
    </row>
    <row r="204" spans="1:6" x14ac:dyDescent="0.45">
      <c r="A204" s="2">
        <v>45589</v>
      </c>
      <c r="B204" s="1">
        <v>174957</v>
      </c>
      <c r="C204" s="1">
        <v>60414</v>
      </c>
      <c r="D204" s="1">
        <v>29008</v>
      </c>
      <c r="E204" s="1">
        <v>264379</v>
      </c>
      <c r="F204" t="b">
        <f>AND(COUNTIF(CO!A:A,A204)&gt;0,COUNTIF('NO2'!A:A,A204)&gt;0,COUNTIF('O3'!A:A,A204)&gt;0,COUNTIF('PM10'!A:A,A204)&gt;0,COUNTIF('PM2.5'!A:A,A204)&gt;0,COUNTIF('SO2'!A:A,A204)&gt;0)</f>
        <v>1</v>
      </c>
    </row>
    <row r="205" spans="1:6" x14ac:dyDescent="0.45">
      <c r="A205" s="2">
        <v>45590</v>
      </c>
      <c r="B205" s="1">
        <v>182808</v>
      </c>
      <c r="C205" s="1">
        <v>61614</v>
      </c>
      <c r="D205" s="1">
        <v>27936</v>
      </c>
      <c r="E205" s="1">
        <v>272358</v>
      </c>
      <c r="F205" t="b">
        <f>AND(COUNTIF(CO!A:A,A205)&gt;0,COUNTIF('NO2'!A:A,A205)&gt;0,COUNTIF('O3'!A:A,A205)&gt;0,COUNTIF('PM10'!A:A,A205)&gt;0,COUNTIF('PM2.5'!A:A,A205)&gt;0,COUNTIF('SO2'!A:A,A205)&gt;0)</f>
        <v>1</v>
      </c>
    </row>
    <row r="206" spans="1:6" x14ac:dyDescent="0.45">
      <c r="A206" s="2">
        <v>45591</v>
      </c>
      <c r="B206" s="1">
        <v>182391</v>
      </c>
      <c r="C206" s="1">
        <v>66652</v>
      </c>
      <c r="D206" s="1">
        <v>29742</v>
      </c>
      <c r="E206" s="1">
        <v>278785</v>
      </c>
      <c r="F206" t="b">
        <f>AND(COUNTIF(CO!A:A,A206)&gt;0,COUNTIF('NO2'!A:A,A206)&gt;0,COUNTIF('O3'!A:A,A206)&gt;0,COUNTIF('PM10'!A:A,A206)&gt;0,COUNTIF('PM2.5'!A:A,A206)&gt;0,COUNTIF('SO2'!A:A,A206)&gt;0)</f>
        <v>1</v>
      </c>
    </row>
    <row r="207" spans="1:6" x14ac:dyDescent="0.45">
      <c r="A207" s="2">
        <v>45592</v>
      </c>
      <c r="B207" s="1">
        <v>147174</v>
      </c>
      <c r="C207" s="1">
        <v>58115</v>
      </c>
      <c r="D207" s="1">
        <v>24318</v>
      </c>
      <c r="E207" s="1">
        <v>229607</v>
      </c>
      <c r="F207" t="b">
        <f>AND(COUNTIF(CO!A:A,A207)&gt;0,COUNTIF('NO2'!A:A,A207)&gt;0,COUNTIF('O3'!A:A,A207)&gt;0,COUNTIF('PM10'!A:A,A207)&gt;0,COUNTIF('PM2.5'!A:A,A207)&gt;0,COUNTIF('SO2'!A:A,A207)&gt;0)</f>
        <v>1</v>
      </c>
    </row>
    <row r="208" spans="1:6" x14ac:dyDescent="0.45">
      <c r="A208" s="2">
        <v>45593</v>
      </c>
      <c r="B208" s="1">
        <v>195003</v>
      </c>
      <c r="C208" s="1">
        <v>64738</v>
      </c>
      <c r="D208" s="1">
        <v>28399</v>
      </c>
      <c r="E208" s="1">
        <v>288140</v>
      </c>
      <c r="F208" t="b">
        <f>AND(COUNTIF(CO!A:A,A208)&gt;0,COUNTIF('NO2'!A:A,A208)&gt;0,COUNTIF('O3'!A:A,A208)&gt;0,COUNTIF('PM10'!A:A,A208)&gt;0,COUNTIF('PM2.5'!A:A,A208)&gt;0,COUNTIF('SO2'!A:A,A208)&gt;0)</f>
        <v>1</v>
      </c>
    </row>
    <row r="209" spans="1:6" x14ac:dyDescent="0.45">
      <c r="A209" s="2">
        <v>45594</v>
      </c>
      <c r="B209" s="1">
        <v>185527</v>
      </c>
      <c r="C209" s="1">
        <v>60649</v>
      </c>
      <c r="D209" s="1">
        <v>28111</v>
      </c>
      <c r="E209" s="1">
        <v>274287</v>
      </c>
      <c r="F209" t="b">
        <f>AND(COUNTIF(CO!A:A,A209)&gt;0,COUNTIF('NO2'!A:A,A209)&gt;0,COUNTIF('O3'!A:A,A209)&gt;0,COUNTIF('PM10'!A:A,A209)&gt;0,COUNTIF('PM2.5'!A:A,A209)&gt;0,COUNTIF('SO2'!A:A,A209)&gt;0)</f>
        <v>1</v>
      </c>
    </row>
    <row r="210" spans="1:6" x14ac:dyDescent="0.45">
      <c r="A210" s="2">
        <v>45595</v>
      </c>
      <c r="B210" s="1">
        <v>156363</v>
      </c>
      <c r="C210" s="1">
        <v>57990</v>
      </c>
      <c r="D210" s="1">
        <v>27866</v>
      </c>
      <c r="E210" s="1">
        <v>242219</v>
      </c>
      <c r="F210" t="b">
        <f>AND(COUNTIF(CO!A:A,A210)&gt;0,COUNTIF('NO2'!A:A,A210)&gt;0,COUNTIF('O3'!A:A,A210)&gt;0,COUNTIF('PM10'!A:A,A210)&gt;0,COUNTIF('PM2.5'!A:A,A210)&gt;0,COUNTIF('SO2'!A:A,A210)&gt;0)</f>
        <v>1</v>
      </c>
    </row>
    <row r="211" spans="1:6" x14ac:dyDescent="0.45">
      <c r="A211" s="2">
        <v>45596</v>
      </c>
      <c r="B211" s="1">
        <v>188677</v>
      </c>
      <c r="C211" s="1">
        <v>49986</v>
      </c>
      <c r="D211" s="1">
        <v>24384</v>
      </c>
      <c r="E211" s="1">
        <v>263047</v>
      </c>
      <c r="F211" t="b">
        <f>AND(COUNTIF(CO!A:A,A211)&gt;0,COUNTIF('NO2'!A:A,A211)&gt;0,COUNTIF('O3'!A:A,A211)&gt;0,COUNTIF('PM10'!A:A,A211)&gt;0,COUNTIF('PM2.5'!A:A,A211)&gt;0,COUNTIF('SO2'!A:A,A211)&gt;0)</f>
        <v>1</v>
      </c>
    </row>
    <row r="212" spans="1:6" x14ac:dyDescent="0.45">
      <c r="A212" s="2">
        <v>45597</v>
      </c>
      <c r="B212" s="1">
        <v>200474</v>
      </c>
      <c r="C212" s="1">
        <v>69098</v>
      </c>
      <c r="D212" s="1">
        <v>24116</v>
      </c>
      <c r="E212" s="1">
        <v>293688</v>
      </c>
      <c r="F212" t="b">
        <f>AND(COUNTIF(CO!A:A,A212)&gt;0,COUNTIF('NO2'!A:A,A212)&gt;0,COUNTIF('O3'!A:A,A212)&gt;0,COUNTIF('PM10'!A:A,A212)&gt;0,COUNTIF('PM2.5'!A:A,A212)&gt;0,COUNTIF('SO2'!A:A,A212)&gt;0)</f>
        <v>1</v>
      </c>
    </row>
    <row r="213" spans="1:6" x14ac:dyDescent="0.45">
      <c r="A213" s="2">
        <v>45598</v>
      </c>
      <c r="B213" s="1">
        <v>175500</v>
      </c>
      <c r="C213" s="1">
        <v>70258</v>
      </c>
      <c r="D213" s="1">
        <v>26868</v>
      </c>
      <c r="E213" s="1">
        <v>272626</v>
      </c>
      <c r="F213" t="b">
        <f>AND(COUNTIF(CO!A:A,A213)&gt;0,COUNTIF('NO2'!A:A,A213)&gt;0,COUNTIF('O3'!A:A,A213)&gt;0,COUNTIF('PM10'!A:A,A213)&gt;0,COUNTIF('PM2.5'!A:A,A213)&gt;0,COUNTIF('SO2'!A:A,A213)&gt;0)</f>
        <v>1</v>
      </c>
    </row>
    <row r="214" spans="1:6" x14ac:dyDescent="0.45">
      <c r="A214" s="2">
        <v>45599</v>
      </c>
      <c r="B214" s="1">
        <v>134161</v>
      </c>
      <c r="C214" s="1">
        <v>61417</v>
      </c>
      <c r="D214" s="1">
        <v>18807</v>
      </c>
      <c r="E214" s="1">
        <v>214385</v>
      </c>
      <c r="F214" t="b">
        <f>AND(COUNTIF(CO!A:A,A214)&gt;0,COUNTIF('NO2'!A:A,A214)&gt;0,COUNTIF('O3'!A:A,A214)&gt;0,COUNTIF('PM10'!A:A,A214)&gt;0,COUNTIF('PM2.5'!A:A,A214)&gt;0,COUNTIF('SO2'!A:A,A214)&gt;0)</f>
        <v>1</v>
      </c>
    </row>
    <row r="215" spans="1:6" x14ac:dyDescent="0.45">
      <c r="A215" s="2">
        <v>45600</v>
      </c>
      <c r="B215" s="1">
        <v>182984</v>
      </c>
      <c r="C215" s="1">
        <v>64099</v>
      </c>
      <c r="D215" s="1">
        <v>23231</v>
      </c>
      <c r="E215" s="1">
        <v>270314</v>
      </c>
      <c r="F215" t="b">
        <f>AND(COUNTIF(CO!A:A,A215)&gt;0,COUNTIF('NO2'!A:A,A215)&gt;0,COUNTIF('O3'!A:A,A215)&gt;0,COUNTIF('PM10'!A:A,A215)&gt;0,COUNTIF('PM2.5'!A:A,A215)&gt;0,COUNTIF('SO2'!A:A,A215)&gt;0)</f>
        <v>1</v>
      </c>
    </row>
    <row r="216" spans="1:6" x14ac:dyDescent="0.45">
      <c r="A216" s="2">
        <v>45601</v>
      </c>
      <c r="B216" s="1">
        <v>174657</v>
      </c>
      <c r="C216" s="1">
        <v>60349</v>
      </c>
      <c r="D216" s="1">
        <v>26686</v>
      </c>
      <c r="E216" s="1">
        <v>261692</v>
      </c>
      <c r="F216" t="b">
        <f>AND(COUNTIF(CO!A:A,A216)&gt;0,COUNTIF('NO2'!A:A,A216)&gt;0,COUNTIF('O3'!A:A,A216)&gt;0,COUNTIF('PM10'!A:A,A216)&gt;0,COUNTIF('PM2.5'!A:A,A216)&gt;0,COUNTIF('SO2'!A:A,A216)&gt;0)</f>
        <v>1</v>
      </c>
    </row>
    <row r="217" spans="1:6" x14ac:dyDescent="0.45">
      <c r="A217" s="2">
        <v>45602</v>
      </c>
      <c r="B217" s="1">
        <v>196361</v>
      </c>
      <c r="C217" s="1">
        <v>61373</v>
      </c>
      <c r="D217" s="1">
        <v>24245</v>
      </c>
      <c r="E217" s="1">
        <v>281979</v>
      </c>
      <c r="F217" t="b">
        <f>AND(COUNTIF(CO!A:A,A217)&gt;0,COUNTIF('NO2'!A:A,A217)&gt;0,COUNTIF('O3'!A:A,A217)&gt;0,COUNTIF('PM10'!A:A,A217)&gt;0,COUNTIF('PM2.5'!A:A,A217)&gt;0,COUNTIF('SO2'!A:A,A217)&gt;0)</f>
        <v>1</v>
      </c>
    </row>
    <row r="218" spans="1:6" x14ac:dyDescent="0.45">
      <c r="A218" s="2">
        <v>45603</v>
      </c>
      <c r="B218" s="1">
        <v>188367</v>
      </c>
      <c r="C218" s="1">
        <v>63463</v>
      </c>
      <c r="D218" s="1">
        <v>27783</v>
      </c>
      <c r="E218" s="1">
        <v>279613</v>
      </c>
      <c r="F218" t="b">
        <f>AND(COUNTIF(CO!A:A,A218)&gt;0,COUNTIF('NO2'!A:A,A218)&gt;0,COUNTIF('O3'!A:A,A218)&gt;0,COUNTIF('PM10'!A:A,A218)&gt;0,COUNTIF('PM2.5'!A:A,A218)&gt;0,COUNTIF('SO2'!A:A,A218)&gt;0)</f>
        <v>1</v>
      </c>
    </row>
    <row r="219" spans="1:6" x14ac:dyDescent="0.45">
      <c r="A219" s="2">
        <v>45604</v>
      </c>
      <c r="B219" s="1">
        <v>199534</v>
      </c>
      <c r="C219" s="1">
        <v>68749</v>
      </c>
      <c r="D219" s="1">
        <v>26711</v>
      </c>
      <c r="E219" s="1">
        <v>294994</v>
      </c>
      <c r="F219" t="b">
        <f>AND(COUNTIF(CO!A:A,A219)&gt;0,COUNTIF('NO2'!A:A,A219)&gt;0,COUNTIF('O3'!A:A,A219)&gt;0,COUNTIF('PM10'!A:A,A219)&gt;0,COUNTIF('PM2.5'!A:A,A219)&gt;0,COUNTIF('SO2'!A:A,A219)&gt;0)</f>
        <v>1</v>
      </c>
    </row>
    <row r="220" spans="1:6" x14ac:dyDescent="0.45">
      <c r="A220" s="2">
        <v>45605</v>
      </c>
      <c r="B220" s="1">
        <v>171386</v>
      </c>
      <c r="C220" s="1">
        <v>67579</v>
      </c>
      <c r="D220" s="1">
        <v>29261</v>
      </c>
      <c r="E220" s="1">
        <v>268226</v>
      </c>
      <c r="F220" t="b">
        <f>AND(COUNTIF(CO!A:A,A220)&gt;0,COUNTIF('NO2'!A:A,A220)&gt;0,COUNTIF('O3'!A:A,A220)&gt;0,COUNTIF('PM10'!A:A,A220)&gt;0,COUNTIF('PM2.5'!A:A,A220)&gt;0,COUNTIF('SO2'!A:A,A220)&gt;0)</f>
        <v>1</v>
      </c>
    </row>
    <row r="221" spans="1:6" x14ac:dyDescent="0.45">
      <c r="A221" s="2">
        <v>45606</v>
      </c>
      <c r="B221" s="1">
        <v>162717</v>
      </c>
      <c r="C221" s="1">
        <v>68240</v>
      </c>
      <c r="D221" s="1">
        <v>21181</v>
      </c>
      <c r="E221" s="1">
        <v>252138</v>
      </c>
      <c r="F221" t="b">
        <f>AND(COUNTIF(CO!A:A,A221)&gt;0,COUNTIF('NO2'!A:A,A221)&gt;0,COUNTIF('O3'!A:A,A221)&gt;0,COUNTIF('PM10'!A:A,A221)&gt;0,COUNTIF('PM2.5'!A:A,A221)&gt;0,COUNTIF('SO2'!A:A,A221)&gt;0)</f>
        <v>1</v>
      </c>
    </row>
    <row r="222" spans="1:6" x14ac:dyDescent="0.45">
      <c r="A222" s="2">
        <v>45607</v>
      </c>
      <c r="B222" s="1">
        <v>179018</v>
      </c>
      <c r="C222" s="1">
        <v>64767</v>
      </c>
      <c r="D222" s="1">
        <v>18100</v>
      </c>
      <c r="E222" s="1">
        <v>261885</v>
      </c>
      <c r="F222" t="b">
        <f>AND(COUNTIF(CO!A:A,A222)&gt;0,COUNTIF('NO2'!A:A,A222)&gt;0,COUNTIF('O3'!A:A,A222)&gt;0,COUNTIF('PM10'!A:A,A222)&gt;0,COUNTIF('PM2.5'!A:A,A222)&gt;0,COUNTIF('SO2'!A:A,A222)&gt;0)</f>
        <v>1</v>
      </c>
    </row>
    <row r="223" spans="1:6" x14ac:dyDescent="0.45">
      <c r="A223" s="2">
        <v>45608</v>
      </c>
      <c r="B223" s="1">
        <v>199982</v>
      </c>
      <c r="C223" s="1">
        <v>62470</v>
      </c>
      <c r="D223" s="1">
        <v>21378</v>
      </c>
      <c r="E223" s="1">
        <v>283830</v>
      </c>
      <c r="F223" t="b">
        <f>AND(COUNTIF(CO!A:A,A223)&gt;0,COUNTIF('NO2'!A:A,A223)&gt;0,COUNTIF('O3'!A:A,A223)&gt;0,COUNTIF('PM10'!A:A,A223)&gt;0,COUNTIF('PM2.5'!A:A,A223)&gt;0,COUNTIF('SO2'!A:A,A223)&gt;0)</f>
        <v>1</v>
      </c>
    </row>
    <row r="224" spans="1:6" x14ac:dyDescent="0.45">
      <c r="A224" s="2">
        <v>45609</v>
      </c>
      <c r="B224" s="1">
        <v>202363</v>
      </c>
      <c r="C224" s="1">
        <v>66022</v>
      </c>
      <c r="D224" s="1">
        <v>23837</v>
      </c>
      <c r="E224" s="1">
        <v>292222</v>
      </c>
      <c r="F224" t="b">
        <f>AND(COUNTIF(CO!A:A,A224)&gt;0,COUNTIF('NO2'!A:A,A224)&gt;0,COUNTIF('O3'!A:A,A224)&gt;0,COUNTIF('PM10'!A:A,A224)&gt;0,COUNTIF('PM2.5'!A:A,A224)&gt;0,COUNTIF('SO2'!A:A,A224)&gt;0)</f>
        <v>1</v>
      </c>
    </row>
    <row r="225" spans="1:6" x14ac:dyDescent="0.45">
      <c r="A225" s="2">
        <v>45610</v>
      </c>
      <c r="B225" s="1">
        <v>199290</v>
      </c>
      <c r="C225" s="1">
        <v>66394</v>
      </c>
      <c r="D225" s="1">
        <v>24602</v>
      </c>
      <c r="E225" s="1">
        <v>290286</v>
      </c>
      <c r="F225" t="b">
        <f>AND(COUNTIF(CO!A:A,A225)&gt;0,COUNTIF('NO2'!A:A,A225)&gt;0,COUNTIF('O3'!A:A,A225)&gt;0,COUNTIF('PM10'!A:A,A225)&gt;0,COUNTIF('PM2.5'!A:A,A225)&gt;0,COUNTIF('SO2'!A:A,A225)&gt;0)</f>
        <v>1</v>
      </c>
    </row>
    <row r="226" spans="1:6" x14ac:dyDescent="0.45">
      <c r="A226" s="2">
        <v>45611</v>
      </c>
      <c r="B226" s="1">
        <v>202590</v>
      </c>
      <c r="C226" s="1">
        <v>64980</v>
      </c>
      <c r="D226" s="1">
        <v>21941</v>
      </c>
      <c r="E226" s="1">
        <v>289511</v>
      </c>
      <c r="F226" t="b">
        <f>AND(COUNTIF(CO!A:A,A226)&gt;0,COUNTIF('NO2'!A:A,A226)&gt;0,COUNTIF('O3'!A:A,A226)&gt;0,COUNTIF('PM10'!A:A,A226)&gt;0,COUNTIF('PM2.5'!A:A,A226)&gt;0,COUNTIF('SO2'!A:A,A226)&gt;0)</f>
        <v>1</v>
      </c>
    </row>
    <row r="227" spans="1:6" x14ac:dyDescent="0.45">
      <c r="A227" s="2">
        <v>45612</v>
      </c>
      <c r="B227" s="1">
        <v>192363</v>
      </c>
      <c r="C227" s="1">
        <v>69145</v>
      </c>
      <c r="D227" s="1">
        <v>19929</v>
      </c>
      <c r="E227" s="1">
        <v>281437</v>
      </c>
      <c r="F227" t="b">
        <f>AND(COUNTIF(CO!A:A,A227)&gt;0,COUNTIF('NO2'!A:A,A227)&gt;0,COUNTIF('O3'!A:A,A227)&gt;0,COUNTIF('PM10'!A:A,A227)&gt;0,COUNTIF('PM2.5'!A:A,A227)&gt;0,COUNTIF('SO2'!A:A,A227)&gt;0)</f>
        <v>1</v>
      </c>
    </row>
    <row r="228" spans="1:6" x14ac:dyDescent="0.45">
      <c r="A228" s="2">
        <v>45613</v>
      </c>
      <c r="B228" s="1">
        <v>158670</v>
      </c>
      <c r="C228" s="1">
        <v>61707</v>
      </c>
      <c r="D228" s="1">
        <v>22558</v>
      </c>
      <c r="E228" s="1">
        <v>242935</v>
      </c>
      <c r="F228" t="b">
        <f>AND(COUNTIF(CO!A:A,A228)&gt;0,COUNTIF('NO2'!A:A,A228)&gt;0,COUNTIF('O3'!A:A,A228)&gt;0,COUNTIF('PM10'!A:A,A228)&gt;0,COUNTIF('PM2.5'!A:A,A228)&gt;0,COUNTIF('SO2'!A:A,A228)&gt;0)</f>
        <v>1</v>
      </c>
    </row>
    <row r="229" spans="1:6" x14ac:dyDescent="0.45">
      <c r="A229" s="2">
        <v>45614</v>
      </c>
      <c r="B229" s="1">
        <v>190626</v>
      </c>
      <c r="C229" s="1">
        <v>63613</v>
      </c>
      <c r="D229" s="1">
        <v>22097</v>
      </c>
      <c r="E229" s="1">
        <v>276336</v>
      </c>
      <c r="F229" t="b">
        <f>AND(COUNTIF(CO!A:A,A229)&gt;0,COUNTIF('NO2'!A:A,A229)&gt;0,COUNTIF('O3'!A:A,A229)&gt;0,COUNTIF('PM10'!A:A,A229)&gt;0,COUNTIF('PM2.5'!A:A,A229)&gt;0,COUNTIF('SO2'!A:A,A229)&gt;0)</f>
        <v>1</v>
      </c>
    </row>
    <row r="230" spans="1:6" x14ac:dyDescent="0.45">
      <c r="A230" s="2">
        <v>45615</v>
      </c>
      <c r="B230" s="1">
        <v>179098</v>
      </c>
      <c r="C230" s="1">
        <v>61138</v>
      </c>
      <c r="D230" s="1">
        <v>19421</v>
      </c>
      <c r="E230" s="1">
        <v>259657</v>
      </c>
      <c r="F230" t="b">
        <f>AND(COUNTIF(CO!A:A,A230)&gt;0,COUNTIF('NO2'!A:A,A230)&gt;0,COUNTIF('O3'!A:A,A230)&gt;0,COUNTIF('PM10'!A:A,A230)&gt;0,COUNTIF('PM2.5'!A:A,A230)&gt;0,COUNTIF('SO2'!A:A,A230)&gt;0)</f>
        <v>1</v>
      </c>
    </row>
    <row r="231" spans="1:6" x14ac:dyDescent="0.45">
      <c r="A231" s="2">
        <v>45616</v>
      </c>
      <c r="B231" s="1">
        <v>164193</v>
      </c>
      <c r="C231" s="1">
        <v>62100</v>
      </c>
      <c r="D231" s="1">
        <v>23433</v>
      </c>
      <c r="E231" s="1">
        <v>249726</v>
      </c>
      <c r="F231" t="b">
        <f>AND(COUNTIF(CO!A:A,A231)&gt;0,COUNTIF('NO2'!A:A,A231)&gt;0,COUNTIF('O3'!A:A,A231)&gt;0,COUNTIF('PM10'!A:A,A231)&gt;0,COUNTIF('PM2.5'!A:A,A231)&gt;0,COUNTIF('SO2'!A:A,A231)&gt;0)</f>
        <v>1</v>
      </c>
    </row>
    <row r="232" spans="1:6" x14ac:dyDescent="0.45">
      <c r="A232" s="2">
        <v>45617</v>
      </c>
      <c r="B232" s="1">
        <v>182748</v>
      </c>
      <c r="C232" s="1">
        <v>63139</v>
      </c>
      <c r="D232" s="1">
        <v>21984</v>
      </c>
      <c r="E232" s="1">
        <v>267871</v>
      </c>
      <c r="F232" t="b">
        <f>AND(COUNTIF(CO!A:A,A232)&gt;0,COUNTIF('NO2'!A:A,A232)&gt;0,COUNTIF('O3'!A:A,A232)&gt;0,COUNTIF('PM10'!A:A,A232)&gt;0,COUNTIF('PM2.5'!A:A,A232)&gt;0,COUNTIF('SO2'!A:A,A232)&gt;0)</f>
        <v>1</v>
      </c>
    </row>
    <row r="233" spans="1:6" x14ac:dyDescent="0.45">
      <c r="A233" s="2">
        <v>45618</v>
      </c>
      <c r="B233" s="1">
        <v>187697</v>
      </c>
      <c r="C233" s="1">
        <v>64545</v>
      </c>
      <c r="D233" s="1">
        <v>18199</v>
      </c>
      <c r="E233" s="1">
        <v>270441</v>
      </c>
      <c r="F233" t="b">
        <f>AND(COUNTIF(CO!A:A,A233)&gt;0,COUNTIF('NO2'!A:A,A233)&gt;0,COUNTIF('O3'!A:A,A233)&gt;0,COUNTIF('PM10'!A:A,A233)&gt;0,COUNTIF('PM2.5'!A:A,A233)&gt;0,COUNTIF('SO2'!A:A,A233)&gt;0)</f>
        <v>1</v>
      </c>
    </row>
    <row r="234" spans="1:6" x14ac:dyDescent="0.45">
      <c r="A234" s="2">
        <v>45619</v>
      </c>
      <c r="B234" s="1">
        <v>177885</v>
      </c>
      <c r="C234" s="1">
        <v>65364</v>
      </c>
      <c r="D234" s="1">
        <v>18548</v>
      </c>
      <c r="E234" s="1">
        <v>261797</v>
      </c>
      <c r="F234" t="b">
        <f>AND(COUNTIF(CO!A:A,A234)&gt;0,COUNTIF('NO2'!A:A,A234)&gt;0,COUNTIF('O3'!A:A,A234)&gt;0,COUNTIF('PM10'!A:A,A234)&gt;0,COUNTIF('PM2.5'!A:A,A234)&gt;0,COUNTIF('SO2'!A:A,A234)&gt;0)</f>
        <v>1</v>
      </c>
    </row>
    <row r="235" spans="1:6" x14ac:dyDescent="0.45">
      <c r="A235" s="2">
        <v>45620</v>
      </c>
      <c r="B235" s="1">
        <v>147538</v>
      </c>
      <c r="C235" s="1">
        <v>53283</v>
      </c>
      <c r="D235" s="1">
        <v>13639</v>
      </c>
      <c r="E235" s="1">
        <v>214460</v>
      </c>
      <c r="F235" t="b">
        <f>AND(COUNTIF(CO!A:A,A235)&gt;0,COUNTIF('NO2'!A:A,A235)&gt;0,COUNTIF('O3'!A:A,A235)&gt;0,COUNTIF('PM10'!A:A,A235)&gt;0,COUNTIF('PM2.5'!A:A,A235)&gt;0,COUNTIF('SO2'!A:A,A235)&gt;0)</f>
        <v>1</v>
      </c>
    </row>
    <row r="236" spans="1:6" x14ac:dyDescent="0.45">
      <c r="A236" s="2">
        <v>45621</v>
      </c>
      <c r="B236" s="1">
        <v>206568</v>
      </c>
      <c r="C236" s="1">
        <v>67684</v>
      </c>
      <c r="D236" s="1">
        <v>21743</v>
      </c>
      <c r="E236" s="1">
        <v>295995</v>
      </c>
      <c r="F236" t="b">
        <f>AND(COUNTIF(CO!A:A,A236)&gt;0,COUNTIF('NO2'!A:A,A236)&gt;0,COUNTIF('O3'!A:A,A236)&gt;0,COUNTIF('PM10'!A:A,A236)&gt;0,COUNTIF('PM2.5'!A:A,A236)&gt;0,COUNTIF('SO2'!A:A,A236)&gt;0)</f>
        <v>1</v>
      </c>
    </row>
    <row r="237" spans="1:6" x14ac:dyDescent="0.45">
      <c r="A237" s="2">
        <v>45622</v>
      </c>
      <c r="B237" s="1">
        <v>203869</v>
      </c>
      <c r="C237" s="1">
        <v>64849</v>
      </c>
      <c r="D237" s="1">
        <v>22343</v>
      </c>
      <c r="E237" s="1">
        <v>291061</v>
      </c>
      <c r="F237" t="b">
        <f>AND(COUNTIF(CO!A:A,A237)&gt;0,COUNTIF('NO2'!A:A,A237)&gt;0,COUNTIF('O3'!A:A,A237)&gt;0,COUNTIF('PM10'!A:A,A237)&gt;0,COUNTIF('PM2.5'!A:A,A237)&gt;0,COUNTIF('SO2'!A:A,A237)&gt;0)</f>
        <v>1</v>
      </c>
    </row>
    <row r="238" spans="1:6" x14ac:dyDescent="0.45">
      <c r="A238" s="2">
        <v>45623</v>
      </c>
      <c r="B238" s="1">
        <v>149278</v>
      </c>
      <c r="C238" s="1">
        <v>50288</v>
      </c>
      <c r="D238" s="1">
        <v>17280</v>
      </c>
      <c r="E238" s="1">
        <v>216846</v>
      </c>
      <c r="F238" t="b">
        <f>AND(COUNTIF(CO!A:A,A238)&gt;0,COUNTIF('NO2'!A:A,A238)&gt;0,COUNTIF('O3'!A:A,A238)&gt;0,COUNTIF('PM10'!A:A,A238)&gt;0,COUNTIF('PM2.5'!A:A,A238)&gt;0,COUNTIF('SO2'!A:A,A238)&gt;0)</f>
        <v>1</v>
      </c>
    </row>
    <row r="239" spans="1:6" x14ac:dyDescent="0.45">
      <c r="A239" s="2">
        <v>45624</v>
      </c>
      <c r="B239" s="1">
        <v>160049</v>
      </c>
      <c r="C239" s="1">
        <v>49630</v>
      </c>
      <c r="D239" s="1">
        <v>16325</v>
      </c>
      <c r="E239" s="1">
        <v>226004</v>
      </c>
      <c r="F239" t="b">
        <f>AND(COUNTIF(CO!A:A,A239)&gt;0,COUNTIF('NO2'!A:A,A239)&gt;0,COUNTIF('O3'!A:A,A239)&gt;0,COUNTIF('PM10'!A:A,A239)&gt;0,COUNTIF('PM2.5'!A:A,A239)&gt;0,COUNTIF('SO2'!A:A,A239)&gt;0)</f>
        <v>1</v>
      </c>
    </row>
    <row r="240" spans="1:6" x14ac:dyDescent="0.45">
      <c r="A240" s="2">
        <v>45625</v>
      </c>
      <c r="B240" s="1">
        <v>195374</v>
      </c>
      <c r="C240" s="1">
        <v>68086</v>
      </c>
      <c r="D240" s="1">
        <v>21841</v>
      </c>
      <c r="E240" s="1">
        <v>285301</v>
      </c>
      <c r="F240" t="b">
        <f>AND(COUNTIF(CO!A:A,A240)&gt;0,COUNTIF('NO2'!A:A,A240)&gt;0,COUNTIF('O3'!A:A,A240)&gt;0,COUNTIF('PM10'!A:A,A240)&gt;0,COUNTIF('PM2.5'!A:A,A240)&gt;0,COUNTIF('SO2'!A:A,A240)&gt;0)</f>
        <v>1</v>
      </c>
    </row>
    <row r="241" spans="1:6" x14ac:dyDescent="0.45">
      <c r="A241" s="2">
        <v>45626</v>
      </c>
      <c r="B241" s="1">
        <v>163210</v>
      </c>
      <c r="C241" s="1">
        <v>58896</v>
      </c>
      <c r="D241" s="1">
        <v>19182</v>
      </c>
      <c r="E241" s="1">
        <v>241288</v>
      </c>
      <c r="F241" t="b">
        <f>AND(COUNTIF(CO!A:A,A241)&gt;0,COUNTIF('NO2'!A:A,A241)&gt;0,COUNTIF('O3'!A:A,A241)&gt;0,COUNTIF('PM10'!A:A,A241)&gt;0,COUNTIF('PM2.5'!A:A,A241)&gt;0,COUNTIF('SO2'!A:A,A241)&gt;0)</f>
        <v>1</v>
      </c>
    </row>
    <row r="242" spans="1:6" x14ac:dyDescent="0.45">
      <c r="A242" s="2">
        <v>45627</v>
      </c>
      <c r="B242" s="1">
        <v>157093</v>
      </c>
      <c r="C242" s="1">
        <v>60696</v>
      </c>
      <c r="D242" s="1">
        <v>18362</v>
      </c>
      <c r="E242" s="1">
        <v>236151</v>
      </c>
      <c r="F242" t="b">
        <f>AND(COUNTIF(CO!A:A,A242)&gt;0,COUNTIF('NO2'!A:A,A242)&gt;0,COUNTIF('O3'!A:A,A242)&gt;0,COUNTIF('PM10'!A:A,A242)&gt;0,COUNTIF('PM2.5'!A:A,A242)&gt;0,COUNTIF('SO2'!A:A,A242)&gt;0)</f>
        <v>1</v>
      </c>
    </row>
    <row r="243" spans="1:6" x14ac:dyDescent="0.45">
      <c r="A243" s="2">
        <v>45628</v>
      </c>
      <c r="B243" s="1">
        <v>182755</v>
      </c>
      <c r="C243" s="1">
        <v>68345</v>
      </c>
      <c r="D243" s="1">
        <v>25564</v>
      </c>
      <c r="E243" s="1">
        <v>276664</v>
      </c>
      <c r="F243" t="b">
        <f>AND(COUNTIF(CO!A:A,A243)&gt;0,COUNTIF('NO2'!A:A,A243)&gt;0,COUNTIF('O3'!A:A,A243)&gt;0,COUNTIF('PM10'!A:A,A243)&gt;0,COUNTIF('PM2.5'!A:A,A243)&gt;0,COUNTIF('SO2'!A:A,A243)&gt;0)</f>
        <v>1</v>
      </c>
    </row>
    <row r="244" spans="1:6" x14ac:dyDescent="0.45">
      <c r="A244" s="2">
        <v>45629</v>
      </c>
      <c r="B244" s="1">
        <v>181475</v>
      </c>
      <c r="C244" s="1">
        <v>65835</v>
      </c>
      <c r="D244" s="1">
        <v>26729</v>
      </c>
      <c r="E244" s="1">
        <v>274039</v>
      </c>
      <c r="F244" t="b">
        <f>AND(COUNTIF(CO!A:A,A244)&gt;0,COUNTIF('NO2'!A:A,A244)&gt;0,COUNTIF('O3'!A:A,A244)&gt;0,COUNTIF('PM10'!A:A,A244)&gt;0,COUNTIF('PM2.5'!A:A,A244)&gt;0,COUNTIF('SO2'!A:A,A244)&gt;0)</f>
        <v>1</v>
      </c>
    </row>
    <row r="245" spans="1:6" x14ac:dyDescent="0.45">
      <c r="A245" s="2">
        <v>45630</v>
      </c>
      <c r="B245" s="1">
        <v>196828</v>
      </c>
      <c r="C245" s="1">
        <v>67415</v>
      </c>
      <c r="D245" s="1">
        <v>22258</v>
      </c>
      <c r="E245" s="1">
        <v>286501</v>
      </c>
      <c r="F245" t="b">
        <f>AND(COUNTIF(CO!A:A,A245)&gt;0,COUNTIF('NO2'!A:A,A245)&gt;0,COUNTIF('O3'!A:A,A245)&gt;0,COUNTIF('PM10'!A:A,A245)&gt;0,COUNTIF('PM2.5'!A:A,A245)&gt;0,COUNTIF('SO2'!A:A,A245)&gt;0)</f>
        <v>1</v>
      </c>
    </row>
    <row r="246" spans="1:6" x14ac:dyDescent="0.45">
      <c r="A246" s="2">
        <v>45631</v>
      </c>
      <c r="B246" s="1">
        <v>174331</v>
      </c>
      <c r="C246" s="1">
        <v>64424</v>
      </c>
      <c r="D246" s="1">
        <v>23526</v>
      </c>
      <c r="E246" s="1">
        <v>262281</v>
      </c>
      <c r="F246" t="b">
        <f>AND(COUNTIF(CO!A:A,A246)&gt;0,COUNTIF('NO2'!A:A,A246)&gt;0,COUNTIF('O3'!A:A,A246)&gt;0,COUNTIF('PM10'!A:A,A246)&gt;0,COUNTIF('PM2.5'!A:A,A246)&gt;0,COUNTIF('SO2'!A:A,A246)&gt;0)</f>
        <v>1</v>
      </c>
    </row>
    <row r="247" spans="1:6" x14ac:dyDescent="0.45">
      <c r="A247" s="2">
        <v>45632</v>
      </c>
      <c r="B247" s="1">
        <v>170674</v>
      </c>
      <c r="C247" s="1">
        <v>71978</v>
      </c>
      <c r="D247" s="1">
        <v>26238</v>
      </c>
      <c r="E247" s="1">
        <v>268890</v>
      </c>
      <c r="F247" t="b">
        <f>AND(COUNTIF(CO!A:A,A247)&gt;0,COUNTIF('NO2'!A:A,A247)&gt;0,COUNTIF('O3'!A:A,A247)&gt;0,COUNTIF('PM10'!A:A,A247)&gt;0,COUNTIF('PM2.5'!A:A,A247)&gt;0,COUNTIF('SO2'!A:A,A247)&gt;0)</f>
        <v>1</v>
      </c>
    </row>
    <row r="248" spans="1:6" x14ac:dyDescent="0.45">
      <c r="A248" s="2">
        <v>45633</v>
      </c>
      <c r="B248" s="1">
        <v>159350</v>
      </c>
      <c r="C248" s="1">
        <v>67991</v>
      </c>
      <c r="D248" s="1">
        <v>23507</v>
      </c>
      <c r="E248" s="1">
        <v>250848</v>
      </c>
      <c r="F248" t="b">
        <f>AND(COUNTIF(CO!A:A,A248)&gt;0,COUNTIF('NO2'!A:A,A248)&gt;0,COUNTIF('O3'!A:A,A248)&gt;0,COUNTIF('PM10'!A:A,A248)&gt;0,COUNTIF('PM2.5'!A:A,A248)&gt;0,COUNTIF('SO2'!A:A,A248)&gt;0)</f>
        <v>1</v>
      </c>
    </row>
    <row r="249" spans="1:6" x14ac:dyDescent="0.45">
      <c r="A249" s="2">
        <v>45634</v>
      </c>
      <c r="B249" s="1">
        <v>154054</v>
      </c>
      <c r="C249" s="1">
        <v>66824</v>
      </c>
      <c r="D249" s="1">
        <v>23078</v>
      </c>
      <c r="E249" s="1">
        <v>243956</v>
      </c>
      <c r="F249" t="b">
        <f>AND(COUNTIF(CO!A:A,A249)&gt;0,COUNTIF('NO2'!A:A,A249)&gt;0,COUNTIF('O3'!A:A,A249)&gt;0,COUNTIF('PM10'!A:A,A249)&gt;0,COUNTIF('PM2.5'!A:A,A249)&gt;0,COUNTIF('SO2'!A:A,A249)&gt;0)</f>
        <v>1</v>
      </c>
    </row>
    <row r="250" spans="1:6" x14ac:dyDescent="0.45">
      <c r="A250" s="2">
        <v>45635</v>
      </c>
      <c r="B250" s="1">
        <v>152000</v>
      </c>
      <c r="C250" s="1">
        <v>63631</v>
      </c>
      <c r="D250" s="1">
        <v>22972</v>
      </c>
      <c r="E250" s="1">
        <v>238603</v>
      </c>
      <c r="F250" t="b">
        <f>AND(COUNTIF(CO!A:A,A250)&gt;0,COUNTIF('NO2'!A:A,A250)&gt;0,COUNTIF('O3'!A:A,A250)&gt;0,COUNTIF('PM10'!A:A,A250)&gt;0,COUNTIF('PM2.5'!A:A,A250)&gt;0,COUNTIF('SO2'!A:A,A250)&gt;0)</f>
        <v>1</v>
      </c>
    </row>
    <row r="251" spans="1:6" x14ac:dyDescent="0.45">
      <c r="A251" s="2">
        <v>45636</v>
      </c>
      <c r="B251" s="1">
        <v>168645</v>
      </c>
      <c r="C251" s="1">
        <v>66067</v>
      </c>
      <c r="D251" s="1">
        <v>20696</v>
      </c>
      <c r="E251" s="1">
        <v>255408</v>
      </c>
      <c r="F251" t="b">
        <f>AND(COUNTIF(CO!A:A,A251)&gt;0,COUNTIF('NO2'!A:A,A251)&gt;0,COUNTIF('O3'!A:A,A251)&gt;0,COUNTIF('PM10'!A:A,A251)&gt;0,COUNTIF('PM2.5'!A:A,A251)&gt;0,COUNTIF('SO2'!A:A,A251)&gt;0)</f>
        <v>1</v>
      </c>
    </row>
    <row r="252" spans="1:6" x14ac:dyDescent="0.45">
      <c r="A252" s="2">
        <v>45637</v>
      </c>
      <c r="B252" s="1">
        <v>168697</v>
      </c>
      <c r="C252" s="1">
        <v>68135</v>
      </c>
      <c r="D252" s="1">
        <v>24486</v>
      </c>
      <c r="E252" s="1">
        <v>261318</v>
      </c>
      <c r="F252" t="b">
        <f>AND(COUNTIF(CO!A:A,A252)&gt;0,COUNTIF('NO2'!A:A,A252)&gt;0,COUNTIF('O3'!A:A,A252)&gt;0,COUNTIF('PM10'!A:A,A252)&gt;0,COUNTIF('PM2.5'!A:A,A252)&gt;0,COUNTIF('SO2'!A:A,A252)&gt;0)</f>
        <v>1</v>
      </c>
    </row>
    <row r="253" spans="1:6" x14ac:dyDescent="0.45">
      <c r="A253" s="2">
        <v>45638</v>
      </c>
      <c r="B253" s="1">
        <v>187957</v>
      </c>
      <c r="C253" s="1">
        <v>67735</v>
      </c>
      <c r="D253" s="1">
        <v>20285</v>
      </c>
      <c r="E253" s="1">
        <v>275977</v>
      </c>
      <c r="F253" t="b">
        <f>AND(COUNTIF(CO!A:A,A253)&gt;0,COUNTIF('NO2'!A:A,A253)&gt;0,COUNTIF('O3'!A:A,A253)&gt;0,COUNTIF('PM10'!A:A,A253)&gt;0,COUNTIF('PM2.5'!A:A,A253)&gt;0,COUNTIF('SO2'!A:A,A253)&gt;0)</f>
        <v>1</v>
      </c>
    </row>
    <row r="254" spans="1:6" x14ac:dyDescent="0.45">
      <c r="A254" s="2">
        <v>45639</v>
      </c>
      <c r="B254" s="1">
        <v>191553</v>
      </c>
      <c r="C254" s="1">
        <v>63707</v>
      </c>
      <c r="D254" s="1">
        <v>17658</v>
      </c>
      <c r="E254" s="1">
        <v>272918</v>
      </c>
      <c r="F254" t="b">
        <f>AND(COUNTIF(CO!A:A,A254)&gt;0,COUNTIF('NO2'!A:A,A254)&gt;0,COUNTIF('O3'!A:A,A254)&gt;0,COUNTIF('PM10'!A:A,A254)&gt;0,COUNTIF('PM2.5'!A:A,A254)&gt;0,COUNTIF('SO2'!A:A,A254)&gt;0)</f>
        <v>1</v>
      </c>
    </row>
    <row r="255" spans="1:6" x14ac:dyDescent="0.45">
      <c r="A255" s="2">
        <v>45640</v>
      </c>
      <c r="B255" s="1">
        <v>179339</v>
      </c>
      <c r="C255" s="1">
        <v>72839</v>
      </c>
      <c r="D255" s="1">
        <v>21169</v>
      </c>
      <c r="E255" s="1">
        <v>273347</v>
      </c>
      <c r="F255" t="b">
        <f>AND(COUNTIF(CO!A:A,A255)&gt;0,COUNTIF('NO2'!A:A,A255)&gt;0,COUNTIF('O3'!A:A,A255)&gt;0,COUNTIF('PM10'!A:A,A255)&gt;0,COUNTIF('PM2.5'!A:A,A255)&gt;0,COUNTIF('SO2'!A:A,A255)&gt;0)</f>
        <v>1</v>
      </c>
    </row>
    <row r="256" spans="1:6" x14ac:dyDescent="0.45">
      <c r="A256" s="2">
        <v>45641</v>
      </c>
      <c r="B256" s="1">
        <v>155909</v>
      </c>
      <c r="C256" s="1">
        <v>64789</v>
      </c>
      <c r="D256" s="1">
        <v>18412</v>
      </c>
      <c r="E256" s="1">
        <v>239110</v>
      </c>
      <c r="F256" t="b">
        <f>AND(COUNTIF(CO!A:A,A256)&gt;0,COUNTIF('NO2'!A:A,A256)&gt;0,COUNTIF('O3'!A:A,A256)&gt;0,COUNTIF('PM10'!A:A,A256)&gt;0,COUNTIF('PM2.5'!A:A,A256)&gt;0,COUNTIF('SO2'!A:A,A256)&gt;0)</f>
        <v>1</v>
      </c>
    </row>
    <row r="257" spans="1:6" x14ac:dyDescent="0.45">
      <c r="A257" s="2">
        <v>45642</v>
      </c>
      <c r="B257" s="1">
        <v>203450</v>
      </c>
      <c r="C257" s="1">
        <v>66198</v>
      </c>
      <c r="D257" s="1">
        <v>22657</v>
      </c>
      <c r="E257" s="1">
        <v>292305</v>
      </c>
      <c r="F257" t="b">
        <f>AND(COUNTIF(CO!A:A,A257)&gt;0,COUNTIF('NO2'!A:A,A257)&gt;0,COUNTIF('O3'!A:A,A257)&gt;0,COUNTIF('PM10'!A:A,A257)&gt;0,COUNTIF('PM2.5'!A:A,A257)&gt;0,COUNTIF('SO2'!A:A,A257)&gt;0)</f>
        <v>1</v>
      </c>
    </row>
    <row r="258" spans="1:6" x14ac:dyDescent="0.45">
      <c r="A258" s="2">
        <v>45643</v>
      </c>
      <c r="B258" s="1">
        <v>173832</v>
      </c>
      <c r="C258" s="1">
        <v>56663</v>
      </c>
      <c r="D258" s="1">
        <v>21043</v>
      </c>
      <c r="E258" s="1">
        <v>251538</v>
      </c>
      <c r="F258" t="b">
        <f>AND(COUNTIF(CO!A:A,A258)&gt;0,COUNTIF('NO2'!A:A,A258)&gt;0,COUNTIF('O3'!A:A,A258)&gt;0,COUNTIF('PM10'!A:A,A258)&gt;0,COUNTIF('PM2.5'!A:A,A258)&gt;0,COUNTIF('SO2'!A:A,A258)&gt;0)</f>
        <v>1</v>
      </c>
    </row>
    <row r="259" spans="1:6" x14ac:dyDescent="0.45">
      <c r="A259" s="2">
        <v>45644</v>
      </c>
      <c r="B259" s="1">
        <v>169268</v>
      </c>
      <c r="C259" s="1">
        <v>55730</v>
      </c>
      <c r="D259" s="1">
        <v>24340</v>
      </c>
      <c r="E259" s="1">
        <v>249338</v>
      </c>
      <c r="F259" t="b">
        <f>AND(COUNTIF(CO!A:A,A259)&gt;0,COUNTIF('NO2'!A:A,A259)&gt;0,COUNTIF('O3'!A:A,A259)&gt;0,COUNTIF('PM10'!A:A,A259)&gt;0,COUNTIF('PM2.5'!A:A,A259)&gt;0,COUNTIF('SO2'!A:A,A259)&gt;0)</f>
        <v>1</v>
      </c>
    </row>
    <row r="260" spans="1:6" x14ac:dyDescent="0.45">
      <c r="A260" s="2">
        <v>45645</v>
      </c>
      <c r="B260" s="1">
        <v>171154</v>
      </c>
      <c r="C260" s="1">
        <v>64253</v>
      </c>
      <c r="D260" s="1">
        <v>31798</v>
      </c>
      <c r="E260" s="1">
        <v>267205</v>
      </c>
      <c r="F260" t="b">
        <f>AND(COUNTIF(CO!A:A,A260)&gt;0,COUNTIF('NO2'!A:A,A260)&gt;0,COUNTIF('O3'!A:A,A260)&gt;0,COUNTIF('PM10'!A:A,A260)&gt;0,COUNTIF('PM2.5'!A:A,A260)&gt;0,COUNTIF('SO2'!A:A,A260)&gt;0)</f>
        <v>1</v>
      </c>
    </row>
    <row r="261" spans="1:6" x14ac:dyDescent="0.45">
      <c r="A261" s="2">
        <v>45646</v>
      </c>
      <c r="B261" s="1">
        <v>193681</v>
      </c>
      <c r="C261" s="1">
        <v>74985</v>
      </c>
      <c r="D261" s="1">
        <v>29240</v>
      </c>
      <c r="E261" s="1">
        <v>297906</v>
      </c>
      <c r="F261" t="b">
        <f>AND(COUNTIF(CO!A:A,A261)&gt;0,COUNTIF('NO2'!A:A,A261)&gt;0,COUNTIF('O3'!A:A,A261)&gt;0,COUNTIF('PM10'!A:A,A261)&gt;0,COUNTIF('PM2.5'!A:A,A261)&gt;0,COUNTIF('SO2'!A:A,A261)&gt;0)</f>
        <v>1</v>
      </c>
    </row>
    <row r="262" spans="1:6" x14ac:dyDescent="0.45">
      <c r="A262" s="2">
        <v>45647</v>
      </c>
      <c r="B262" s="1">
        <v>182780</v>
      </c>
      <c r="C262" s="1">
        <v>77672</v>
      </c>
      <c r="D262" s="1">
        <v>30520</v>
      </c>
      <c r="E262" s="1">
        <v>290972</v>
      </c>
      <c r="F262" t="b">
        <f>AND(COUNTIF(CO!A:A,A262)&gt;0,COUNTIF('NO2'!A:A,A262)&gt;0,COUNTIF('O3'!A:A,A262)&gt;0,COUNTIF('PM10'!A:A,A262)&gt;0,COUNTIF('PM2.5'!A:A,A262)&gt;0,COUNTIF('SO2'!A:A,A262)&gt;0)</f>
        <v>1</v>
      </c>
    </row>
    <row r="263" spans="1:6" x14ac:dyDescent="0.45">
      <c r="A263" s="2">
        <v>45648</v>
      </c>
      <c r="B263" s="1">
        <v>161499</v>
      </c>
      <c r="C263" s="1">
        <v>76852</v>
      </c>
      <c r="D263" s="1">
        <v>28074</v>
      </c>
      <c r="E263" s="1">
        <v>266425</v>
      </c>
      <c r="F263" t="b">
        <f>AND(COUNTIF(CO!A:A,A263)&gt;0,COUNTIF('NO2'!A:A,A263)&gt;0,COUNTIF('O3'!A:A,A263)&gt;0,COUNTIF('PM10'!A:A,A263)&gt;0,COUNTIF('PM2.5'!A:A,A263)&gt;0,COUNTIF('SO2'!A:A,A263)&gt;0)</f>
        <v>1</v>
      </c>
    </row>
    <row r="264" spans="1:6" x14ac:dyDescent="0.45">
      <c r="A264" s="2">
        <v>45649</v>
      </c>
      <c r="B264" s="1">
        <v>183058</v>
      </c>
      <c r="C264" s="1">
        <v>73334</v>
      </c>
      <c r="D264" s="1">
        <v>29669</v>
      </c>
      <c r="E264" s="1">
        <v>286061</v>
      </c>
      <c r="F264" t="b">
        <f>AND(COUNTIF(CO!A:A,A264)&gt;0,COUNTIF('NO2'!A:A,A264)&gt;0,COUNTIF('O3'!A:A,A264)&gt;0,COUNTIF('PM10'!A:A,A264)&gt;0,COUNTIF('PM2.5'!A:A,A264)&gt;0,COUNTIF('SO2'!A:A,A264)&gt;0)</f>
        <v>1</v>
      </c>
    </row>
    <row r="265" spans="1:6" x14ac:dyDescent="0.45">
      <c r="A265" s="2">
        <v>45650</v>
      </c>
      <c r="B265" s="1">
        <v>183876</v>
      </c>
      <c r="C265" s="1">
        <v>78183</v>
      </c>
      <c r="D265" s="1">
        <v>26034</v>
      </c>
      <c r="E265" s="1">
        <v>288093</v>
      </c>
      <c r="F265" t="b">
        <f>AND(COUNTIF(CO!A:A,A265)&gt;0,COUNTIF('NO2'!A:A,A265)&gt;0,COUNTIF('O3'!A:A,A265)&gt;0,COUNTIF('PM10'!A:A,A265)&gt;0,COUNTIF('PM2.5'!A:A,A265)&gt;0,COUNTIF('SO2'!A:A,A265)&gt;0)</f>
        <v>1</v>
      </c>
    </row>
    <row r="266" spans="1:6" x14ac:dyDescent="0.45">
      <c r="A266" s="2">
        <v>45651</v>
      </c>
      <c r="B266" s="1">
        <v>145302</v>
      </c>
      <c r="C266" s="1">
        <v>76578</v>
      </c>
      <c r="D266" s="1">
        <v>21220</v>
      </c>
      <c r="E266" s="1">
        <v>243100</v>
      </c>
      <c r="F266" t="b">
        <f>AND(COUNTIF(CO!A:A,A266)&gt;0,COUNTIF('NO2'!A:A,A266)&gt;0,COUNTIF('O3'!A:A,A266)&gt;0,COUNTIF('PM10'!A:A,A266)&gt;0,COUNTIF('PM2.5'!A:A,A266)&gt;0,COUNTIF('SO2'!A:A,A266)&gt;0)</f>
        <v>1</v>
      </c>
    </row>
    <row r="267" spans="1:6" x14ac:dyDescent="0.45">
      <c r="A267" s="2">
        <v>45657</v>
      </c>
      <c r="B267" s="1">
        <v>200803</v>
      </c>
      <c r="C267" s="1">
        <v>71015</v>
      </c>
      <c r="D267" s="1">
        <v>19353</v>
      </c>
      <c r="E267" s="1">
        <v>291171</v>
      </c>
      <c r="F267" t="b">
        <f>AND(COUNTIF(CO!A:A,A267)&gt;0,COUNTIF('NO2'!A:A,A267)&gt;0,COUNTIF('O3'!A:A,A267)&gt;0,COUNTIF('PM10'!A:A,A267)&gt;0,COUNTIF('PM2.5'!A:A,A267)&gt;0,COUNTIF('SO2'!A:A,A267)&gt;0)</f>
        <v>1</v>
      </c>
    </row>
    <row r="268" spans="1:6" x14ac:dyDescent="0.45">
      <c r="A268" s="2">
        <v>45658</v>
      </c>
      <c r="B268" s="1">
        <v>148250</v>
      </c>
      <c r="C268" s="1">
        <v>68855</v>
      </c>
      <c r="D268" s="1">
        <v>16338</v>
      </c>
      <c r="E268" s="1">
        <v>233443</v>
      </c>
      <c r="F268" t="b">
        <f>AND(COUNTIF(CO!A:A,A268)&gt;0,COUNTIF('NO2'!A:A,A268)&gt;0,COUNTIF('O3'!A:A,A268)&gt;0,COUNTIF('PM10'!A:A,A268)&gt;0,COUNTIF('PM2.5'!A:A,A268)&gt;0,COUNTIF('SO2'!A:A,A268)&gt;0)</f>
        <v>1</v>
      </c>
    </row>
    <row r="269" spans="1:6" x14ac:dyDescent="0.45">
      <c r="A269" s="2">
        <v>45659</v>
      </c>
      <c r="B269" s="1">
        <v>197088</v>
      </c>
      <c r="C269" s="1">
        <v>70106</v>
      </c>
      <c r="D269" s="1">
        <v>20881</v>
      </c>
      <c r="E269" s="1">
        <v>288075</v>
      </c>
      <c r="F269" t="b">
        <f>AND(COUNTIF(CO!A:A,A269)&gt;0,COUNTIF('NO2'!A:A,A269)&gt;0,COUNTIF('O3'!A:A,A269)&gt;0,COUNTIF('PM10'!A:A,A269)&gt;0,COUNTIF('PM2.5'!A:A,A269)&gt;0,COUNTIF('SO2'!A:A,A269)&gt;0)</f>
        <v>1</v>
      </c>
    </row>
    <row r="270" spans="1:6" x14ac:dyDescent="0.45">
      <c r="A270" s="2">
        <v>45660</v>
      </c>
      <c r="B270" s="1">
        <v>188263</v>
      </c>
      <c r="C270" s="1">
        <v>65439</v>
      </c>
      <c r="D270" s="1">
        <v>26740</v>
      </c>
      <c r="E270" s="1">
        <v>280442</v>
      </c>
      <c r="F270" t="b">
        <f>AND(COUNTIF(CO!A:A,A270)&gt;0,COUNTIF('NO2'!A:A,A270)&gt;0,COUNTIF('O3'!A:A,A270)&gt;0,COUNTIF('PM10'!A:A,A270)&gt;0,COUNTIF('PM2.5'!A:A,A270)&gt;0,COUNTIF('SO2'!A:A,A270)&gt;0)</f>
        <v>1</v>
      </c>
    </row>
    <row r="271" spans="1:6" x14ac:dyDescent="0.45">
      <c r="A271" s="2">
        <v>45661</v>
      </c>
      <c r="B271" s="1">
        <v>173700</v>
      </c>
      <c r="C271" s="1">
        <v>70196</v>
      </c>
      <c r="D271" s="1">
        <v>29084</v>
      </c>
      <c r="E271" s="1">
        <v>272980</v>
      </c>
      <c r="F271" t="b">
        <f>AND(COUNTIF(CO!A:A,A271)&gt;0,COUNTIF('NO2'!A:A,A271)&gt;0,COUNTIF('O3'!A:A,A271)&gt;0,COUNTIF('PM10'!A:A,A271)&gt;0,COUNTIF('PM2.5'!A:A,A271)&gt;0,COUNTIF('SO2'!A:A,A271)&gt;0)</f>
        <v>1</v>
      </c>
    </row>
    <row r="272" spans="1:6" x14ac:dyDescent="0.45">
      <c r="A272" s="2">
        <v>45662</v>
      </c>
      <c r="B272" s="1">
        <v>147290</v>
      </c>
      <c r="C272" s="1">
        <v>70191</v>
      </c>
      <c r="D272" s="1">
        <v>19684</v>
      </c>
      <c r="E272" s="1">
        <v>237165</v>
      </c>
      <c r="F272" t="b">
        <f>AND(COUNTIF(CO!A:A,A272)&gt;0,COUNTIF('NO2'!A:A,A272)&gt;0,COUNTIF('O3'!A:A,A272)&gt;0,COUNTIF('PM10'!A:A,A272)&gt;0,COUNTIF('PM2.5'!A:A,A272)&gt;0,COUNTIF('SO2'!A:A,A272)&gt;0)</f>
        <v>1</v>
      </c>
    </row>
    <row r="273" spans="1:6" x14ac:dyDescent="0.45">
      <c r="A273" s="2">
        <v>45663</v>
      </c>
      <c r="B273" s="1">
        <v>163672</v>
      </c>
      <c r="C273" s="1">
        <v>60033</v>
      </c>
      <c r="D273" s="1">
        <v>24539</v>
      </c>
      <c r="E273" s="1">
        <v>248244</v>
      </c>
      <c r="F273" t="b">
        <f>AND(COUNTIF(CO!A:A,A273)&gt;0,COUNTIF('NO2'!A:A,A273)&gt;0,COUNTIF('O3'!A:A,A273)&gt;0,COUNTIF('PM10'!A:A,A273)&gt;0,COUNTIF('PM2.5'!A:A,A273)&gt;0,COUNTIF('SO2'!A:A,A273)&gt;0)</f>
        <v>1</v>
      </c>
    </row>
    <row r="274" spans="1:6" x14ac:dyDescent="0.45">
      <c r="A274" s="2">
        <v>45664</v>
      </c>
      <c r="B274" s="1">
        <v>184079</v>
      </c>
      <c r="C274" s="1">
        <v>61979</v>
      </c>
      <c r="D274" s="1">
        <v>25205</v>
      </c>
      <c r="E274" s="1">
        <v>271263</v>
      </c>
      <c r="F274" t="b">
        <f>AND(COUNTIF(CO!A:A,A274)&gt;0,COUNTIF('NO2'!A:A,A274)&gt;0,COUNTIF('O3'!A:A,A274)&gt;0,COUNTIF('PM10'!A:A,A274)&gt;0,COUNTIF('PM2.5'!A:A,A274)&gt;0,COUNTIF('SO2'!A:A,A274)&gt;0)</f>
        <v>1</v>
      </c>
    </row>
    <row r="275" spans="1:6" x14ac:dyDescent="0.45">
      <c r="A275" s="2">
        <v>45665</v>
      </c>
      <c r="B275" s="1">
        <v>188022</v>
      </c>
      <c r="C275" s="1">
        <v>61965</v>
      </c>
      <c r="D275" s="1">
        <v>23880</v>
      </c>
      <c r="E275" s="1">
        <v>273867</v>
      </c>
      <c r="F275" t="b">
        <f>AND(COUNTIF(CO!A:A,A275)&gt;0,COUNTIF('NO2'!A:A,A275)&gt;0,COUNTIF('O3'!A:A,A275)&gt;0,COUNTIF('PM10'!A:A,A275)&gt;0,COUNTIF('PM2.5'!A:A,A275)&gt;0,COUNTIF('SO2'!A:A,A275)&gt;0)</f>
        <v>1</v>
      </c>
    </row>
    <row r="276" spans="1:6" x14ac:dyDescent="0.45">
      <c r="A276" s="2">
        <v>45666</v>
      </c>
      <c r="B276" s="1">
        <v>198283</v>
      </c>
      <c r="C276" s="1">
        <v>60003</v>
      </c>
      <c r="D276" s="1">
        <v>26044</v>
      </c>
      <c r="E276" s="1">
        <v>284330</v>
      </c>
      <c r="F276" t="b">
        <f>AND(COUNTIF(CO!A:A,A276)&gt;0,COUNTIF('NO2'!A:A,A276)&gt;0,COUNTIF('O3'!A:A,A276)&gt;0,COUNTIF('PM10'!A:A,A276)&gt;0,COUNTIF('PM2.5'!A:A,A276)&gt;0,COUNTIF('SO2'!A:A,A276)&gt;0)</f>
        <v>1</v>
      </c>
    </row>
    <row r="277" spans="1:6" x14ac:dyDescent="0.45">
      <c r="A277" s="2">
        <v>45667</v>
      </c>
      <c r="B277" s="1">
        <v>181413</v>
      </c>
      <c r="C277" s="1">
        <v>59491</v>
      </c>
      <c r="D277" s="1">
        <v>22409</v>
      </c>
      <c r="E277" s="1">
        <v>263313</v>
      </c>
      <c r="F277" t="b">
        <f>AND(COUNTIF(CO!A:A,A277)&gt;0,COUNTIF('NO2'!A:A,A277)&gt;0,COUNTIF('O3'!A:A,A277)&gt;0,COUNTIF('PM10'!A:A,A277)&gt;0,COUNTIF('PM2.5'!A:A,A277)&gt;0,COUNTIF('SO2'!A:A,A277)&gt;0)</f>
        <v>1</v>
      </c>
    </row>
    <row r="278" spans="1:6" x14ac:dyDescent="0.45">
      <c r="A278" s="2">
        <v>45668</v>
      </c>
      <c r="B278" s="1">
        <v>194930</v>
      </c>
      <c r="C278" s="1">
        <v>66073</v>
      </c>
      <c r="D278" s="1">
        <v>25904</v>
      </c>
      <c r="E278" s="1">
        <v>286907</v>
      </c>
      <c r="F278" t="b">
        <f>AND(COUNTIF(CO!A:A,A278)&gt;0,COUNTIF('NO2'!A:A,A278)&gt;0,COUNTIF('O3'!A:A,A278)&gt;0,COUNTIF('PM10'!A:A,A278)&gt;0,COUNTIF('PM2.5'!A:A,A278)&gt;0,COUNTIF('SO2'!A:A,A278)&gt;0)</f>
        <v>1</v>
      </c>
    </row>
    <row r="279" spans="1:6" x14ac:dyDescent="0.45">
      <c r="A279" s="2">
        <v>45669</v>
      </c>
      <c r="B279" s="1">
        <v>143325</v>
      </c>
      <c r="C279" s="1">
        <v>62229</v>
      </c>
      <c r="D279" s="1">
        <v>21751</v>
      </c>
      <c r="E279" s="1">
        <v>227305</v>
      </c>
      <c r="F279" t="b">
        <f>AND(COUNTIF(CO!A:A,A279)&gt;0,COUNTIF('NO2'!A:A,A279)&gt;0,COUNTIF('O3'!A:A,A279)&gt;0,COUNTIF('PM10'!A:A,A279)&gt;0,COUNTIF('PM2.5'!A:A,A279)&gt;0,COUNTIF('SO2'!A:A,A279)&gt;0)</f>
        <v>1</v>
      </c>
    </row>
    <row r="280" spans="1:6" x14ac:dyDescent="0.45">
      <c r="A280" s="2">
        <v>45670</v>
      </c>
      <c r="B280" s="1">
        <v>199376</v>
      </c>
      <c r="C280" s="1">
        <v>61025</v>
      </c>
      <c r="D280" s="1">
        <v>23692</v>
      </c>
      <c r="E280" s="1">
        <v>284093</v>
      </c>
      <c r="F280" t="b">
        <f>AND(COUNTIF(CO!A:A,A280)&gt;0,COUNTIF('NO2'!A:A,A280)&gt;0,COUNTIF('O3'!A:A,A280)&gt;0,COUNTIF('PM10'!A:A,A280)&gt;0,COUNTIF('PM2.5'!A:A,A280)&gt;0,COUNTIF('SO2'!A:A,A280)&gt;0)</f>
        <v>1</v>
      </c>
    </row>
    <row r="281" spans="1:6" x14ac:dyDescent="0.45">
      <c r="A281" s="2">
        <v>45671</v>
      </c>
      <c r="B281" s="1">
        <v>162402</v>
      </c>
      <c r="C281" s="1">
        <v>57227</v>
      </c>
      <c r="D281" s="1">
        <v>25256</v>
      </c>
      <c r="E281" s="1">
        <v>244885</v>
      </c>
      <c r="F281" t="b">
        <f>AND(COUNTIF(CO!A:A,A281)&gt;0,COUNTIF('NO2'!A:A,A281)&gt;0,COUNTIF('O3'!A:A,A281)&gt;0,COUNTIF('PM10'!A:A,A281)&gt;0,COUNTIF('PM2.5'!A:A,A281)&gt;0,COUNTIF('SO2'!A:A,A281)&gt;0)</f>
        <v>1</v>
      </c>
    </row>
    <row r="282" spans="1:6" x14ac:dyDescent="0.45">
      <c r="A282" s="2">
        <v>45672</v>
      </c>
      <c r="B282" s="1">
        <v>193949</v>
      </c>
      <c r="C282" s="1">
        <v>63072</v>
      </c>
      <c r="D282" s="1">
        <v>23273</v>
      </c>
      <c r="E282" s="1">
        <v>280294</v>
      </c>
      <c r="F282" t="b">
        <f>AND(COUNTIF(CO!A:A,A282)&gt;0,COUNTIF('NO2'!A:A,A282)&gt;0,COUNTIF('O3'!A:A,A282)&gt;0,COUNTIF('PM10'!A:A,A282)&gt;0,COUNTIF('PM2.5'!A:A,A282)&gt;0,COUNTIF('SO2'!A:A,A282)&gt;0)</f>
        <v>1</v>
      </c>
    </row>
    <row r="283" spans="1:6" x14ac:dyDescent="0.45">
      <c r="A283" s="2">
        <v>45673</v>
      </c>
      <c r="B283" s="1">
        <v>192668</v>
      </c>
      <c r="C283" s="1">
        <v>61750</v>
      </c>
      <c r="D283" s="1">
        <v>23146</v>
      </c>
      <c r="E283" s="1">
        <v>277564</v>
      </c>
      <c r="F283" t="b">
        <f>AND(COUNTIF(CO!A:A,A283)&gt;0,COUNTIF('NO2'!A:A,A283)&gt;0,COUNTIF('O3'!A:A,A283)&gt;0,COUNTIF('PM10'!A:A,A283)&gt;0,COUNTIF('PM2.5'!A:A,A283)&gt;0,COUNTIF('SO2'!A:A,A283)&gt;0)</f>
        <v>1</v>
      </c>
    </row>
    <row r="284" spans="1:6" x14ac:dyDescent="0.45">
      <c r="A284" s="2">
        <v>45674</v>
      </c>
      <c r="B284" s="1">
        <v>166473</v>
      </c>
      <c r="C284" s="1">
        <v>60923</v>
      </c>
      <c r="D284" s="1">
        <v>23486</v>
      </c>
      <c r="E284" s="1">
        <v>250882</v>
      </c>
      <c r="F284" t="b">
        <f>AND(COUNTIF(CO!A:A,A284)&gt;0,COUNTIF('NO2'!A:A,A284)&gt;0,COUNTIF('O3'!A:A,A284)&gt;0,COUNTIF('PM10'!A:A,A284)&gt;0,COUNTIF('PM2.5'!A:A,A284)&gt;0,COUNTIF('SO2'!A:A,A284)&gt;0)</f>
        <v>1</v>
      </c>
    </row>
    <row r="285" spans="1:6" x14ac:dyDescent="0.45">
      <c r="A285" s="2">
        <v>45675</v>
      </c>
      <c r="B285" s="1">
        <v>186656</v>
      </c>
      <c r="C285" s="1">
        <v>63683</v>
      </c>
      <c r="D285" s="1">
        <v>22487</v>
      </c>
      <c r="E285" s="1">
        <v>272826</v>
      </c>
      <c r="F285" t="b">
        <f>AND(COUNTIF(CO!A:A,A285)&gt;0,COUNTIF('NO2'!A:A,A285)&gt;0,COUNTIF('O3'!A:A,A285)&gt;0,COUNTIF('PM10'!A:A,A285)&gt;0,COUNTIF('PM2.5'!A:A,A285)&gt;0,COUNTIF('SO2'!A:A,A285)&gt;0)</f>
        <v>1</v>
      </c>
    </row>
    <row r="286" spans="1:6" x14ac:dyDescent="0.45">
      <c r="A286" s="2">
        <v>45676</v>
      </c>
      <c r="B286" s="1">
        <v>165893</v>
      </c>
      <c r="C286" s="1">
        <v>53770</v>
      </c>
      <c r="D286" s="1">
        <v>20475</v>
      </c>
      <c r="E286" s="1">
        <v>240138</v>
      </c>
      <c r="F286" t="b">
        <f>AND(COUNTIF(CO!A:A,A286)&gt;0,COUNTIF('NO2'!A:A,A286)&gt;0,COUNTIF('O3'!A:A,A286)&gt;0,COUNTIF('PM10'!A:A,A286)&gt;0,COUNTIF('PM2.5'!A:A,A286)&gt;0,COUNTIF('SO2'!A:A,A286)&gt;0)</f>
        <v>1</v>
      </c>
    </row>
    <row r="287" spans="1:6" x14ac:dyDescent="0.45">
      <c r="A287" s="2">
        <v>45677</v>
      </c>
      <c r="B287" s="1">
        <v>178107</v>
      </c>
      <c r="C287" s="1">
        <v>55976</v>
      </c>
      <c r="D287" s="1">
        <v>14369</v>
      </c>
      <c r="E287" s="1">
        <v>248452</v>
      </c>
      <c r="F287" t="b">
        <f>AND(COUNTIF(CO!A:A,A287)&gt;0,COUNTIF('NO2'!A:A,A287)&gt;0,COUNTIF('O3'!A:A,A287)&gt;0,COUNTIF('PM10'!A:A,A287)&gt;0,COUNTIF('PM2.5'!A:A,A287)&gt;0,COUNTIF('SO2'!A:A,A287)&gt;0)</f>
        <v>1</v>
      </c>
    </row>
    <row r="288" spans="1:6" x14ac:dyDescent="0.45">
      <c r="A288" s="2">
        <v>45678</v>
      </c>
      <c r="B288" s="1">
        <v>177841</v>
      </c>
      <c r="C288" s="1">
        <v>53738</v>
      </c>
      <c r="D288" s="1">
        <v>16424</v>
      </c>
      <c r="E288" s="1">
        <v>248003</v>
      </c>
      <c r="F288" t="b">
        <f>AND(COUNTIF(CO!A:A,A288)&gt;0,COUNTIF('NO2'!A:A,A288)&gt;0,COUNTIF('O3'!A:A,A288)&gt;0,COUNTIF('PM10'!A:A,A288)&gt;0,COUNTIF('PM2.5'!A:A,A288)&gt;0,COUNTIF('SO2'!A:A,A288)&gt;0)</f>
        <v>1</v>
      </c>
    </row>
    <row r="289" spans="1:6" x14ac:dyDescent="0.45">
      <c r="A289" s="2">
        <v>45679</v>
      </c>
      <c r="B289" s="1">
        <v>180775</v>
      </c>
      <c r="C289" s="1">
        <v>56755</v>
      </c>
      <c r="D289" s="1">
        <v>18250</v>
      </c>
      <c r="E289" s="1">
        <v>255780</v>
      </c>
      <c r="F289" t="b">
        <f>AND(COUNTIF(CO!A:A,A289)&gt;0,COUNTIF('NO2'!A:A,A289)&gt;0,COUNTIF('O3'!A:A,A289)&gt;0,COUNTIF('PM10'!A:A,A289)&gt;0,COUNTIF('PM2.5'!A:A,A289)&gt;0,COUNTIF('SO2'!A:A,A289)&gt;0)</f>
        <v>1</v>
      </c>
    </row>
    <row r="290" spans="1:6" x14ac:dyDescent="0.45">
      <c r="A290" s="2">
        <v>45680</v>
      </c>
      <c r="B290" s="1">
        <v>186798</v>
      </c>
      <c r="C290" s="1">
        <v>63607</v>
      </c>
      <c r="D290" s="1">
        <v>17699</v>
      </c>
      <c r="E290" s="1">
        <v>268104</v>
      </c>
      <c r="F290" t="b">
        <f>AND(COUNTIF(CO!A:A,A290)&gt;0,COUNTIF('NO2'!A:A,A290)&gt;0,COUNTIF('O3'!A:A,A290)&gt;0,COUNTIF('PM10'!A:A,A290)&gt;0,COUNTIF('PM2.5'!A:A,A290)&gt;0,COUNTIF('SO2'!A:A,A290)&gt;0)</f>
        <v>1</v>
      </c>
    </row>
    <row r="291" spans="1:6" x14ac:dyDescent="0.45">
      <c r="A291" s="2">
        <v>45681</v>
      </c>
      <c r="B291" s="1">
        <v>185208</v>
      </c>
      <c r="C291" s="1">
        <v>63106</v>
      </c>
      <c r="D291" s="1">
        <v>19040</v>
      </c>
      <c r="E291" s="1">
        <v>267354</v>
      </c>
      <c r="F291" t="b">
        <f>AND(COUNTIF(CO!A:A,A291)&gt;0,COUNTIF('NO2'!A:A,A291)&gt;0,COUNTIF('O3'!A:A,A291)&gt;0,COUNTIF('PM10'!A:A,A291)&gt;0,COUNTIF('PM2.5'!A:A,A291)&gt;0,COUNTIF('SO2'!A:A,A291)&gt;0)</f>
        <v>1</v>
      </c>
    </row>
    <row r="292" spans="1:6" x14ac:dyDescent="0.45">
      <c r="A292" s="2">
        <v>45682</v>
      </c>
      <c r="B292" s="1">
        <v>167148</v>
      </c>
      <c r="C292" s="1">
        <v>62255</v>
      </c>
      <c r="D292" s="1">
        <v>25907</v>
      </c>
      <c r="E292" s="1">
        <v>255310</v>
      </c>
      <c r="F292" t="b">
        <f>AND(COUNTIF(CO!A:A,A292)&gt;0,COUNTIF('NO2'!A:A,A292)&gt;0,COUNTIF('O3'!A:A,A292)&gt;0,COUNTIF('PM10'!A:A,A292)&gt;0,COUNTIF('PM2.5'!A:A,A292)&gt;0,COUNTIF('SO2'!A:A,A292)&gt;0)</f>
        <v>1</v>
      </c>
    </row>
    <row r="293" spans="1:6" x14ac:dyDescent="0.45">
      <c r="A293" s="2">
        <v>45683</v>
      </c>
      <c r="B293" s="1">
        <v>152111</v>
      </c>
      <c r="C293" s="1">
        <v>62013</v>
      </c>
      <c r="D293" s="1">
        <v>20214</v>
      </c>
      <c r="E293" s="1">
        <v>234338</v>
      </c>
      <c r="F293" t="b">
        <f>AND(COUNTIF(CO!A:A,A293)&gt;0,COUNTIF('NO2'!A:A,A293)&gt;0,COUNTIF('O3'!A:A,A293)&gt;0,COUNTIF('PM10'!A:A,A293)&gt;0,COUNTIF('PM2.5'!A:A,A293)&gt;0,COUNTIF('SO2'!A:A,A293)&gt;0)</f>
        <v>1</v>
      </c>
    </row>
    <row r="294" spans="1:6" x14ac:dyDescent="0.45">
      <c r="A294" s="2">
        <v>45684</v>
      </c>
      <c r="B294" s="1">
        <v>135829</v>
      </c>
      <c r="C294" s="1">
        <v>61853</v>
      </c>
      <c r="D294" s="1">
        <v>16632</v>
      </c>
      <c r="E294" s="1">
        <v>214314</v>
      </c>
      <c r="F294" t="b">
        <f>AND(COUNTIF(CO!A:A,A294)&gt;0,COUNTIF('NO2'!A:A,A294)&gt;0,COUNTIF('O3'!A:A,A294)&gt;0,COUNTIF('PM10'!A:A,A294)&gt;0,COUNTIF('PM2.5'!A:A,A294)&gt;0,COUNTIF('SO2'!A:A,A294)&gt;0)</f>
        <v>1</v>
      </c>
    </row>
    <row r="295" spans="1:6" x14ac:dyDescent="0.45">
      <c r="A295" s="2">
        <v>45685</v>
      </c>
      <c r="B295" s="1">
        <v>185231</v>
      </c>
      <c r="C295" s="1">
        <v>65732</v>
      </c>
      <c r="D295" s="1">
        <v>19238</v>
      </c>
      <c r="E295" s="1">
        <v>270201</v>
      </c>
      <c r="F295" t="b">
        <f>AND(COUNTIF(CO!A:A,A295)&gt;0,COUNTIF('NO2'!A:A,A295)&gt;0,COUNTIF('O3'!A:A,A295)&gt;0,COUNTIF('PM10'!A:A,A295)&gt;0,COUNTIF('PM2.5'!A:A,A295)&gt;0,COUNTIF('SO2'!A:A,A295)&gt;0)</f>
        <v>1</v>
      </c>
    </row>
    <row r="296" spans="1:6" x14ac:dyDescent="0.45">
      <c r="A296" s="2">
        <v>45686</v>
      </c>
      <c r="B296" s="1">
        <v>155670</v>
      </c>
      <c r="C296" s="1">
        <v>59232</v>
      </c>
      <c r="D296" s="1">
        <v>18786</v>
      </c>
      <c r="E296" s="1">
        <v>233688</v>
      </c>
      <c r="F296" t="b">
        <f>AND(COUNTIF(CO!A:A,A296)&gt;0,COUNTIF('NO2'!A:A,A296)&gt;0,COUNTIF('O3'!A:A,A296)&gt;0,COUNTIF('PM10'!A:A,A296)&gt;0,COUNTIF('PM2.5'!A:A,A296)&gt;0,COUNTIF('SO2'!A:A,A296)&gt;0)</f>
        <v>1</v>
      </c>
    </row>
    <row r="297" spans="1:6" x14ac:dyDescent="0.45">
      <c r="A297" s="2">
        <v>45687</v>
      </c>
      <c r="B297" s="1">
        <v>189964</v>
      </c>
      <c r="C297" s="1">
        <v>56236</v>
      </c>
      <c r="D297" s="1">
        <v>19067</v>
      </c>
      <c r="E297" s="1">
        <v>265267</v>
      </c>
      <c r="F297" t="b">
        <f>AND(COUNTIF(CO!A:A,A297)&gt;0,COUNTIF('NO2'!A:A,A297)&gt;0,COUNTIF('O3'!A:A,A297)&gt;0,COUNTIF('PM10'!A:A,A297)&gt;0,COUNTIF('PM2.5'!A:A,A297)&gt;0,COUNTIF('SO2'!A:A,A297)&gt;0)</f>
        <v>1</v>
      </c>
    </row>
    <row r="298" spans="1:6" x14ac:dyDescent="0.45">
      <c r="A298" s="2">
        <v>45688</v>
      </c>
      <c r="B298" s="1">
        <v>198700</v>
      </c>
      <c r="C298" s="1">
        <v>58809</v>
      </c>
      <c r="D298" s="1">
        <v>20086</v>
      </c>
      <c r="E298" s="1">
        <v>277595</v>
      </c>
      <c r="F298" t="b">
        <f>AND(COUNTIF(CO!A:A,A298)&gt;0,COUNTIF('NO2'!A:A,A298)&gt;0,COUNTIF('O3'!A:A,A298)&gt;0,COUNTIF('PM10'!A:A,A298)&gt;0,COUNTIF('PM2.5'!A:A,A298)&gt;0,COUNTIF('SO2'!A:A,A298)&gt;0)</f>
        <v>1</v>
      </c>
    </row>
    <row r="299" spans="1:6" x14ac:dyDescent="0.45">
      <c r="A299" s="2">
        <v>45689</v>
      </c>
      <c r="B299" s="1">
        <v>194967</v>
      </c>
      <c r="C299" s="1">
        <v>67752</v>
      </c>
      <c r="D299" s="1">
        <v>19570</v>
      </c>
      <c r="E299" s="1">
        <v>282289</v>
      </c>
      <c r="F299" t="b">
        <f>AND(COUNTIF(CO!A:A,A299)&gt;0,COUNTIF('NO2'!A:A,A299)&gt;0,COUNTIF('O3'!A:A,A299)&gt;0,COUNTIF('PM10'!A:A,A299)&gt;0,COUNTIF('PM2.5'!A:A,A299)&gt;0,COUNTIF('SO2'!A:A,A299)&gt;0)</f>
        <v>1</v>
      </c>
    </row>
    <row r="300" spans="1:6" x14ac:dyDescent="0.45">
      <c r="A300" s="2">
        <v>45691</v>
      </c>
      <c r="B300" s="1">
        <v>208329</v>
      </c>
      <c r="C300" s="1">
        <v>66203</v>
      </c>
      <c r="D300" s="1">
        <v>19732</v>
      </c>
      <c r="E300" s="1">
        <v>294264</v>
      </c>
      <c r="F300" t="b">
        <f>AND(COUNTIF(CO!A:A,A300)&gt;0,COUNTIF('NO2'!A:A,A300)&gt;0,COUNTIF('O3'!A:A,A300)&gt;0,COUNTIF('PM10'!A:A,A300)&gt;0,COUNTIF('PM2.5'!A:A,A300)&gt;0,COUNTIF('SO2'!A:A,A300)&gt;0)</f>
        <v>1</v>
      </c>
    </row>
    <row r="301" spans="1:6" x14ac:dyDescent="0.45">
      <c r="A301" s="2">
        <v>45692</v>
      </c>
      <c r="B301" s="1">
        <v>196959</v>
      </c>
      <c r="C301" s="1">
        <v>59792</v>
      </c>
      <c r="D301" s="1">
        <v>18565</v>
      </c>
      <c r="E301" s="1">
        <v>275316</v>
      </c>
      <c r="F301" t="b">
        <f>AND(COUNTIF(CO!A:A,A301)&gt;0,COUNTIF('NO2'!A:A,A301)&gt;0,COUNTIF('O3'!A:A,A301)&gt;0,COUNTIF('PM10'!A:A,A301)&gt;0,COUNTIF('PM2.5'!A:A,A301)&gt;0,COUNTIF('SO2'!A:A,A301)&gt;0)</f>
        <v>1</v>
      </c>
    </row>
    <row r="302" spans="1:6" x14ac:dyDescent="0.45">
      <c r="A302" s="2">
        <v>45693</v>
      </c>
      <c r="B302" s="1">
        <v>178912</v>
      </c>
      <c r="C302" s="1">
        <v>55793</v>
      </c>
      <c r="D302" s="1">
        <v>22837</v>
      </c>
      <c r="E302" s="1">
        <v>257542</v>
      </c>
      <c r="F302" t="b">
        <f>AND(COUNTIF(CO!A:A,A302)&gt;0,COUNTIF('NO2'!A:A,A302)&gt;0,COUNTIF('O3'!A:A,A302)&gt;0,COUNTIF('PM10'!A:A,A302)&gt;0,COUNTIF('PM2.5'!A:A,A302)&gt;0,COUNTIF('SO2'!A:A,A302)&gt;0)</f>
        <v>1</v>
      </c>
    </row>
    <row r="303" spans="1:6" x14ac:dyDescent="0.45">
      <c r="A303" s="2">
        <v>45694</v>
      </c>
      <c r="B303" s="1">
        <v>166320</v>
      </c>
      <c r="C303" s="1">
        <v>52899</v>
      </c>
      <c r="D303" s="1">
        <v>24490</v>
      </c>
      <c r="E303" s="1">
        <v>243709</v>
      </c>
      <c r="F303" t="b">
        <f>AND(COUNTIF(CO!A:A,A303)&gt;0,COUNTIF('NO2'!A:A,A303)&gt;0,COUNTIF('O3'!A:A,A303)&gt;0,COUNTIF('PM10'!A:A,A303)&gt;0,COUNTIF('PM2.5'!A:A,A303)&gt;0,COUNTIF('SO2'!A:A,A303)&gt;0)</f>
        <v>1</v>
      </c>
    </row>
    <row r="304" spans="1:6" x14ac:dyDescent="0.45">
      <c r="A304" s="2">
        <v>45695</v>
      </c>
      <c r="B304" s="1">
        <v>185643</v>
      </c>
      <c r="C304" s="1">
        <v>62948</v>
      </c>
      <c r="D304" s="1">
        <v>21202</v>
      </c>
      <c r="E304" s="1">
        <v>269793</v>
      </c>
      <c r="F304" t="b">
        <f>AND(COUNTIF(CO!A:A,A304)&gt;0,COUNTIF('NO2'!A:A,A304)&gt;0,COUNTIF('O3'!A:A,A304)&gt;0,COUNTIF('PM10'!A:A,A304)&gt;0,COUNTIF('PM2.5'!A:A,A304)&gt;0,COUNTIF('SO2'!A:A,A304)&gt;0)</f>
        <v>1</v>
      </c>
    </row>
    <row r="305" spans="1:6" x14ac:dyDescent="0.45">
      <c r="A305" s="2">
        <v>45696</v>
      </c>
      <c r="B305" s="1">
        <v>167303</v>
      </c>
      <c r="C305" s="1">
        <v>56732</v>
      </c>
      <c r="D305" s="1">
        <v>20125</v>
      </c>
      <c r="E305" s="1">
        <v>244160</v>
      </c>
      <c r="F305" t="b">
        <f>AND(COUNTIF(CO!A:A,A305)&gt;0,COUNTIF('NO2'!A:A,A305)&gt;0,COUNTIF('O3'!A:A,A305)&gt;0,COUNTIF('PM10'!A:A,A305)&gt;0,COUNTIF('PM2.5'!A:A,A305)&gt;0,COUNTIF('SO2'!A:A,A305)&gt;0)</f>
        <v>1</v>
      </c>
    </row>
    <row r="306" spans="1:6" x14ac:dyDescent="0.45">
      <c r="A306" s="2">
        <v>45697</v>
      </c>
      <c r="B306" s="1">
        <v>161698</v>
      </c>
      <c r="C306" s="1">
        <v>60231</v>
      </c>
      <c r="D306" s="1">
        <v>19473</v>
      </c>
      <c r="E306" s="1">
        <v>241402</v>
      </c>
      <c r="F306" t="b">
        <f>AND(COUNTIF(CO!A:A,A306)&gt;0,COUNTIF('NO2'!A:A,A306)&gt;0,COUNTIF('O3'!A:A,A306)&gt;0,COUNTIF('PM10'!A:A,A306)&gt;0,COUNTIF('PM2.5'!A:A,A306)&gt;0,COUNTIF('SO2'!A:A,A306)&gt;0)</f>
        <v>1</v>
      </c>
    </row>
    <row r="307" spans="1:6" x14ac:dyDescent="0.45">
      <c r="A307" s="2">
        <v>45698</v>
      </c>
      <c r="B307" s="1">
        <v>194639</v>
      </c>
      <c r="C307" s="1">
        <v>58430</v>
      </c>
      <c r="D307" s="1">
        <v>19635</v>
      </c>
      <c r="E307" s="1">
        <v>272704</v>
      </c>
      <c r="F307" t="b">
        <f>AND(COUNTIF(CO!A:A,A307)&gt;0,COUNTIF('NO2'!A:A,A307)&gt;0,COUNTIF('O3'!A:A,A307)&gt;0,COUNTIF('PM10'!A:A,A307)&gt;0,COUNTIF('PM2.5'!A:A,A307)&gt;0,COUNTIF('SO2'!A:A,A307)&gt;0)</f>
        <v>1</v>
      </c>
    </row>
    <row r="308" spans="1:6" x14ac:dyDescent="0.45">
      <c r="A308" s="2">
        <v>45699</v>
      </c>
      <c r="B308" s="1">
        <v>191568</v>
      </c>
      <c r="C308" s="1">
        <v>62311</v>
      </c>
      <c r="D308" s="1">
        <v>21840</v>
      </c>
      <c r="E308" s="1">
        <v>275719</v>
      </c>
      <c r="F308" t="b">
        <f>AND(COUNTIF(CO!A:A,A308)&gt;0,COUNTIF('NO2'!A:A,A308)&gt;0,COUNTIF('O3'!A:A,A308)&gt;0,COUNTIF('PM10'!A:A,A308)&gt;0,COUNTIF('PM2.5'!A:A,A308)&gt;0,COUNTIF('SO2'!A:A,A308)&gt;0)</f>
        <v>1</v>
      </c>
    </row>
    <row r="309" spans="1:6" x14ac:dyDescent="0.45">
      <c r="A309" s="2">
        <v>45700</v>
      </c>
      <c r="B309" s="1">
        <v>198749</v>
      </c>
      <c r="C309" s="1">
        <v>62606</v>
      </c>
      <c r="D309" s="1">
        <v>18450</v>
      </c>
      <c r="E309" s="1">
        <v>279805</v>
      </c>
      <c r="F309" t="b">
        <f>AND(COUNTIF(CO!A:A,A309)&gt;0,COUNTIF('NO2'!A:A,A309)&gt;0,COUNTIF('O3'!A:A,A309)&gt;0,COUNTIF('PM10'!A:A,A309)&gt;0,COUNTIF('PM2.5'!A:A,A309)&gt;0,COUNTIF('SO2'!A:A,A309)&gt;0)</f>
        <v>1</v>
      </c>
    </row>
    <row r="310" spans="1:6" x14ac:dyDescent="0.45">
      <c r="A310" s="2">
        <v>45701</v>
      </c>
      <c r="B310" s="1">
        <v>167904</v>
      </c>
      <c r="C310" s="1">
        <v>58697</v>
      </c>
      <c r="D310" s="1">
        <v>20836</v>
      </c>
      <c r="E310" s="1">
        <v>247437</v>
      </c>
      <c r="F310" t="b">
        <f>AND(COUNTIF(CO!A:A,A310)&gt;0,COUNTIF('NO2'!A:A,A310)&gt;0,COUNTIF('O3'!A:A,A310)&gt;0,COUNTIF('PM10'!A:A,A310)&gt;0,COUNTIF('PM2.5'!A:A,A310)&gt;0,COUNTIF('SO2'!A:A,A310)&gt;0)</f>
        <v>1</v>
      </c>
    </row>
    <row r="311" spans="1:6" x14ac:dyDescent="0.45">
      <c r="A311" s="2">
        <v>45702</v>
      </c>
      <c r="B311" s="1">
        <v>176863</v>
      </c>
      <c r="C311" s="1">
        <v>59085</v>
      </c>
      <c r="D311" s="1">
        <v>17278</v>
      </c>
      <c r="E311" s="1">
        <v>253226</v>
      </c>
      <c r="F311" t="b">
        <f>AND(COUNTIF(CO!A:A,A311)&gt;0,COUNTIF('NO2'!A:A,A311)&gt;0,COUNTIF('O3'!A:A,A311)&gt;0,COUNTIF('PM10'!A:A,A311)&gt;0,COUNTIF('PM2.5'!A:A,A311)&gt;0,COUNTIF('SO2'!A:A,A311)&gt;0)</f>
        <v>1</v>
      </c>
    </row>
    <row r="312" spans="1:6" x14ac:dyDescent="0.45">
      <c r="A312" s="2">
        <v>45703</v>
      </c>
      <c r="B312" s="1">
        <v>190560</v>
      </c>
      <c r="C312" s="1">
        <v>68729</v>
      </c>
      <c r="D312" s="1">
        <v>20785</v>
      </c>
      <c r="E312" s="1">
        <v>280074</v>
      </c>
      <c r="F312" t="b">
        <f>AND(COUNTIF(CO!A:A,A312)&gt;0,COUNTIF('NO2'!A:A,A312)&gt;0,COUNTIF('O3'!A:A,A312)&gt;0,COUNTIF('PM10'!A:A,A312)&gt;0,COUNTIF('PM2.5'!A:A,A312)&gt;0,COUNTIF('SO2'!A:A,A312)&gt;0)</f>
        <v>1</v>
      </c>
    </row>
    <row r="313" spans="1:6" x14ac:dyDescent="0.45">
      <c r="A313" s="2">
        <v>45704</v>
      </c>
      <c r="B313" s="1">
        <v>143920</v>
      </c>
      <c r="C313" s="1">
        <v>58672</v>
      </c>
      <c r="D313" s="1">
        <v>17512</v>
      </c>
      <c r="E313" s="1">
        <v>220104</v>
      </c>
      <c r="F313" t="b">
        <f>AND(COUNTIF(CO!A:A,A313)&gt;0,COUNTIF('NO2'!A:A,A313)&gt;0,COUNTIF('O3'!A:A,A313)&gt;0,COUNTIF('PM10'!A:A,A313)&gt;0,COUNTIF('PM2.5'!A:A,A313)&gt;0,COUNTIF('SO2'!A:A,A313)&gt;0)</f>
        <v>1</v>
      </c>
    </row>
    <row r="314" spans="1:6" x14ac:dyDescent="0.45">
      <c r="A314" s="2">
        <v>45705</v>
      </c>
      <c r="B314" s="1">
        <v>168786</v>
      </c>
      <c r="C314" s="1">
        <v>55580</v>
      </c>
      <c r="D314" s="1">
        <v>17962</v>
      </c>
      <c r="E314" s="1">
        <v>242328</v>
      </c>
      <c r="F314" t="b">
        <f>AND(COUNTIF(CO!A:A,A314)&gt;0,COUNTIF('NO2'!A:A,A314)&gt;0,COUNTIF('O3'!A:A,A314)&gt;0,COUNTIF('PM10'!A:A,A314)&gt;0,COUNTIF('PM2.5'!A:A,A314)&gt;0,COUNTIF('SO2'!A:A,A314)&gt;0)</f>
        <v>1</v>
      </c>
    </row>
    <row r="315" spans="1:6" x14ac:dyDescent="0.45">
      <c r="A315" s="2">
        <v>45706</v>
      </c>
      <c r="B315" s="1">
        <v>171184</v>
      </c>
      <c r="C315" s="1">
        <v>54753</v>
      </c>
      <c r="D315" s="1">
        <v>21036</v>
      </c>
      <c r="E315" s="1">
        <v>246973</v>
      </c>
      <c r="F315" t="b">
        <f>AND(COUNTIF(CO!A:A,A315)&gt;0,COUNTIF('NO2'!A:A,A315)&gt;0,COUNTIF('O3'!A:A,A315)&gt;0,COUNTIF('PM10'!A:A,A315)&gt;0,COUNTIF('PM2.5'!A:A,A315)&gt;0,COUNTIF('SO2'!A:A,A315)&gt;0)</f>
        <v>1</v>
      </c>
    </row>
    <row r="316" spans="1:6" x14ac:dyDescent="0.45">
      <c r="A316" s="2">
        <v>45707</v>
      </c>
      <c r="B316" s="1">
        <v>182541</v>
      </c>
      <c r="C316" s="1">
        <v>56315</v>
      </c>
      <c r="D316" s="1">
        <v>23050</v>
      </c>
      <c r="E316" s="1">
        <v>261906</v>
      </c>
      <c r="F316" t="b">
        <f>AND(COUNTIF(CO!A:A,A316)&gt;0,COUNTIF('NO2'!A:A,A316)&gt;0,COUNTIF('O3'!A:A,A316)&gt;0,COUNTIF('PM10'!A:A,A316)&gt;0,COUNTIF('PM2.5'!A:A,A316)&gt;0,COUNTIF('SO2'!A:A,A316)&gt;0)</f>
        <v>1</v>
      </c>
    </row>
    <row r="317" spans="1:6" x14ac:dyDescent="0.45">
      <c r="A317" s="2">
        <v>45708</v>
      </c>
      <c r="B317" s="1">
        <v>165361</v>
      </c>
      <c r="C317" s="1">
        <v>54761</v>
      </c>
      <c r="D317" s="1">
        <v>17690</v>
      </c>
      <c r="E317" s="1">
        <v>237812</v>
      </c>
      <c r="F317" t="b">
        <f>AND(COUNTIF(CO!A:A,A317)&gt;0,COUNTIF('NO2'!A:A,A317)&gt;0,COUNTIF('O3'!A:A,A317)&gt;0,COUNTIF('PM10'!A:A,A317)&gt;0,COUNTIF('PM2.5'!A:A,A317)&gt;0,COUNTIF('SO2'!A:A,A317)&gt;0)</f>
        <v>1</v>
      </c>
    </row>
    <row r="318" spans="1:6" x14ac:dyDescent="0.45">
      <c r="A318" s="2">
        <v>45709</v>
      </c>
      <c r="B318" s="1">
        <v>169428</v>
      </c>
      <c r="C318" s="1">
        <v>57241</v>
      </c>
      <c r="D318" s="1">
        <v>20475</v>
      </c>
      <c r="E318" s="1">
        <v>247144</v>
      </c>
      <c r="F318" t="b">
        <f>AND(COUNTIF(CO!A:A,A318)&gt;0,COUNTIF('NO2'!A:A,A318)&gt;0,COUNTIF('O3'!A:A,A318)&gt;0,COUNTIF('PM10'!A:A,A318)&gt;0,COUNTIF('PM2.5'!A:A,A318)&gt;0,COUNTIF('SO2'!A:A,A318)&gt;0)</f>
        <v>1</v>
      </c>
    </row>
    <row r="319" spans="1:6" x14ac:dyDescent="0.45">
      <c r="A319" s="2">
        <v>45710</v>
      </c>
      <c r="B319" s="1">
        <v>167217</v>
      </c>
      <c r="C319" s="1">
        <v>63561</v>
      </c>
      <c r="D319" s="1">
        <v>19974</v>
      </c>
      <c r="E319" s="1">
        <v>250752</v>
      </c>
      <c r="F319" t="b">
        <f>AND(COUNTIF(CO!A:A,A319)&gt;0,COUNTIF('NO2'!A:A,A319)&gt;0,COUNTIF('O3'!A:A,A319)&gt;0,COUNTIF('PM10'!A:A,A319)&gt;0,COUNTIF('PM2.5'!A:A,A319)&gt;0,COUNTIF('SO2'!A:A,A319)&gt;0)</f>
        <v>1</v>
      </c>
    </row>
    <row r="320" spans="1:6" x14ac:dyDescent="0.45">
      <c r="A320" s="2">
        <v>45722</v>
      </c>
      <c r="B320" s="1">
        <v>192822</v>
      </c>
      <c r="C320" s="1">
        <v>60684</v>
      </c>
      <c r="D320" s="1">
        <v>20347</v>
      </c>
      <c r="E320" s="1">
        <v>273853</v>
      </c>
      <c r="F320" t="b">
        <f>AND(COUNTIF(CO!A:A,A320)&gt;0,COUNTIF('NO2'!A:A,A320)&gt;0,COUNTIF('O3'!A:A,A320)&gt;0,COUNTIF('PM10'!A:A,A320)&gt;0,COUNTIF('PM2.5'!A:A,A320)&gt;0,COUNTIF('SO2'!A:A,A320)&gt;0)</f>
        <v>1</v>
      </c>
    </row>
    <row r="321" spans="1:6" x14ac:dyDescent="0.45">
      <c r="A321" s="2">
        <v>45723</v>
      </c>
      <c r="B321" s="1">
        <v>180520</v>
      </c>
      <c r="C321" s="1">
        <v>59915</v>
      </c>
      <c r="D321" s="1">
        <v>21672</v>
      </c>
      <c r="E321" s="1">
        <v>262107</v>
      </c>
      <c r="F321" t="b">
        <f>AND(COUNTIF(CO!A:A,A321)&gt;0,COUNTIF('NO2'!A:A,A321)&gt;0,COUNTIF('O3'!A:A,A321)&gt;0,COUNTIF('PM10'!A:A,A321)&gt;0,COUNTIF('PM2.5'!A:A,A321)&gt;0,COUNTIF('SO2'!A:A,A321)&gt;0)</f>
        <v>1</v>
      </c>
    </row>
    <row r="322" spans="1:6" x14ac:dyDescent="0.45">
      <c r="A322" s="2">
        <v>45724</v>
      </c>
      <c r="B322" s="1">
        <v>172982</v>
      </c>
      <c r="C322" s="1">
        <v>49477</v>
      </c>
      <c r="D322" s="1">
        <v>16197</v>
      </c>
      <c r="E322" s="1">
        <v>238656</v>
      </c>
      <c r="F322" t="b">
        <f>AND(COUNTIF(CO!A:A,A322)&gt;0,COUNTIF('NO2'!A:A,A322)&gt;0,COUNTIF('O3'!A:A,A322)&gt;0,COUNTIF('PM10'!A:A,A322)&gt;0,COUNTIF('PM2.5'!A:A,A322)&gt;0,COUNTIF('SO2'!A:A,A322)&gt;0)</f>
        <v>1</v>
      </c>
    </row>
    <row r="323" spans="1:6" x14ac:dyDescent="0.45">
      <c r="A323" s="2">
        <v>45725</v>
      </c>
      <c r="B323" s="1">
        <v>144874</v>
      </c>
      <c r="C323" s="1">
        <v>47884</v>
      </c>
      <c r="D323" s="1">
        <v>19881</v>
      </c>
      <c r="E323" s="1">
        <v>212639</v>
      </c>
      <c r="F323" t="b">
        <f>AND(COUNTIF(CO!A:A,A323)&gt;0,COUNTIF('NO2'!A:A,A323)&gt;0,COUNTIF('O3'!A:A,A323)&gt;0,COUNTIF('PM10'!A:A,A323)&gt;0,COUNTIF('PM2.5'!A:A,A323)&gt;0,COUNTIF('SO2'!A:A,A323)&gt;0)</f>
        <v>1</v>
      </c>
    </row>
    <row r="324" spans="1:6" x14ac:dyDescent="0.45">
      <c r="A324" s="2">
        <v>45726</v>
      </c>
      <c r="B324" s="1">
        <v>201126</v>
      </c>
      <c r="C324" s="1">
        <v>69481</v>
      </c>
      <c r="D324" s="1">
        <v>20012</v>
      </c>
      <c r="E324" s="1">
        <v>290619</v>
      </c>
      <c r="F324" t="b">
        <f>AND(COUNTIF(CO!A:A,A324)&gt;0,COUNTIF('NO2'!A:A,A324)&gt;0,COUNTIF('O3'!A:A,A324)&gt;0,COUNTIF('PM10'!A:A,A324)&gt;0,COUNTIF('PM2.5'!A:A,A324)&gt;0,COUNTIF('SO2'!A:A,A324)&gt;0)</f>
        <v>1</v>
      </c>
    </row>
    <row r="325" spans="1:6" x14ac:dyDescent="0.45">
      <c r="A325" s="2">
        <v>45727</v>
      </c>
      <c r="B325" s="1">
        <v>176564</v>
      </c>
      <c r="C325" s="1">
        <v>55916</v>
      </c>
      <c r="D325" s="1">
        <v>18310</v>
      </c>
      <c r="E325" s="1">
        <v>250790</v>
      </c>
      <c r="F325" t="b">
        <f>AND(COUNTIF(CO!A:A,A325)&gt;0,COUNTIF('NO2'!A:A,A325)&gt;0,COUNTIF('O3'!A:A,A325)&gt;0,COUNTIF('PM10'!A:A,A325)&gt;0,COUNTIF('PM2.5'!A:A,A325)&gt;0,COUNTIF('SO2'!A:A,A325)&gt;0)</f>
        <v>1</v>
      </c>
    </row>
    <row r="326" spans="1:6" x14ac:dyDescent="0.45">
      <c r="A326" s="2">
        <v>45728</v>
      </c>
      <c r="B326" s="1">
        <v>173348</v>
      </c>
      <c r="C326" s="1">
        <v>57331</v>
      </c>
      <c r="D326" s="1">
        <v>18287</v>
      </c>
      <c r="E326" s="1">
        <v>248966</v>
      </c>
      <c r="F326" t="b">
        <f>AND(COUNTIF(CO!A:A,A326)&gt;0,COUNTIF('NO2'!A:A,A326)&gt;0,COUNTIF('O3'!A:A,A326)&gt;0,COUNTIF('PM10'!A:A,A326)&gt;0,COUNTIF('PM2.5'!A:A,A326)&gt;0,COUNTIF('SO2'!A:A,A326)&gt;0)</f>
        <v>1</v>
      </c>
    </row>
    <row r="327" spans="1:6" x14ac:dyDescent="0.45">
      <c r="A327" s="2">
        <v>45729</v>
      </c>
      <c r="B327" s="1">
        <v>181007</v>
      </c>
      <c r="C327" s="1">
        <v>58504</v>
      </c>
      <c r="D327" s="1">
        <v>19434</v>
      </c>
      <c r="E327" s="1">
        <v>258945</v>
      </c>
      <c r="F327" t="b">
        <f>AND(COUNTIF(CO!A:A,A327)&gt;0,COUNTIF('NO2'!A:A,A327)&gt;0,COUNTIF('O3'!A:A,A327)&gt;0,COUNTIF('PM10'!A:A,A327)&gt;0,COUNTIF('PM2.5'!A:A,A327)&gt;0,COUNTIF('SO2'!A:A,A327)&gt;0)</f>
        <v>1</v>
      </c>
    </row>
    <row r="328" spans="1:6" x14ac:dyDescent="0.45">
      <c r="A328" s="2">
        <v>45730</v>
      </c>
      <c r="B328" s="1">
        <v>179537</v>
      </c>
      <c r="C328" s="1">
        <v>60282</v>
      </c>
      <c r="D328" s="1">
        <v>18869</v>
      </c>
      <c r="E328" s="1">
        <v>258688</v>
      </c>
      <c r="F328" t="b">
        <f>AND(COUNTIF(CO!A:A,A328)&gt;0,COUNTIF('NO2'!A:A,A328)&gt;0,COUNTIF('O3'!A:A,A328)&gt;0,COUNTIF('PM10'!A:A,A328)&gt;0,COUNTIF('PM2.5'!A:A,A328)&gt;0,COUNTIF('SO2'!A:A,A328)&gt;0)</f>
        <v>1</v>
      </c>
    </row>
    <row r="329" spans="1:6" x14ac:dyDescent="0.45">
      <c r="A329" s="2">
        <v>45731</v>
      </c>
      <c r="B329" s="1">
        <v>148038</v>
      </c>
      <c r="C329" s="1">
        <v>55677</v>
      </c>
      <c r="D329" s="1">
        <v>16258</v>
      </c>
      <c r="E329" s="1">
        <v>219973</v>
      </c>
      <c r="F329" t="b">
        <f>AND(COUNTIF(CO!A:A,A329)&gt;0,COUNTIF('NO2'!A:A,A329)&gt;0,COUNTIF('O3'!A:A,A329)&gt;0,COUNTIF('PM10'!A:A,A329)&gt;0,COUNTIF('PM2.5'!A:A,A329)&gt;0,COUNTIF('SO2'!A:A,A329)&gt;0)</f>
        <v>1</v>
      </c>
    </row>
    <row r="330" spans="1:6" x14ac:dyDescent="0.45">
      <c r="A330" s="2">
        <v>45732</v>
      </c>
      <c r="B330" s="1">
        <v>148058</v>
      </c>
      <c r="C330" s="1">
        <v>56760</v>
      </c>
      <c r="D330" s="1">
        <v>17385</v>
      </c>
      <c r="E330" s="1">
        <v>222203</v>
      </c>
      <c r="F330" t="b">
        <f>AND(COUNTIF(CO!A:A,A330)&gt;0,COUNTIF('NO2'!A:A,A330)&gt;0,COUNTIF('O3'!A:A,A330)&gt;0,COUNTIF('PM10'!A:A,A330)&gt;0,COUNTIF('PM2.5'!A:A,A330)&gt;0,COUNTIF('SO2'!A:A,A330)&gt;0)</f>
        <v>1</v>
      </c>
    </row>
    <row r="331" spans="1:6" x14ac:dyDescent="0.45">
      <c r="A331" s="2">
        <v>45733</v>
      </c>
      <c r="B331" s="1">
        <v>190250</v>
      </c>
      <c r="C331" s="1">
        <v>64815</v>
      </c>
      <c r="D331" s="1">
        <v>18327</v>
      </c>
      <c r="E331" s="1">
        <v>273392</v>
      </c>
      <c r="F331" t="b">
        <f>AND(COUNTIF(CO!A:A,A331)&gt;0,COUNTIF('NO2'!A:A,A331)&gt;0,COUNTIF('O3'!A:A,A331)&gt;0,COUNTIF('PM10'!A:A,A331)&gt;0,COUNTIF('PM2.5'!A:A,A331)&gt;0,COUNTIF('SO2'!A:A,A331)&gt;0)</f>
        <v>1</v>
      </c>
    </row>
    <row r="332" spans="1:6" x14ac:dyDescent="0.45">
      <c r="A332" s="2">
        <v>45734</v>
      </c>
      <c r="B332" s="1">
        <v>175867</v>
      </c>
      <c r="C332" s="1">
        <v>59326</v>
      </c>
      <c r="D332" s="1">
        <v>18150</v>
      </c>
      <c r="E332" s="1">
        <v>253343</v>
      </c>
      <c r="F332" t="b">
        <f>AND(COUNTIF(CO!A:A,A332)&gt;0,COUNTIF('NO2'!A:A,A332)&gt;0,COUNTIF('O3'!A:A,A332)&gt;0,COUNTIF('PM10'!A:A,A332)&gt;0,COUNTIF('PM2.5'!A:A,A332)&gt;0,COUNTIF('SO2'!A:A,A332)&gt;0)</f>
        <v>1</v>
      </c>
    </row>
    <row r="333" spans="1:6" x14ac:dyDescent="0.45">
      <c r="A333" s="2">
        <v>45735</v>
      </c>
      <c r="B333" s="1">
        <v>174389</v>
      </c>
      <c r="C333" s="1">
        <v>61166</v>
      </c>
      <c r="D333" s="1">
        <v>20419</v>
      </c>
      <c r="E333" s="1">
        <v>255974</v>
      </c>
      <c r="F333" t="b">
        <f>AND(COUNTIF(CO!A:A,A333)&gt;0,COUNTIF('NO2'!A:A,A333)&gt;0,COUNTIF('O3'!A:A,A333)&gt;0,COUNTIF('PM10'!A:A,A333)&gt;0,COUNTIF('PM2.5'!A:A,A333)&gt;0,COUNTIF('SO2'!A:A,A333)&gt;0)</f>
        <v>1</v>
      </c>
    </row>
    <row r="334" spans="1:6" x14ac:dyDescent="0.45">
      <c r="A334" s="2">
        <v>45736</v>
      </c>
      <c r="B334" s="1">
        <v>187262</v>
      </c>
      <c r="C334" s="1">
        <v>61559</v>
      </c>
      <c r="D334">
        <v>220</v>
      </c>
      <c r="E334" s="1">
        <v>249041</v>
      </c>
      <c r="F334" t="b">
        <f>AND(COUNTIF(CO!A:A,A334)&gt;0,COUNTIF('NO2'!A:A,A334)&gt;0,COUNTIF('O3'!A:A,A334)&gt;0,COUNTIF('PM10'!A:A,A334)&gt;0,COUNTIF('PM2.5'!A:A,A334)&gt;0,COUNTIF('SO2'!A:A,A334)&gt;0)</f>
        <v>1</v>
      </c>
    </row>
    <row r="335" spans="1:6" x14ac:dyDescent="0.45">
      <c r="A335" s="2">
        <v>45737</v>
      </c>
      <c r="B335" s="1">
        <v>205977</v>
      </c>
      <c r="C335" s="1">
        <v>67640</v>
      </c>
      <c r="D335" s="1">
        <v>20975</v>
      </c>
      <c r="E335" s="1">
        <v>294592</v>
      </c>
      <c r="F335" t="b">
        <f>AND(COUNTIF(CO!A:A,A335)&gt;0,COUNTIF('NO2'!A:A,A335)&gt;0,COUNTIF('O3'!A:A,A335)&gt;0,COUNTIF('PM10'!A:A,A335)&gt;0,COUNTIF('PM2.5'!A:A,A335)&gt;0,COUNTIF('SO2'!A:A,A335)&gt;0)</f>
        <v>1</v>
      </c>
    </row>
    <row r="336" spans="1:6" x14ac:dyDescent="0.45">
      <c r="A336" s="2">
        <v>45738</v>
      </c>
      <c r="B336" s="1">
        <v>190346</v>
      </c>
      <c r="C336" s="1">
        <v>66365</v>
      </c>
      <c r="D336" s="1">
        <v>18802</v>
      </c>
      <c r="E336" s="1">
        <v>275513</v>
      </c>
      <c r="F336" t="b">
        <f>AND(COUNTIF(CO!A:A,A336)&gt;0,COUNTIF('NO2'!A:A,A336)&gt;0,COUNTIF('O3'!A:A,A336)&gt;0,COUNTIF('PM10'!A:A,A336)&gt;0,COUNTIF('PM2.5'!A:A,A336)&gt;0,COUNTIF('SO2'!A:A,A336)&gt;0)</f>
        <v>1</v>
      </c>
    </row>
    <row r="337" spans="1:6" x14ac:dyDescent="0.45">
      <c r="A337" s="2">
        <v>45739</v>
      </c>
      <c r="B337" s="1">
        <v>156172</v>
      </c>
      <c r="C337" s="1">
        <v>58211</v>
      </c>
      <c r="D337" s="1">
        <v>18022</v>
      </c>
      <c r="E337" s="1">
        <v>232405</v>
      </c>
      <c r="F337" t="b">
        <f>AND(COUNTIF(CO!A:A,A337)&gt;0,COUNTIF('NO2'!A:A,A337)&gt;0,COUNTIF('O3'!A:A,A337)&gt;0,COUNTIF('PM10'!A:A,A337)&gt;0,COUNTIF('PM2.5'!A:A,A337)&gt;0,COUNTIF('SO2'!A:A,A337)&gt;0)</f>
        <v>1</v>
      </c>
    </row>
    <row r="338" spans="1:6" x14ac:dyDescent="0.45">
      <c r="A338" s="2">
        <v>45740</v>
      </c>
      <c r="B338" s="1">
        <v>166824</v>
      </c>
      <c r="C338" s="1">
        <v>55738</v>
      </c>
      <c r="D338" s="1">
        <v>21290</v>
      </c>
      <c r="E338" s="1">
        <v>243852</v>
      </c>
      <c r="F338" t="b">
        <f>AND(COUNTIF(CO!A:A,A338)&gt;0,COUNTIF('NO2'!A:A,A338)&gt;0,COUNTIF('O3'!A:A,A338)&gt;0,COUNTIF('PM10'!A:A,A338)&gt;0,COUNTIF('PM2.5'!A:A,A338)&gt;0,COUNTIF('SO2'!A:A,A338)&gt;0)</f>
        <v>1</v>
      </c>
    </row>
    <row r="339" spans="1:6" x14ac:dyDescent="0.45">
      <c r="A339" s="2">
        <v>45741</v>
      </c>
      <c r="B339" s="1">
        <v>214826</v>
      </c>
      <c r="C339" s="1">
        <v>69424</v>
      </c>
      <c r="D339" s="1">
        <v>30252</v>
      </c>
      <c r="E339" s="1">
        <v>314502</v>
      </c>
      <c r="F339" t="b">
        <f>AND(COUNTIF(CO!A:A,A339)&gt;0,COUNTIF('NO2'!A:A,A339)&gt;0,COUNTIF('O3'!A:A,A339)&gt;0,COUNTIF('PM10'!A:A,A339)&gt;0,COUNTIF('PM2.5'!A:A,A339)&gt;0,COUNTIF('SO2'!A:A,A339)&gt;0)</f>
        <v>1</v>
      </c>
    </row>
    <row r="340" spans="1:6" x14ac:dyDescent="0.45">
      <c r="A340" s="2">
        <v>45742</v>
      </c>
      <c r="B340" s="1">
        <v>201525</v>
      </c>
      <c r="C340" s="1">
        <v>70627</v>
      </c>
      <c r="D340" s="1">
        <v>29221</v>
      </c>
      <c r="E340" s="1">
        <v>301373</v>
      </c>
      <c r="F340" t="b">
        <f>AND(COUNTIF(CO!A:A,A340)&gt;0,COUNTIF('NO2'!A:A,A340)&gt;0,COUNTIF('O3'!A:A,A340)&gt;0,COUNTIF('PM10'!A:A,A340)&gt;0,COUNTIF('PM2.5'!A:A,A340)&gt;0,COUNTIF('SO2'!A:A,A340)&gt;0)</f>
        <v>1</v>
      </c>
    </row>
    <row r="341" spans="1:6" x14ac:dyDescent="0.45">
      <c r="A341" s="2">
        <v>45743</v>
      </c>
      <c r="B341" s="1">
        <v>204732</v>
      </c>
      <c r="C341" s="1">
        <v>73783</v>
      </c>
      <c r="D341" s="1">
        <v>29395</v>
      </c>
      <c r="E341" s="1">
        <v>307910</v>
      </c>
      <c r="F341" t="b">
        <f>AND(COUNTIF(CO!A:A,A341)&gt;0,COUNTIF('NO2'!A:A,A341)&gt;0,COUNTIF('O3'!A:A,A341)&gt;0,COUNTIF('PM10'!A:A,A341)&gt;0,COUNTIF('PM2.5'!A:A,A341)&gt;0,COUNTIF('SO2'!A:A,A341)&gt;0)</f>
        <v>1</v>
      </c>
    </row>
    <row r="342" spans="1:6" x14ac:dyDescent="0.45">
      <c r="A342" s="2">
        <v>45744</v>
      </c>
      <c r="B342" s="1">
        <v>163892</v>
      </c>
      <c r="C342" s="1">
        <v>76679</v>
      </c>
      <c r="D342" s="1">
        <v>22383</v>
      </c>
      <c r="E342" s="1">
        <v>262954</v>
      </c>
      <c r="F342" t="b">
        <f>AND(COUNTIF(CO!A:A,A342)&gt;0,COUNTIF('NO2'!A:A,A342)&gt;0,COUNTIF('O3'!A:A,A342)&gt;0,COUNTIF('PM10'!A:A,A342)&gt;0,COUNTIF('PM2.5'!A:A,A342)&gt;0,COUNTIF('SO2'!A:A,A342)&gt;0)</f>
        <v>1</v>
      </c>
    </row>
    <row r="343" spans="1:6" x14ac:dyDescent="0.45">
      <c r="A343" s="2">
        <v>45745</v>
      </c>
      <c r="B343" s="1">
        <v>184599</v>
      </c>
      <c r="C343" s="1">
        <v>73964</v>
      </c>
      <c r="D343" s="1">
        <v>22520</v>
      </c>
      <c r="E343" s="1">
        <v>281083</v>
      </c>
      <c r="F343" t="b">
        <f>AND(COUNTIF(CO!A:A,A343)&gt;0,COUNTIF('NO2'!A:A,A343)&gt;0,COUNTIF('O3'!A:A,A343)&gt;0,COUNTIF('PM10'!A:A,A343)&gt;0,COUNTIF('PM2.5'!A:A,A343)&gt;0,COUNTIF('SO2'!A:A,A343)&gt;0)</f>
        <v>1</v>
      </c>
    </row>
    <row r="344" spans="1:6" x14ac:dyDescent="0.45">
      <c r="A344" s="2">
        <v>45746</v>
      </c>
      <c r="B344" s="1">
        <v>163867</v>
      </c>
      <c r="C344" s="1">
        <v>62384</v>
      </c>
      <c r="D344" s="1">
        <v>19170</v>
      </c>
      <c r="E344" s="1">
        <v>245421</v>
      </c>
      <c r="F344" t="b">
        <f>AND(COUNTIF(CO!A:A,A344)&gt;0,COUNTIF('NO2'!A:A,A344)&gt;0,COUNTIF('O3'!A:A,A344)&gt;0,COUNTIF('PM10'!A:A,A344)&gt;0,COUNTIF('PM2.5'!A:A,A344)&gt;0,COUNTIF('SO2'!A:A,A344)&gt;0)</f>
        <v>1</v>
      </c>
    </row>
    <row r="345" spans="1:6" x14ac:dyDescent="0.45">
      <c r="A345" s="2">
        <v>45747</v>
      </c>
      <c r="B345" s="1">
        <v>97847</v>
      </c>
      <c r="C345" s="1">
        <v>65566</v>
      </c>
      <c r="D345" s="1">
        <v>22601</v>
      </c>
      <c r="E345" s="1">
        <v>186014</v>
      </c>
      <c r="F345" t="b">
        <f>AND(COUNTIF(CO!A:A,A345)&gt;0,COUNTIF('NO2'!A:A,A345)&gt;0,COUNTIF('O3'!A:A,A345)&gt;0,COUNTIF('PM10'!A:A,A345)&gt;0,COUNTIF('PM2.5'!A:A,A345)&gt;0,COUNTIF('SO2'!A:A,A345)&gt;0)</f>
        <v>1</v>
      </c>
    </row>
    <row r="346" spans="1:6" x14ac:dyDescent="0.45">
      <c r="A346" s="2">
        <v>45748</v>
      </c>
      <c r="B346" s="1">
        <v>129546</v>
      </c>
      <c r="C346" s="1">
        <v>79469</v>
      </c>
      <c r="D346" s="1">
        <v>23479</v>
      </c>
      <c r="E346" s="1">
        <v>232494</v>
      </c>
      <c r="F346" t="b">
        <f>AND(COUNTIF(CO!A:A,A346)&gt;0,COUNTIF('NO2'!A:A,A346)&gt;0,COUNTIF('O3'!A:A,A346)&gt;0,COUNTIF('PM10'!A:A,A346)&gt;0,COUNTIF('PM2.5'!A:A,A346)&gt;0,COUNTIF('SO2'!A:A,A346)&gt;0)</f>
        <v>1</v>
      </c>
    </row>
    <row r="347" spans="1:6" x14ac:dyDescent="0.45">
      <c r="A347" s="2">
        <v>45755</v>
      </c>
      <c r="B347" s="1">
        <v>174410</v>
      </c>
      <c r="C347" s="1">
        <v>67730</v>
      </c>
      <c r="D347" s="1">
        <v>30749</v>
      </c>
      <c r="E347" s="1">
        <v>272889</v>
      </c>
      <c r="F347" t="b">
        <f>AND(COUNTIF(CO!A:A,A347)&gt;0,COUNTIF('NO2'!A:A,A347)&gt;0,COUNTIF('O3'!A:A,A347)&gt;0,COUNTIF('PM10'!A:A,A347)&gt;0,COUNTIF('PM2.5'!A:A,A347)&gt;0,COUNTIF('SO2'!A:A,A347)&gt;0)</f>
        <v>1</v>
      </c>
    </row>
    <row r="348" spans="1:6" x14ac:dyDescent="0.45">
      <c r="A348" s="2">
        <v>45756</v>
      </c>
      <c r="B348" s="1">
        <v>209805</v>
      </c>
      <c r="C348" s="1">
        <v>61618</v>
      </c>
      <c r="D348" s="1">
        <v>29040</v>
      </c>
      <c r="E348" s="1">
        <v>300463</v>
      </c>
      <c r="F348" t="b">
        <f>AND(COUNTIF(CO!A:A,A348)&gt;0,COUNTIF('NO2'!A:A,A348)&gt;0,COUNTIF('O3'!A:A,A348)&gt;0,COUNTIF('PM10'!A:A,A348)&gt;0,COUNTIF('PM2.5'!A:A,A348)&gt;0,COUNTIF('SO2'!A:A,A348)&gt;0)</f>
        <v>1</v>
      </c>
    </row>
    <row r="349" spans="1:6" x14ac:dyDescent="0.45">
      <c r="A349" s="2">
        <v>45757</v>
      </c>
      <c r="B349" s="1">
        <v>212595</v>
      </c>
      <c r="C349" s="1">
        <v>67458</v>
      </c>
      <c r="D349" s="1">
        <v>25649</v>
      </c>
      <c r="E349" s="1">
        <v>305702</v>
      </c>
      <c r="F349" t="b">
        <f>AND(COUNTIF(CO!A:A,A349)&gt;0,COUNTIF('NO2'!A:A,A349)&gt;0,COUNTIF('O3'!A:A,A349)&gt;0,COUNTIF('PM10'!A:A,A349)&gt;0,COUNTIF('PM2.5'!A:A,A349)&gt;0,COUNTIF('SO2'!A:A,A349)&gt;0)</f>
        <v>1</v>
      </c>
    </row>
    <row r="350" spans="1:6" x14ac:dyDescent="0.45">
      <c r="A350" s="2">
        <v>45759</v>
      </c>
      <c r="B350" s="1">
        <v>206192</v>
      </c>
      <c r="C350" s="1">
        <v>71588</v>
      </c>
      <c r="D350" s="1">
        <v>31179</v>
      </c>
      <c r="E350" s="1">
        <v>308959</v>
      </c>
      <c r="F350" t="b">
        <f>AND(COUNTIF(CO!A:A,A350)&gt;0,COUNTIF('NO2'!A:A,A350)&gt;0,COUNTIF('O3'!A:A,A350)&gt;0,COUNTIF('PM10'!A:A,A350)&gt;0,COUNTIF('PM2.5'!A:A,A350)&gt;0,COUNTIF('SO2'!A:A,A350)&gt;0)</f>
        <v>1</v>
      </c>
    </row>
    <row r="351" spans="1:6" x14ac:dyDescent="0.45">
      <c r="A351" s="2">
        <v>45760</v>
      </c>
      <c r="B351" s="1">
        <v>165140</v>
      </c>
      <c r="C351" s="1">
        <v>65678</v>
      </c>
      <c r="D351" s="1">
        <v>22322</v>
      </c>
      <c r="E351" s="1">
        <v>253140</v>
      </c>
      <c r="F351" t="b">
        <f>AND(COUNTIF(CO!A:A,A351)&gt;0,COUNTIF('NO2'!A:A,A351)&gt;0,COUNTIF('O3'!A:A,A351)&gt;0,COUNTIF('PM10'!A:A,A351)&gt;0,COUNTIF('PM2.5'!A:A,A351)&gt;0,COUNTIF('SO2'!A:A,A351)&gt;0)</f>
        <v>1</v>
      </c>
    </row>
    <row r="352" spans="1:6" x14ac:dyDescent="0.45">
      <c r="A352" s="2">
        <v>45761</v>
      </c>
      <c r="B352" s="1">
        <v>212533</v>
      </c>
      <c r="C352" s="1">
        <v>63908</v>
      </c>
      <c r="D352" s="1">
        <v>32144</v>
      </c>
      <c r="E352" s="1">
        <v>308585</v>
      </c>
      <c r="F352" t="b">
        <f>AND(COUNTIF(CO!A:A,A352)&gt;0,COUNTIF('NO2'!A:A,A352)&gt;0,COUNTIF('O3'!A:A,A352)&gt;0,COUNTIF('PM10'!A:A,A352)&gt;0,COUNTIF('PM2.5'!A:A,A352)&gt;0,COUNTIF('SO2'!A:A,A352)&gt;0)</f>
        <v>1</v>
      </c>
    </row>
    <row r="353" spans="1:6" x14ac:dyDescent="0.45">
      <c r="A353" s="2">
        <v>45762</v>
      </c>
      <c r="B353" s="1">
        <v>187615</v>
      </c>
      <c r="C353" s="1">
        <v>60192</v>
      </c>
      <c r="D353" s="1">
        <v>36713</v>
      </c>
      <c r="E353" s="1">
        <v>284520</v>
      </c>
      <c r="F353" t="b">
        <f>AND(COUNTIF(CO!A:A,A353)&gt;0,COUNTIF('NO2'!A:A,A353)&gt;0,COUNTIF('O3'!A:A,A353)&gt;0,COUNTIF('PM10'!A:A,A353)&gt;0,COUNTIF('PM2.5'!A:A,A353)&gt;0,COUNTIF('SO2'!A:A,A353)&gt;0)</f>
        <v>1</v>
      </c>
    </row>
    <row r="354" spans="1:6" x14ac:dyDescent="0.45">
      <c r="A354" s="2">
        <v>45763</v>
      </c>
      <c r="B354" s="1">
        <v>204878</v>
      </c>
      <c r="C354" s="1">
        <v>60960</v>
      </c>
      <c r="D354" s="1">
        <v>36731</v>
      </c>
      <c r="E354" s="1">
        <v>302569</v>
      </c>
      <c r="F354" t="b">
        <f>AND(COUNTIF(CO!A:A,A354)&gt;0,COUNTIF('NO2'!A:A,A354)&gt;0,COUNTIF('O3'!A:A,A354)&gt;0,COUNTIF('PM10'!A:A,A354)&gt;0,COUNTIF('PM2.5'!A:A,A354)&gt;0,COUNTIF('SO2'!A:A,A354)&gt;0)</f>
        <v>1</v>
      </c>
    </row>
    <row r="355" spans="1:6" x14ac:dyDescent="0.45">
      <c r="A355" s="2">
        <v>45764</v>
      </c>
      <c r="B355" s="1">
        <v>234594</v>
      </c>
      <c r="C355" s="1">
        <v>69578</v>
      </c>
      <c r="D355" s="1">
        <v>27970</v>
      </c>
      <c r="E355" s="1">
        <v>332142</v>
      </c>
      <c r="F355" t="b">
        <f>AND(COUNTIF(CO!A:A,A355)&gt;0,COUNTIF('NO2'!A:A,A355)&gt;0,COUNTIF('O3'!A:A,A355)&gt;0,COUNTIF('PM10'!A:A,A355)&gt;0,COUNTIF('PM2.5'!A:A,A355)&gt;0,COUNTIF('SO2'!A:A,A355)&gt;0)</f>
        <v>1</v>
      </c>
    </row>
    <row r="356" spans="1:6" x14ac:dyDescent="0.45">
      <c r="A356" s="2">
        <v>45765</v>
      </c>
      <c r="B356" s="1">
        <v>145934</v>
      </c>
      <c r="C356" s="1">
        <v>65419</v>
      </c>
      <c r="D356" s="1">
        <v>24478</v>
      </c>
      <c r="E356" s="1">
        <v>235831</v>
      </c>
      <c r="F356" t="b">
        <f>AND(COUNTIF(CO!A:A,A356)&gt;0,COUNTIF('NO2'!A:A,A356)&gt;0,COUNTIF('O3'!A:A,A356)&gt;0,COUNTIF('PM10'!A:A,A356)&gt;0,COUNTIF('PM2.5'!A:A,A356)&gt;0,COUNTIF('SO2'!A:A,A356)&gt;0)</f>
        <v>1</v>
      </c>
    </row>
    <row r="357" spans="1:6" x14ac:dyDescent="0.45">
      <c r="A357" s="2">
        <v>45766</v>
      </c>
      <c r="B357" s="1">
        <v>195506</v>
      </c>
      <c r="C357" s="1">
        <v>68527</v>
      </c>
      <c r="D357" s="1">
        <v>32761</v>
      </c>
      <c r="E357" s="1">
        <v>296794</v>
      </c>
      <c r="F357" t="b">
        <f>AND(COUNTIF(CO!A:A,A357)&gt;0,COUNTIF('NO2'!A:A,A357)&gt;0,COUNTIF('O3'!A:A,A357)&gt;0,COUNTIF('PM10'!A:A,A357)&gt;0,COUNTIF('PM2.5'!A:A,A357)&gt;0,COUNTIF('SO2'!A:A,A357)&gt;0)</f>
        <v>1</v>
      </c>
    </row>
    <row r="358" spans="1:6" x14ac:dyDescent="0.45">
      <c r="A358" s="2">
        <v>45767</v>
      </c>
      <c r="B358" s="1">
        <v>165297</v>
      </c>
      <c r="C358" s="1">
        <v>67793</v>
      </c>
      <c r="D358" s="1">
        <v>28484</v>
      </c>
      <c r="E358" s="1">
        <v>261574</v>
      </c>
      <c r="F358" t="b">
        <f>AND(COUNTIF(CO!A:A,A358)&gt;0,COUNTIF('NO2'!A:A,A358)&gt;0,COUNTIF('O3'!A:A,A358)&gt;0,COUNTIF('PM10'!A:A,A358)&gt;0,COUNTIF('PM2.5'!A:A,A358)&gt;0,COUNTIF('SO2'!A:A,A358)&gt;0)</f>
        <v>1</v>
      </c>
    </row>
    <row r="359" spans="1:6" x14ac:dyDescent="0.45">
      <c r="A359" s="2">
        <v>45768</v>
      </c>
      <c r="B359" s="1">
        <v>218604</v>
      </c>
      <c r="C359" s="1">
        <v>63044</v>
      </c>
      <c r="D359" s="1">
        <v>33915</v>
      </c>
      <c r="E359" s="1">
        <v>315563</v>
      </c>
      <c r="F359" t="b">
        <f>AND(COUNTIF(CO!A:A,A359)&gt;0,COUNTIF('NO2'!A:A,A359)&gt;0,COUNTIF('O3'!A:A,A359)&gt;0,COUNTIF('PM10'!A:A,A359)&gt;0,COUNTIF('PM2.5'!A:A,A359)&gt;0,COUNTIF('SO2'!A:A,A359)&gt;0)</f>
        <v>1</v>
      </c>
    </row>
    <row r="360" spans="1:6" x14ac:dyDescent="0.45">
      <c r="A360" s="2">
        <v>45769</v>
      </c>
      <c r="B360" s="1">
        <v>180965</v>
      </c>
      <c r="C360" s="1">
        <v>56032</v>
      </c>
      <c r="D360" s="1">
        <v>37059</v>
      </c>
      <c r="E360" s="1">
        <v>274056</v>
      </c>
      <c r="F360" t="b">
        <f>AND(COUNTIF(CO!A:A,A360)&gt;0,COUNTIF('NO2'!A:A,A360)&gt;0,COUNTIF('O3'!A:A,A360)&gt;0,COUNTIF('PM10'!A:A,A360)&gt;0,COUNTIF('PM2.5'!A:A,A360)&gt;0,COUNTIF('SO2'!A:A,A360)&gt;0)</f>
        <v>1</v>
      </c>
    </row>
    <row r="361" spans="1:6" x14ac:dyDescent="0.45">
      <c r="A361" s="2">
        <v>45770</v>
      </c>
      <c r="B361" s="1">
        <v>177514</v>
      </c>
      <c r="C361" s="1">
        <v>58541</v>
      </c>
      <c r="D361" s="1">
        <v>36650</v>
      </c>
      <c r="E361" s="1">
        <v>272705</v>
      </c>
      <c r="F361" t="b">
        <f>AND(COUNTIF(CO!A:A,A361)&gt;0,COUNTIF('NO2'!A:A,A361)&gt;0,COUNTIF('O3'!A:A,A361)&gt;0,COUNTIF('PM10'!A:A,A361)&gt;0,COUNTIF('PM2.5'!A:A,A361)&gt;0,COUNTIF('SO2'!A:A,A361)&gt;0)</f>
        <v>1</v>
      </c>
    </row>
    <row r="362" spans="1:6" x14ac:dyDescent="0.45">
      <c r="A362" s="2">
        <v>45771</v>
      </c>
      <c r="B362" s="1">
        <v>167345</v>
      </c>
      <c r="C362" s="1">
        <v>56418</v>
      </c>
      <c r="D362" s="1">
        <v>37511</v>
      </c>
      <c r="E362" s="1">
        <v>261274</v>
      </c>
      <c r="F362" t="b">
        <f>AND(COUNTIF(CO!A:A,A362)&gt;0,COUNTIF('NO2'!A:A,A362)&gt;0,COUNTIF('O3'!A:A,A362)&gt;0,COUNTIF('PM10'!A:A,A362)&gt;0,COUNTIF('PM2.5'!A:A,A362)&gt;0,COUNTIF('SO2'!A:A,A362)&gt;0)</f>
        <v>1</v>
      </c>
    </row>
    <row r="363" spans="1:6" x14ac:dyDescent="0.45">
      <c r="A363" s="2">
        <v>45772</v>
      </c>
      <c r="B363" s="1">
        <v>207052</v>
      </c>
      <c r="C363" s="1">
        <v>62992</v>
      </c>
      <c r="D363" s="1">
        <v>33344</v>
      </c>
      <c r="E363" s="1">
        <v>303388</v>
      </c>
      <c r="F363" t="b">
        <f>AND(COUNTIF(CO!A:A,A363)&gt;0,COUNTIF('NO2'!A:A,A363)&gt;0,COUNTIF('O3'!A:A,A363)&gt;0,COUNTIF('PM10'!A:A,A363)&gt;0,COUNTIF('PM2.5'!A:A,A363)&gt;0,COUNTIF('SO2'!A:A,A363)&gt;0)</f>
        <v>1</v>
      </c>
    </row>
    <row r="364" spans="1:6" x14ac:dyDescent="0.45">
      <c r="A364" s="2">
        <v>45773</v>
      </c>
      <c r="B364" s="1">
        <v>205296</v>
      </c>
      <c r="C364" s="1">
        <v>67873</v>
      </c>
      <c r="D364" s="1">
        <v>32995</v>
      </c>
      <c r="E364" s="1">
        <v>306164</v>
      </c>
      <c r="F364" t="b">
        <f>AND(COUNTIF(CO!A:A,A364)&gt;0,COUNTIF('NO2'!A:A,A364)&gt;0,COUNTIF('O3'!A:A,A364)&gt;0,COUNTIF('PM10'!A:A,A364)&gt;0,COUNTIF('PM2.5'!A:A,A364)&gt;0,COUNTIF('SO2'!A:A,A364)&gt;0)</f>
        <v>1</v>
      </c>
    </row>
    <row r="365" spans="1:6" x14ac:dyDescent="0.45">
      <c r="A365" s="2">
        <v>45774</v>
      </c>
      <c r="B365" s="1">
        <v>145211</v>
      </c>
      <c r="C365" s="1">
        <v>60370</v>
      </c>
      <c r="D365" s="1">
        <v>30064</v>
      </c>
      <c r="E365" s="1">
        <v>235645</v>
      </c>
      <c r="F365" t="b">
        <f>AND(COUNTIF(CO!A:A,A365)&gt;0,COUNTIF('NO2'!A:A,A365)&gt;0,COUNTIF('O3'!A:A,A365)&gt;0,COUNTIF('PM10'!A:A,A365)&gt;0,COUNTIF('PM2.5'!A:A,A365)&gt;0,COUNTIF('SO2'!A:A,A365)&gt;0)</f>
        <v>1</v>
      </c>
    </row>
    <row r="366" spans="1:6" x14ac:dyDescent="0.45">
      <c r="A366" s="2">
        <v>45775</v>
      </c>
      <c r="B366" s="1">
        <v>170217</v>
      </c>
      <c r="C366" s="1">
        <v>59461</v>
      </c>
      <c r="D366" s="1">
        <v>35760</v>
      </c>
      <c r="E366" s="1">
        <v>265438</v>
      </c>
      <c r="F366" t="b">
        <f>AND(COUNTIF(CO!A:A,A366)&gt;0,COUNTIF('NO2'!A:A,A366)&gt;0,COUNTIF('O3'!A:A,A366)&gt;0,COUNTIF('PM10'!A:A,A366)&gt;0,COUNTIF('PM2.5'!A:A,A366)&gt;0,COUNTIF('SO2'!A:A,A366)&gt;0)</f>
        <v>1</v>
      </c>
    </row>
    <row r="367" spans="1:6" x14ac:dyDescent="0.45">
      <c r="A367" s="2">
        <v>45776</v>
      </c>
      <c r="B367" s="1">
        <v>156249</v>
      </c>
      <c r="C367" s="1">
        <v>53782</v>
      </c>
      <c r="D367" s="1">
        <v>34912</v>
      </c>
      <c r="E367" s="1">
        <v>244943</v>
      </c>
      <c r="F367" t="b">
        <f>AND(COUNTIF(CO!A:A,A367)&gt;0,COUNTIF('NO2'!A:A,A367)&gt;0,COUNTIF('O3'!A:A,A367)&gt;0,COUNTIF('PM10'!A:A,A367)&gt;0,COUNTIF('PM2.5'!A:A,A367)&gt;0,COUNTIF('SO2'!A:A,A367)&gt;0)</f>
        <v>1</v>
      </c>
    </row>
    <row r="368" spans="1:6" x14ac:dyDescent="0.45">
      <c r="A368" s="2">
        <v>45777</v>
      </c>
      <c r="B368" s="1">
        <v>188470</v>
      </c>
      <c r="C368" s="1">
        <v>60428</v>
      </c>
      <c r="D368" s="1">
        <v>36610</v>
      </c>
      <c r="E368" s="1">
        <v>285508</v>
      </c>
      <c r="F368" t="b">
        <f>AND(COUNTIF(CO!A:A,A368)&gt;0,COUNTIF('NO2'!A:A,A368)&gt;0,COUNTIF('O3'!A:A,A368)&gt;0,COUNTIF('PM10'!A:A,A368)&gt;0,COUNTIF('PM2.5'!A:A,A368)&gt;0,COUNTIF('SO2'!A:A,A368)&gt;0)</f>
        <v>1</v>
      </c>
    </row>
    <row r="369" spans="1:6" x14ac:dyDescent="0.45">
      <c r="A369" s="2">
        <v>45778</v>
      </c>
      <c r="B369" s="1">
        <v>159958</v>
      </c>
      <c r="C369" s="1">
        <v>57362</v>
      </c>
      <c r="D369" s="1">
        <v>32350</v>
      </c>
      <c r="E369" s="1">
        <v>249670</v>
      </c>
      <c r="F369" t="b">
        <f>AND(COUNTIF(CO!A:A,A369)&gt;0,COUNTIF('NO2'!A:A,A369)&gt;0,COUNTIF('O3'!A:A,A369)&gt;0,COUNTIF('PM10'!A:A,A369)&gt;0,COUNTIF('PM2.5'!A:A,A369)&gt;0,COUNTIF('SO2'!A:A,A369)&gt;0)</f>
        <v>1</v>
      </c>
    </row>
    <row r="370" spans="1:6" x14ac:dyDescent="0.45">
      <c r="A370" s="2">
        <v>45779</v>
      </c>
      <c r="B370" s="1">
        <v>211507</v>
      </c>
      <c r="C370" s="1">
        <v>62265</v>
      </c>
      <c r="D370" s="1">
        <v>29356</v>
      </c>
      <c r="E370" s="1">
        <v>303128</v>
      </c>
      <c r="F370" t="b">
        <f>AND(COUNTIF(CO!A:A,A370)&gt;0,COUNTIF('NO2'!A:A,A370)&gt;0,COUNTIF('O3'!A:A,A370)&gt;0,COUNTIF('PM10'!A:A,A370)&gt;0,COUNTIF('PM2.5'!A:A,A370)&gt;0,COUNTIF('SO2'!A:A,A370)&gt;0)</f>
        <v>1</v>
      </c>
    </row>
    <row r="371" spans="1:6" x14ac:dyDescent="0.45">
      <c r="A371" s="2">
        <v>45780</v>
      </c>
      <c r="B371" s="1">
        <v>203595</v>
      </c>
      <c r="C371" s="1">
        <v>66878</v>
      </c>
      <c r="D371" s="1">
        <v>31330</v>
      </c>
      <c r="E371" s="1">
        <v>301803</v>
      </c>
      <c r="F371" t="b">
        <f>AND(COUNTIF(CO!A:A,A371)&gt;0,COUNTIF('NO2'!A:A,A371)&gt;0,COUNTIF('O3'!A:A,A371)&gt;0,COUNTIF('PM10'!A:A,A371)&gt;0,COUNTIF('PM2.5'!A:A,A371)&gt;0,COUNTIF('SO2'!A:A,A371)&gt;0)</f>
        <v>1</v>
      </c>
    </row>
    <row r="372" spans="1:6" x14ac:dyDescent="0.45">
      <c r="A372" s="2">
        <v>45781</v>
      </c>
      <c r="B372" s="1">
        <v>157863</v>
      </c>
      <c r="C372" s="1">
        <v>60902</v>
      </c>
      <c r="D372" s="1">
        <v>28945</v>
      </c>
      <c r="E372" s="1">
        <v>247710</v>
      </c>
      <c r="F372" t="b">
        <f>AND(COUNTIF(CO!A:A,A372)&gt;0,COUNTIF('NO2'!A:A,A372)&gt;0,COUNTIF('O3'!A:A,A372)&gt;0,COUNTIF('PM10'!A:A,A372)&gt;0,COUNTIF('PM2.5'!A:A,A372)&gt;0,COUNTIF('SO2'!A:A,A372)&gt;0)</f>
        <v>1</v>
      </c>
    </row>
    <row r="373" spans="1:6" x14ac:dyDescent="0.45">
      <c r="A373" s="2">
        <v>45782</v>
      </c>
      <c r="B373" s="1">
        <v>210552</v>
      </c>
      <c r="C373" s="1">
        <v>62416</v>
      </c>
      <c r="D373" s="1">
        <v>32707</v>
      </c>
      <c r="E373" s="1">
        <v>305675</v>
      </c>
      <c r="F373" t="b">
        <f>AND(COUNTIF(CO!A:A,A373)&gt;0,COUNTIF('NO2'!A:A,A373)&gt;0,COUNTIF('O3'!A:A,A373)&gt;0,COUNTIF('PM10'!A:A,A373)&gt;0,COUNTIF('PM2.5'!A:A,A373)&gt;0,COUNTIF('SO2'!A:A,A373)&gt;0)</f>
        <v>1</v>
      </c>
    </row>
    <row r="374" spans="1:6" x14ac:dyDescent="0.45">
      <c r="A374" s="2">
        <v>45783</v>
      </c>
      <c r="B374" s="1">
        <v>194985</v>
      </c>
      <c r="C374" s="1">
        <v>59741</v>
      </c>
      <c r="D374" s="1">
        <v>32130</v>
      </c>
      <c r="E374" s="1">
        <v>286856</v>
      </c>
      <c r="F374" t="b">
        <f>AND(COUNTIF(CO!A:A,A374)&gt;0,COUNTIF('NO2'!A:A,A374)&gt;0,COUNTIF('O3'!A:A,A374)&gt;0,COUNTIF('PM10'!A:A,A374)&gt;0,COUNTIF('PM2.5'!A:A,A374)&gt;0,COUNTIF('SO2'!A:A,A374)&gt;0)</f>
        <v>1</v>
      </c>
    </row>
    <row r="375" spans="1:6" x14ac:dyDescent="0.45">
      <c r="A375" s="2">
        <v>45784</v>
      </c>
      <c r="B375" s="1">
        <v>142455</v>
      </c>
      <c r="C375" s="1">
        <v>49648</v>
      </c>
      <c r="D375" s="1">
        <v>34193</v>
      </c>
      <c r="E375" s="1">
        <v>226296</v>
      </c>
      <c r="F375" t="b">
        <f>AND(COUNTIF(CO!A:A,A375)&gt;0,COUNTIF('NO2'!A:A,A375)&gt;0,COUNTIF('O3'!A:A,A375)&gt;0,COUNTIF('PM10'!A:A,A375)&gt;0,COUNTIF('PM2.5'!A:A,A375)&gt;0,COUNTIF('SO2'!A:A,A375)&gt;0)</f>
        <v>1</v>
      </c>
    </row>
    <row r="376" spans="1:6" x14ac:dyDescent="0.45">
      <c r="A376" s="2">
        <v>45785</v>
      </c>
      <c r="B376" s="1">
        <v>189646</v>
      </c>
      <c r="C376" s="1">
        <v>64368</v>
      </c>
      <c r="D376" s="1">
        <v>34218</v>
      </c>
      <c r="E376" s="1">
        <v>288232</v>
      </c>
      <c r="F376" t="b">
        <f>AND(COUNTIF(CO!A:A,A376)&gt;0,COUNTIF('NO2'!A:A,A376)&gt;0,COUNTIF('O3'!A:A,A376)&gt;0,COUNTIF('PM10'!A:A,A376)&gt;0,COUNTIF('PM2.5'!A:A,A376)&gt;0,COUNTIF('SO2'!A:A,A376)&gt;0)</f>
        <v>1</v>
      </c>
    </row>
    <row r="377" spans="1:6" x14ac:dyDescent="0.45">
      <c r="A377" s="2">
        <v>45786</v>
      </c>
      <c r="B377" s="1">
        <v>201199</v>
      </c>
      <c r="C377" s="1">
        <v>66872</v>
      </c>
      <c r="D377" s="1">
        <v>30650</v>
      </c>
      <c r="E377" s="1">
        <v>298721</v>
      </c>
      <c r="F377" t="b">
        <f>AND(COUNTIF(CO!A:A,A377)&gt;0,COUNTIF('NO2'!A:A,A377)&gt;0,COUNTIF('O3'!A:A,A377)&gt;0,COUNTIF('PM10'!A:A,A377)&gt;0,COUNTIF('PM2.5'!A:A,A377)&gt;0,COUNTIF('SO2'!A:A,A377)&gt;0)</f>
        <v>1</v>
      </c>
    </row>
    <row r="378" spans="1:6" x14ac:dyDescent="0.45">
      <c r="A378" s="2">
        <v>45787</v>
      </c>
      <c r="B378" s="1">
        <v>192438</v>
      </c>
      <c r="C378" s="1">
        <v>68189</v>
      </c>
      <c r="D378" s="1">
        <v>33998</v>
      </c>
      <c r="E378" s="1">
        <v>294625</v>
      </c>
      <c r="F378" t="b">
        <f>AND(COUNTIF(CO!A:A,A378)&gt;0,COUNTIF('NO2'!A:A,A378)&gt;0,COUNTIF('O3'!A:A,A378)&gt;0,COUNTIF('PM10'!A:A,A378)&gt;0,COUNTIF('PM2.5'!A:A,A378)&gt;0,COUNTIF('SO2'!A:A,A378)&gt;0)</f>
        <v>1</v>
      </c>
    </row>
    <row r="379" spans="1:6" x14ac:dyDescent="0.45">
      <c r="A379" s="2">
        <v>45788</v>
      </c>
      <c r="B379" s="1">
        <v>148994</v>
      </c>
      <c r="C379" s="1">
        <v>68614</v>
      </c>
      <c r="D379" s="1">
        <v>30067</v>
      </c>
      <c r="E379" s="1">
        <v>247675</v>
      </c>
      <c r="F379" t="b">
        <f>AND(COUNTIF(CO!A:A,A379)&gt;0,COUNTIF('NO2'!A:A,A379)&gt;0,COUNTIF('O3'!A:A,A379)&gt;0,COUNTIF('PM10'!A:A,A379)&gt;0,COUNTIF('PM2.5'!A:A,A379)&gt;0,COUNTIF('SO2'!A:A,A379)&gt;0)</f>
        <v>1</v>
      </c>
    </row>
    <row r="380" spans="1:6" x14ac:dyDescent="0.45">
      <c r="A380" s="2">
        <v>45789</v>
      </c>
      <c r="B380" s="1">
        <v>138902</v>
      </c>
      <c r="C380" s="1">
        <v>64838</v>
      </c>
      <c r="D380" s="1">
        <v>30821</v>
      </c>
      <c r="E380" s="1">
        <v>234561</v>
      </c>
      <c r="F380" t="b">
        <f>AND(COUNTIF(CO!A:A,A380)&gt;0,COUNTIF('NO2'!A:A,A380)&gt;0,COUNTIF('O3'!A:A,A380)&gt;0,COUNTIF('PM10'!A:A,A380)&gt;0,COUNTIF('PM2.5'!A:A,A380)&gt;0,COUNTIF('SO2'!A:A,A380)&gt;0)</f>
        <v>1</v>
      </c>
    </row>
    <row r="381" spans="1:6" x14ac:dyDescent="0.45">
      <c r="A381" s="2">
        <v>45790</v>
      </c>
      <c r="B381" s="1">
        <v>160646</v>
      </c>
      <c r="C381" s="1">
        <v>64060</v>
      </c>
      <c r="D381" s="1">
        <v>32306</v>
      </c>
      <c r="E381" s="1">
        <v>257012</v>
      </c>
      <c r="F381" t="b">
        <f>AND(COUNTIF(CO!A:A,A381)&gt;0,COUNTIF('NO2'!A:A,A381)&gt;0,COUNTIF('O3'!A:A,A381)&gt;0,COUNTIF('PM10'!A:A,A381)&gt;0,COUNTIF('PM2.5'!A:A,A381)&gt;0,COUNTIF('SO2'!A:A,A381)&gt;0)</f>
        <v>1</v>
      </c>
    </row>
    <row r="382" spans="1:6" x14ac:dyDescent="0.45">
      <c r="A382" s="2">
        <v>45791</v>
      </c>
      <c r="B382" s="1">
        <v>188811</v>
      </c>
      <c r="C382" s="1">
        <v>60802</v>
      </c>
      <c r="D382" s="1">
        <v>30192</v>
      </c>
      <c r="E382" s="1">
        <v>279805</v>
      </c>
      <c r="F382" t="b">
        <f>AND(COUNTIF(CO!A:A,A382)&gt;0,COUNTIF('NO2'!A:A,A382)&gt;0,COUNTIF('O3'!A:A,A382)&gt;0,COUNTIF('PM10'!A:A,A382)&gt;0,COUNTIF('PM2.5'!A:A,A382)&gt;0,COUNTIF('SO2'!A:A,A382)&gt;0)</f>
        <v>1</v>
      </c>
    </row>
    <row r="383" spans="1:6" x14ac:dyDescent="0.45">
      <c r="A383" s="2">
        <v>45792</v>
      </c>
      <c r="B383" s="1">
        <v>155264</v>
      </c>
      <c r="C383" s="1">
        <v>56312</v>
      </c>
      <c r="D383" s="1">
        <v>26149</v>
      </c>
      <c r="E383" s="1">
        <v>237725</v>
      </c>
      <c r="F383" t="b">
        <f>AND(COUNTIF(CO!A:A,A383)&gt;0,COUNTIF('NO2'!A:A,A383)&gt;0,COUNTIF('O3'!A:A,A383)&gt;0,COUNTIF('PM10'!A:A,A383)&gt;0,COUNTIF('PM2.5'!A:A,A383)&gt;0,COUNTIF('SO2'!A:A,A383)&gt;0)</f>
        <v>1</v>
      </c>
    </row>
    <row r="384" spans="1:6" x14ac:dyDescent="0.45">
      <c r="A384" s="2">
        <v>45793</v>
      </c>
      <c r="B384" s="1">
        <v>179497</v>
      </c>
      <c r="C384" s="1">
        <v>63153</v>
      </c>
      <c r="D384" s="1">
        <v>30692</v>
      </c>
      <c r="E384" s="1">
        <v>273342</v>
      </c>
      <c r="F384" t="b">
        <f>AND(COUNTIF(CO!A:A,A384)&gt;0,COUNTIF('NO2'!A:A,A384)&gt;0,COUNTIF('O3'!A:A,A384)&gt;0,COUNTIF('PM10'!A:A,A384)&gt;0,COUNTIF('PM2.5'!A:A,A384)&gt;0,COUNTIF('SO2'!A:A,A384)&gt;0)</f>
        <v>1</v>
      </c>
    </row>
    <row r="385" spans="1:6" x14ac:dyDescent="0.45">
      <c r="A385" s="2">
        <v>45794</v>
      </c>
      <c r="B385" s="1">
        <v>173461</v>
      </c>
      <c r="C385" s="1">
        <v>66887</v>
      </c>
      <c r="D385" s="1">
        <v>30207</v>
      </c>
      <c r="E385" s="1">
        <v>270555</v>
      </c>
      <c r="F385" t="b">
        <f>AND(COUNTIF(CO!A:A,A385)&gt;0,COUNTIF('NO2'!A:A,A385)&gt;0,COUNTIF('O3'!A:A,A385)&gt;0,COUNTIF('PM10'!A:A,A385)&gt;0,COUNTIF('PM2.5'!A:A,A385)&gt;0,COUNTIF('SO2'!A:A,A385)&gt;0)</f>
        <v>1</v>
      </c>
    </row>
    <row r="386" spans="1:6" x14ac:dyDescent="0.45">
      <c r="A386" s="2">
        <v>45795</v>
      </c>
      <c r="B386" s="1">
        <v>142438</v>
      </c>
      <c r="C386" s="1">
        <v>59069</v>
      </c>
      <c r="D386" s="1">
        <v>26333</v>
      </c>
      <c r="E386" s="1">
        <v>227840</v>
      </c>
      <c r="F386" t="b">
        <f>AND(COUNTIF(CO!A:A,A386)&gt;0,COUNTIF('NO2'!A:A,A386)&gt;0,COUNTIF('O3'!A:A,A386)&gt;0,COUNTIF('PM10'!A:A,A386)&gt;0,COUNTIF('PM2.5'!A:A,A386)&gt;0,COUNTIF('SO2'!A:A,A386)&gt;0)</f>
        <v>1</v>
      </c>
    </row>
    <row r="387" spans="1:6" x14ac:dyDescent="0.45">
      <c r="A387" s="2">
        <v>45796</v>
      </c>
      <c r="B387" s="1">
        <v>172440</v>
      </c>
      <c r="C387" s="1">
        <v>60686</v>
      </c>
      <c r="D387" s="1">
        <v>32765</v>
      </c>
      <c r="E387" s="1">
        <v>265891</v>
      </c>
      <c r="F387" t="b">
        <f>AND(COUNTIF(CO!A:A,A387)&gt;0,COUNTIF('NO2'!A:A,A387)&gt;0,COUNTIF('O3'!A:A,A387)&gt;0,COUNTIF('PM10'!A:A,A387)&gt;0,COUNTIF('PM2.5'!A:A,A387)&gt;0,COUNTIF('SO2'!A:A,A387)&gt;0)</f>
        <v>1</v>
      </c>
    </row>
    <row r="388" spans="1:6" x14ac:dyDescent="0.45">
      <c r="A388" s="2">
        <v>45797</v>
      </c>
      <c r="B388" s="1">
        <v>200539</v>
      </c>
      <c r="C388" s="1">
        <v>60375</v>
      </c>
      <c r="D388" s="1">
        <v>30122</v>
      </c>
      <c r="E388" s="1">
        <v>291036</v>
      </c>
      <c r="F388" t="b">
        <f>AND(COUNTIF(CO!A:A,A388)&gt;0,COUNTIF('NO2'!A:A,A388)&gt;0,COUNTIF('O3'!A:A,A388)&gt;0,COUNTIF('PM10'!A:A,A388)&gt;0,COUNTIF('PM2.5'!A:A,A388)&gt;0,COUNTIF('SO2'!A:A,A388)&gt;0)</f>
        <v>1</v>
      </c>
    </row>
    <row r="389" spans="1:6" x14ac:dyDescent="0.45">
      <c r="A389" s="2">
        <v>45798</v>
      </c>
      <c r="B389" s="1">
        <v>203336</v>
      </c>
      <c r="C389" s="1">
        <v>61554</v>
      </c>
      <c r="D389" s="1">
        <v>29361</v>
      </c>
      <c r="E389" s="1">
        <v>294251</v>
      </c>
      <c r="F389" t="b">
        <f>AND(COUNTIF(CO!A:A,A389)&gt;0,COUNTIF('NO2'!A:A,A389)&gt;0,COUNTIF('O3'!A:A,A389)&gt;0,COUNTIF('PM10'!A:A,A389)&gt;0,COUNTIF('PM2.5'!A:A,A389)&gt;0,COUNTIF('SO2'!A:A,A389)&gt;0)</f>
        <v>1</v>
      </c>
    </row>
    <row r="390" spans="1:6" x14ac:dyDescent="0.45">
      <c r="A390" s="2">
        <v>45799</v>
      </c>
      <c r="B390" s="1">
        <v>207018</v>
      </c>
      <c r="C390" s="1">
        <v>61892</v>
      </c>
      <c r="D390" s="1">
        <v>30486</v>
      </c>
      <c r="E390" s="1">
        <v>299396</v>
      </c>
      <c r="F390" t="b">
        <f>AND(COUNTIF(CO!A:A,A390)&gt;0,COUNTIF('NO2'!A:A,A390)&gt;0,COUNTIF('O3'!A:A,A390)&gt;0,COUNTIF('PM10'!A:A,A390)&gt;0,COUNTIF('PM2.5'!A:A,A390)&gt;0,COUNTIF('SO2'!A:A,A390)&gt;0)</f>
        <v>1</v>
      </c>
    </row>
    <row r="391" spans="1:6" x14ac:dyDescent="0.45">
      <c r="A391" s="2">
        <v>45800</v>
      </c>
      <c r="B391" s="1">
        <v>215182</v>
      </c>
      <c r="C391" s="1">
        <v>65956</v>
      </c>
      <c r="D391" s="1">
        <v>30875</v>
      </c>
      <c r="E391" s="1">
        <v>312013</v>
      </c>
      <c r="F391" t="b">
        <f>AND(COUNTIF(CO!A:A,A391)&gt;0,COUNTIF('NO2'!A:A,A391)&gt;0,COUNTIF('O3'!A:A,A391)&gt;0,COUNTIF('PM10'!A:A,A391)&gt;0,COUNTIF('PM2.5'!A:A,A391)&gt;0,COUNTIF('SO2'!A:A,A391)&gt;0)</f>
        <v>1</v>
      </c>
    </row>
    <row r="392" spans="1:6" x14ac:dyDescent="0.45">
      <c r="A392" s="2">
        <v>45801</v>
      </c>
      <c r="B392" s="1">
        <v>197315</v>
      </c>
      <c r="C392" s="1">
        <v>63902</v>
      </c>
      <c r="D392" s="1">
        <v>33441</v>
      </c>
      <c r="E392" s="1">
        <v>294658</v>
      </c>
      <c r="F392" t="b">
        <f>AND(COUNTIF(CO!A:A,A392)&gt;0,COUNTIF('NO2'!A:A,A392)&gt;0,COUNTIF('O3'!A:A,A392)&gt;0,COUNTIF('PM10'!A:A,A392)&gt;0,COUNTIF('PM2.5'!A:A,A392)&gt;0,COUNTIF('SO2'!A:A,A392)&gt;0)</f>
        <v>1</v>
      </c>
    </row>
    <row r="393" spans="1:6" x14ac:dyDescent="0.45">
      <c r="A393" s="2">
        <v>45802</v>
      </c>
      <c r="B393" s="1">
        <v>141086</v>
      </c>
      <c r="C393" s="1">
        <v>55974</v>
      </c>
      <c r="D393" s="1">
        <v>29136</v>
      </c>
      <c r="E393" s="1">
        <v>226196</v>
      </c>
      <c r="F393" t="b">
        <f>AND(COUNTIF(CO!A:A,A393)&gt;0,COUNTIF('NO2'!A:A,A393)&gt;0,COUNTIF('O3'!A:A,A393)&gt;0,COUNTIF('PM10'!A:A,A393)&gt;0,COUNTIF('PM2.5'!A:A,A393)&gt;0,COUNTIF('SO2'!A:A,A393)&gt;0)</f>
        <v>1</v>
      </c>
    </row>
    <row r="394" spans="1:6" x14ac:dyDescent="0.45">
      <c r="A394" s="2">
        <v>45803</v>
      </c>
      <c r="B394" s="1">
        <v>208952</v>
      </c>
      <c r="C394" s="1">
        <v>64758</v>
      </c>
      <c r="D394" s="1">
        <v>25541</v>
      </c>
      <c r="E394" s="1">
        <v>299251</v>
      </c>
      <c r="F394" t="b">
        <f>AND(COUNTIF(CO!A:A,A394)&gt;0,COUNTIF('NO2'!A:A,A394)&gt;0,COUNTIF('O3'!A:A,A394)&gt;0,COUNTIF('PM10'!A:A,A394)&gt;0,COUNTIF('PM2.5'!A:A,A394)&gt;0,COUNTIF('SO2'!A:A,A394)&gt;0)</f>
        <v>1</v>
      </c>
    </row>
    <row r="395" spans="1:6" x14ac:dyDescent="0.45">
      <c r="A395" s="2">
        <v>45804</v>
      </c>
      <c r="B395" s="1">
        <v>208395</v>
      </c>
      <c r="C395" s="1">
        <v>60562</v>
      </c>
      <c r="D395" s="1">
        <v>27942</v>
      </c>
      <c r="E395" s="1">
        <v>296899</v>
      </c>
      <c r="F395" t="b">
        <f>AND(COUNTIF(CO!A:A,A395)&gt;0,COUNTIF('NO2'!A:A,A395)&gt;0,COUNTIF('O3'!A:A,A395)&gt;0,COUNTIF('PM10'!A:A,A395)&gt;0,COUNTIF('PM2.5'!A:A,A395)&gt;0,COUNTIF('SO2'!A:A,A395)&gt;0)</f>
        <v>1</v>
      </c>
    </row>
    <row r="396" spans="1:6" x14ac:dyDescent="0.45">
      <c r="A396" s="2">
        <v>45805</v>
      </c>
      <c r="B396" s="1">
        <v>209475</v>
      </c>
      <c r="C396" s="1">
        <v>62359</v>
      </c>
      <c r="D396" s="1">
        <v>36436</v>
      </c>
      <c r="E396" s="1">
        <v>308270</v>
      </c>
      <c r="F396" t="b">
        <f>AND(COUNTIF(CO!A:A,A396)&gt;0,COUNTIF('NO2'!A:A,A396)&gt;0,COUNTIF('O3'!A:A,A396)&gt;0,COUNTIF('PM10'!A:A,A396)&gt;0,COUNTIF('PM2.5'!A:A,A396)&gt;0,COUNTIF('SO2'!A:A,A396)&gt;0)</f>
        <v>1</v>
      </c>
    </row>
    <row r="397" spans="1:6" x14ac:dyDescent="0.45">
      <c r="A397" s="2">
        <v>45806</v>
      </c>
      <c r="B397" s="1">
        <v>155936</v>
      </c>
      <c r="C397" s="1">
        <v>58319</v>
      </c>
      <c r="D397" s="1">
        <v>30356</v>
      </c>
      <c r="E397" s="1">
        <v>244611</v>
      </c>
      <c r="F397" t="b">
        <f>AND(COUNTIF(CO!A:A,A397)&gt;0,COUNTIF('NO2'!A:A,A397)&gt;0,COUNTIF('O3'!A:A,A397)&gt;0,COUNTIF('PM10'!A:A,A397)&gt;0,COUNTIF('PM2.5'!A:A,A397)&gt;0,COUNTIF('SO2'!A:A,A397)&gt;0)</f>
        <v>1</v>
      </c>
    </row>
    <row r="398" spans="1:6" x14ac:dyDescent="0.45">
      <c r="A398" s="2">
        <v>45807</v>
      </c>
      <c r="B398" s="1">
        <v>137898</v>
      </c>
      <c r="C398" s="1">
        <v>54685</v>
      </c>
      <c r="D398" s="1">
        <v>36933</v>
      </c>
      <c r="E398" s="1">
        <v>229516</v>
      </c>
      <c r="F398" t="b">
        <f>AND(COUNTIF(CO!A:A,A398)&gt;0,COUNTIF('NO2'!A:A,A398)&gt;0,COUNTIF('O3'!A:A,A398)&gt;0,COUNTIF('PM10'!A:A,A398)&gt;0,COUNTIF('PM2.5'!A:A,A398)&gt;0,COUNTIF('SO2'!A:A,A398)&gt;0)</f>
        <v>1</v>
      </c>
    </row>
    <row r="399" spans="1:6" x14ac:dyDescent="0.45">
      <c r="A399" s="2">
        <v>45808</v>
      </c>
      <c r="B399" s="1">
        <v>156052</v>
      </c>
      <c r="C399" s="1">
        <v>57479</v>
      </c>
      <c r="D399" s="1">
        <v>25223</v>
      </c>
      <c r="E399" s="1">
        <v>238754</v>
      </c>
      <c r="F399" t="b">
        <f>AND(COUNTIF(CO!A:A,A399)&gt;0,COUNTIF('NO2'!A:A,A399)&gt;0,COUNTIF('O3'!A:A,A399)&gt;0,COUNTIF('PM10'!A:A,A399)&gt;0,COUNTIF('PM2.5'!A:A,A399)&gt;0,COUNTIF('SO2'!A:A,A399)&gt;0)</f>
        <v>1</v>
      </c>
    </row>
    <row r="400" spans="1:6" x14ac:dyDescent="0.45">
      <c r="A400" s="2">
        <v>45809</v>
      </c>
      <c r="B400" s="1">
        <v>159029</v>
      </c>
      <c r="C400" s="1">
        <v>60284</v>
      </c>
      <c r="D400" s="1">
        <v>29336</v>
      </c>
      <c r="E400" s="1">
        <v>248649</v>
      </c>
      <c r="F400" t="b">
        <f>AND(COUNTIF(CO!A:A,A400)&gt;0,COUNTIF('NO2'!A:A,A400)&gt;0,COUNTIF('O3'!A:A,A400)&gt;0,COUNTIF('PM10'!A:A,A400)&gt;0,COUNTIF('PM2.5'!A:A,A400)&gt;0,COUNTIF('SO2'!A:A,A400)&gt;0)</f>
        <v>1</v>
      </c>
    </row>
    <row r="401" spans="1:6" x14ac:dyDescent="0.45">
      <c r="A401" s="2">
        <v>45810</v>
      </c>
      <c r="B401" s="1">
        <v>226290</v>
      </c>
      <c r="C401" s="1">
        <v>63369</v>
      </c>
      <c r="D401" s="1">
        <v>31032</v>
      </c>
      <c r="E401" s="1">
        <v>320691</v>
      </c>
      <c r="F401" t="b">
        <f>AND(COUNTIF(CO!A:A,A401)&gt;0,COUNTIF('NO2'!A:A,A401)&gt;0,COUNTIF('O3'!A:A,A401)&gt;0,COUNTIF('PM10'!A:A,A401)&gt;0,COUNTIF('PM2.5'!A:A,A401)&gt;0,COUNTIF('SO2'!A:A,A401)&gt;0)</f>
        <v>1</v>
      </c>
    </row>
    <row r="402" spans="1:6" x14ac:dyDescent="0.45">
      <c r="A402" s="2">
        <v>45811</v>
      </c>
      <c r="B402" s="1">
        <v>221706</v>
      </c>
      <c r="C402" s="1">
        <v>63428</v>
      </c>
      <c r="D402" s="1">
        <v>30217</v>
      </c>
      <c r="E402" s="1">
        <v>315351</v>
      </c>
      <c r="F402" t="b">
        <f>AND(COUNTIF(CO!A:A,A402)&gt;0,COUNTIF('NO2'!A:A,A402)&gt;0,COUNTIF('O3'!A:A,A402)&gt;0,COUNTIF('PM10'!A:A,A402)&gt;0,COUNTIF('PM2.5'!A:A,A402)&gt;0,COUNTIF('SO2'!A:A,A402)&gt;0)</f>
        <v>1</v>
      </c>
    </row>
    <row r="403" spans="1:6" x14ac:dyDescent="0.45">
      <c r="A403" s="2">
        <v>45812</v>
      </c>
      <c r="B403" s="1">
        <v>214514</v>
      </c>
      <c r="C403" s="1">
        <v>62336</v>
      </c>
      <c r="D403" s="1">
        <v>34276</v>
      </c>
      <c r="E403" s="1">
        <v>311126</v>
      </c>
      <c r="F403" t="b">
        <f>AND(COUNTIF(CO!A:A,A403)&gt;0,COUNTIF('NO2'!A:A,A403)&gt;0,COUNTIF('O3'!A:A,A403)&gt;0,COUNTIF('PM10'!A:A,A403)&gt;0,COUNTIF('PM2.5'!A:A,A403)&gt;0,COUNTIF('SO2'!A:A,A403)&gt;0)</f>
        <v>1</v>
      </c>
    </row>
    <row r="404" spans="1:6" x14ac:dyDescent="0.45">
      <c r="A404" s="2">
        <v>45813</v>
      </c>
      <c r="B404" s="1">
        <v>205002</v>
      </c>
      <c r="C404" s="1">
        <v>64642</v>
      </c>
      <c r="D404" s="1">
        <v>41614</v>
      </c>
      <c r="E404" s="1">
        <v>311258</v>
      </c>
      <c r="F404" t="b">
        <f>AND(COUNTIF(CO!A:A,A404)&gt;0,COUNTIF('NO2'!A:A,A404)&gt;0,COUNTIF('O3'!A:A,A404)&gt;0,COUNTIF('PM10'!A:A,A404)&gt;0,COUNTIF('PM2.5'!A:A,A404)&gt;0,COUNTIF('SO2'!A:A,A404)&gt;0)</f>
        <v>1</v>
      </c>
    </row>
    <row r="405" spans="1:6" x14ac:dyDescent="0.45">
      <c r="A405" s="2">
        <v>45814</v>
      </c>
      <c r="B405" s="1">
        <v>100112</v>
      </c>
      <c r="C405" s="1">
        <v>44859</v>
      </c>
      <c r="D405" s="1">
        <v>29827</v>
      </c>
      <c r="E405" s="1">
        <v>174798</v>
      </c>
      <c r="F405" t="b">
        <f>AND(COUNTIF(CO!A:A,A405)&gt;0,COUNTIF('NO2'!A:A,A405)&gt;0,COUNTIF('O3'!A:A,A405)&gt;0,COUNTIF('PM10'!A:A,A405)&gt;0,COUNTIF('PM2.5'!A:A,A405)&gt;0,COUNTIF('SO2'!A:A,A405)&gt;0)</f>
        <v>1</v>
      </c>
    </row>
    <row r="406" spans="1:6" x14ac:dyDescent="0.45">
      <c r="A406" s="2">
        <v>45815</v>
      </c>
      <c r="B406" s="1">
        <v>114995</v>
      </c>
      <c r="C406" s="1">
        <v>49325</v>
      </c>
      <c r="D406" s="1">
        <v>35635</v>
      </c>
      <c r="E406" s="1">
        <v>199955</v>
      </c>
      <c r="F406" t="b">
        <f>AND(COUNTIF(CO!A:A,A406)&gt;0,COUNTIF('NO2'!A:A,A406)&gt;0,COUNTIF('O3'!A:A,A406)&gt;0,COUNTIF('PM10'!A:A,A406)&gt;0,COUNTIF('PM2.5'!A:A,A406)&gt;0,COUNTIF('SO2'!A:A,A406)&gt;0)</f>
        <v>1</v>
      </c>
    </row>
    <row r="407" spans="1:6" x14ac:dyDescent="0.45">
      <c r="A407" s="2">
        <v>45816</v>
      </c>
      <c r="B407" s="1">
        <v>151565</v>
      </c>
      <c r="C407" s="1">
        <v>63773</v>
      </c>
      <c r="D407" s="1">
        <v>30254</v>
      </c>
      <c r="E407" s="1">
        <v>245592</v>
      </c>
      <c r="F407" t="b">
        <f>AND(COUNTIF(CO!A:A,A407)&gt;0,COUNTIF('NO2'!A:A,A407)&gt;0,COUNTIF('O3'!A:A,A407)&gt;0,COUNTIF('PM10'!A:A,A407)&gt;0,COUNTIF('PM2.5'!A:A,A407)&gt;0,COUNTIF('SO2'!A:A,A407)&gt;0)</f>
        <v>1</v>
      </c>
    </row>
    <row r="408" spans="1:6" x14ac:dyDescent="0.45">
      <c r="A408" s="2">
        <v>45817</v>
      </c>
      <c r="B408" s="1">
        <v>206289</v>
      </c>
      <c r="C408" s="1">
        <v>66946</v>
      </c>
      <c r="D408" s="1">
        <v>25149</v>
      </c>
      <c r="E408" s="1">
        <v>298384</v>
      </c>
      <c r="F408" t="b">
        <f>AND(COUNTIF(CO!A:A,A408)&gt;0,COUNTIF('NO2'!A:A,A408)&gt;0,COUNTIF('O3'!A:A,A408)&gt;0,COUNTIF('PM10'!A:A,A408)&gt;0,COUNTIF('PM2.5'!A:A,A408)&gt;0,COUNTIF('SO2'!A:A,A408)&gt;0)</f>
        <v>1</v>
      </c>
    </row>
    <row r="409" spans="1:6" x14ac:dyDescent="0.45">
      <c r="A409" s="2">
        <v>45818</v>
      </c>
      <c r="B409" s="1">
        <v>181937</v>
      </c>
      <c r="C409" s="1">
        <v>54192</v>
      </c>
      <c r="D409" s="1">
        <v>17955</v>
      </c>
      <c r="E409" s="1">
        <v>254084</v>
      </c>
      <c r="F409" t="b">
        <f>AND(COUNTIF(CO!A:A,A409)&gt;0,COUNTIF('NO2'!A:A,A409)&gt;0,COUNTIF('O3'!A:A,A409)&gt;0,COUNTIF('PM10'!A:A,A409)&gt;0,COUNTIF('PM2.5'!A:A,A409)&gt;0,COUNTIF('SO2'!A:A,A409)&gt;0)</f>
        <v>1</v>
      </c>
    </row>
    <row r="410" spans="1:6" x14ac:dyDescent="0.45">
      <c r="A410" s="2">
        <v>45819</v>
      </c>
      <c r="B410" s="1">
        <v>221115</v>
      </c>
      <c r="C410" s="1">
        <v>65822</v>
      </c>
      <c r="D410" s="1">
        <v>29135</v>
      </c>
      <c r="E410" s="1">
        <v>316072</v>
      </c>
      <c r="F410" t="b">
        <f>AND(COUNTIF(CO!A:A,A410)&gt;0,COUNTIF('NO2'!A:A,A410)&gt;0,COUNTIF('O3'!A:A,A410)&gt;0,COUNTIF('PM10'!A:A,A410)&gt;0,COUNTIF('PM2.5'!A:A,A410)&gt;0,COUNTIF('SO2'!A:A,A410)&gt;0)</f>
        <v>1</v>
      </c>
    </row>
    <row r="411" spans="1:6" x14ac:dyDescent="0.45">
      <c r="A411" s="2">
        <v>45820</v>
      </c>
      <c r="B411" s="1">
        <v>212053</v>
      </c>
      <c r="C411" s="1">
        <v>64384</v>
      </c>
      <c r="D411" s="1">
        <v>28679</v>
      </c>
      <c r="E411" s="1">
        <v>305116</v>
      </c>
      <c r="F411" t="b">
        <f>AND(COUNTIF(CO!A:A,A411)&gt;0,COUNTIF('NO2'!A:A,A411)&gt;0,COUNTIF('O3'!A:A,A411)&gt;0,COUNTIF('PM10'!A:A,A411)&gt;0,COUNTIF('PM2.5'!A:A,A411)&gt;0,COUNTIF('SO2'!A:A,A411)&gt;0)</f>
        <v>1</v>
      </c>
    </row>
    <row r="412" spans="1:6" x14ac:dyDescent="0.45">
      <c r="A412" s="2">
        <v>45821</v>
      </c>
      <c r="B412" s="1">
        <v>215879</v>
      </c>
      <c r="C412" s="1">
        <v>64009</v>
      </c>
      <c r="D412" s="1">
        <v>27985</v>
      </c>
      <c r="E412" s="1">
        <v>307873</v>
      </c>
      <c r="F412" t="b">
        <f>AND(COUNTIF(CO!A:A,A412)&gt;0,COUNTIF('NO2'!A:A,A412)&gt;0,COUNTIF('O3'!A:A,A412)&gt;0,COUNTIF('PM10'!A:A,A412)&gt;0,COUNTIF('PM2.5'!A:A,A412)&gt;0,COUNTIF('SO2'!A:A,A412)&gt;0)</f>
        <v>1</v>
      </c>
    </row>
    <row r="413" spans="1:6" x14ac:dyDescent="0.45">
      <c r="A413" s="2">
        <v>45822</v>
      </c>
      <c r="B413" s="1">
        <v>165019</v>
      </c>
      <c r="C413" s="1">
        <v>59896</v>
      </c>
      <c r="D413" s="1">
        <v>30874</v>
      </c>
      <c r="E413" s="1">
        <v>255789</v>
      </c>
      <c r="F413" t="b">
        <f>AND(COUNTIF(CO!A:A,A413)&gt;0,COUNTIF('NO2'!A:A,A413)&gt;0,COUNTIF('O3'!A:A,A413)&gt;0,COUNTIF('PM10'!A:A,A413)&gt;0,COUNTIF('PM2.5'!A:A,A413)&gt;0,COUNTIF('SO2'!A:A,A413)&gt;0)</f>
        <v>1</v>
      </c>
    </row>
    <row r="414" spans="1:6" x14ac:dyDescent="0.45">
      <c r="A414" s="2">
        <v>45823</v>
      </c>
      <c r="B414" s="1">
        <v>151093</v>
      </c>
      <c r="C414" s="1">
        <v>56707</v>
      </c>
      <c r="D414" s="1">
        <v>31126</v>
      </c>
      <c r="E414" s="1">
        <v>238926</v>
      </c>
      <c r="F414" t="b">
        <f>AND(COUNTIF(CO!A:A,A414)&gt;0,COUNTIF('NO2'!A:A,A414)&gt;0,COUNTIF('O3'!A:A,A414)&gt;0,COUNTIF('PM10'!A:A,A414)&gt;0,COUNTIF('PM2.5'!A:A,A414)&gt;0,COUNTIF('SO2'!A:A,A414)&gt;0)</f>
        <v>1</v>
      </c>
    </row>
    <row r="415" spans="1:6" x14ac:dyDescent="0.45">
      <c r="A415" s="2">
        <v>45824</v>
      </c>
      <c r="B415" s="1">
        <v>213927</v>
      </c>
      <c r="C415" s="1">
        <v>63444</v>
      </c>
      <c r="D415" s="1">
        <v>23071</v>
      </c>
      <c r="E415" s="1">
        <v>300442</v>
      </c>
      <c r="F415" t="b">
        <f>AND(COUNTIF(CO!A:A,A415)&gt;0,COUNTIF('NO2'!A:A,A415)&gt;0,COUNTIF('O3'!A:A,A415)&gt;0,COUNTIF('PM10'!A:A,A415)&gt;0,COUNTIF('PM2.5'!A:A,A415)&gt;0,COUNTIF('SO2'!A:A,A415)&gt;0)</f>
        <v>1</v>
      </c>
    </row>
    <row r="416" spans="1:6" x14ac:dyDescent="0.45">
      <c r="A416" s="2">
        <v>45826</v>
      </c>
      <c r="B416" s="1">
        <v>190981</v>
      </c>
      <c r="C416" s="1">
        <v>58120</v>
      </c>
      <c r="D416" s="1">
        <v>31695</v>
      </c>
      <c r="E416" s="1">
        <v>280796</v>
      </c>
      <c r="F416" t="b">
        <f>AND(COUNTIF(CO!A:A,A416)&gt;0,COUNTIF('NO2'!A:A,A416)&gt;0,COUNTIF('O3'!A:A,A416)&gt;0,COUNTIF('PM10'!A:A,A416)&gt;0,COUNTIF('PM2.5'!A:A,A416)&gt;0,COUNTIF('SO2'!A:A,A416)&gt;0)</f>
        <v>1</v>
      </c>
    </row>
    <row r="417" spans="1:6" x14ac:dyDescent="0.45">
      <c r="A417" s="2">
        <v>45827</v>
      </c>
      <c r="B417" s="1">
        <v>199204</v>
      </c>
      <c r="C417" s="1">
        <v>59029</v>
      </c>
      <c r="D417" s="1">
        <v>24993</v>
      </c>
      <c r="E417" s="1">
        <v>283226</v>
      </c>
      <c r="F417" t="b">
        <f>AND(COUNTIF(CO!A:A,A417)&gt;0,COUNTIF('NO2'!A:A,A417)&gt;0,COUNTIF('O3'!A:A,A417)&gt;0,COUNTIF('PM10'!A:A,A417)&gt;0,COUNTIF('PM2.5'!A:A,A417)&gt;0,COUNTIF('SO2'!A:A,A417)&gt;0)</f>
        <v>1</v>
      </c>
    </row>
    <row r="418" spans="1:6" x14ac:dyDescent="0.45">
      <c r="A418" s="2">
        <v>45828</v>
      </c>
      <c r="B418" s="1">
        <v>215425</v>
      </c>
      <c r="C418" s="1">
        <v>47881</v>
      </c>
      <c r="D418" s="1">
        <v>23078</v>
      </c>
      <c r="E418" s="1">
        <v>286384</v>
      </c>
      <c r="F418" t="b">
        <f>AND(COUNTIF(CO!A:A,A418)&gt;0,COUNTIF('NO2'!A:A,A418)&gt;0,COUNTIF('O3'!A:A,A418)&gt;0,COUNTIF('PM10'!A:A,A418)&gt;0,COUNTIF('PM2.5'!A:A,A418)&gt;0,COUNTIF('SO2'!A:A,A418)&gt;0)</f>
        <v>1</v>
      </c>
    </row>
    <row r="419" spans="1:6" x14ac:dyDescent="0.45">
      <c r="A419" s="2">
        <v>45829</v>
      </c>
      <c r="B419" s="1">
        <v>187010</v>
      </c>
      <c r="C419" s="1">
        <v>65533</v>
      </c>
      <c r="D419" s="1">
        <v>29081</v>
      </c>
      <c r="E419" s="1">
        <v>281624</v>
      </c>
      <c r="F419" t="b">
        <f>AND(COUNTIF(CO!A:A,A419)&gt;0,COUNTIF('NO2'!A:A,A419)&gt;0,COUNTIF('O3'!A:A,A419)&gt;0,COUNTIF('PM10'!A:A,A419)&gt;0,COUNTIF('PM2.5'!A:A,A419)&gt;0,COUNTIF('SO2'!A:A,A419)&gt;0)</f>
        <v>1</v>
      </c>
    </row>
    <row r="420" spans="1:6" x14ac:dyDescent="0.45">
      <c r="A420" s="2">
        <v>45830</v>
      </c>
      <c r="B420" s="1">
        <v>161361</v>
      </c>
      <c r="C420" s="1">
        <v>60046</v>
      </c>
      <c r="D420" s="1">
        <v>17402</v>
      </c>
      <c r="E420" s="1">
        <v>238809</v>
      </c>
      <c r="F420" t="b">
        <f>AND(COUNTIF(CO!A:A,A420)&gt;0,COUNTIF('NO2'!A:A,A420)&gt;0,COUNTIF('O3'!A:A,A420)&gt;0,COUNTIF('PM10'!A:A,A420)&gt;0,COUNTIF('PM2.5'!A:A,A420)&gt;0,COUNTIF('SO2'!A:A,A420)&gt;0)</f>
        <v>1</v>
      </c>
    </row>
    <row r="421" spans="1:6" x14ac:dyDescent="0.45">
      <c r="A421" s="2">
        <v>45831</v>
      </c>
      <c r="B421" s="1">
        <v>201919</v>
      </c>
      <c r="C421" s="1">
        <v>57486</v>
      </c>
      <c r="D421" s="1">
        <v>28263</v>
      </c>
      <c r="E421" s="1">
        <v>287668</v>
      </c>
      <c r="F421" t="b">
        <f>AND(COUNTIF(CO!A:A,A421)&gt;0,COUNTIF('NO2'!A:A,A421)&gt;0,COUNTIF('O3'!A:A,A421)&gt;0,COUNTIF('PM10'!A:A,A421)&gt;0,COUNTIF('PM2.5'!A:A,A421)&gt;0,COUNTIF('SO2'!A:A,A421)&gt;0)</f>
        <v>1</v>
      </c>
    </row>
    <row r="422" spans="1:6" x14ac:dyDescent="0.45">
      <c r="A422" s="2">
        <v>45832</v>
      </c>
      <c r="B422" s="1">
        <v>184553</v>
      </c>
      <c r="C422" s="1">
        <v>56959</v>
      </c>
      <c r="D422" s="1">
        <v>28245</v>
      </c>
      <c r="E422" s="1">
        <v>269757</v>
      </c>
      <c r="F422" t="b">
        <f>AND(COUNTIF(CO!A:A,A422)&gt;0,COUNTIF('NO2'!A:A,A422)&gt;0,COUNTIF('O3'!A:A,A422)&gt;0,COUNTIF('PM10'!A:A,A422)&gt;0,COUNTIF('PM2.5'!A:A,A422)&gt;0,COUNTIF('SO2'!A:A,A422)&gt;0)</f>
        <v>1</v>
      </c>
    </row>
    <row r="423" spans="1:6" x14ac:dyDescent="0.45">
      <c r="A423" s="2">
        <v>45833</v>
      </c>
      <c r="B423" s="1">
        <v>198149</v>
      </c>
      <c r="C423" s="1">
        <v>61681</v>
      </c>
      <c r="D423" s="1">
        <v>31436</v>
      </c>
      <c r="E423" s="1">
        <v>291266</v>
      </c>
      <c r="F423" t="b">
        <f>AND(COUNTIF(CO!A:A,A423)&gt;0,COUNTIF('NO2'!A:A,A423)&gt;0,COUNTIF('O3'!A:A,A423)&gt;0,COUNTIF('PM10'!A:A,A423)&gt;0,COUNTIF('PM2.5'!A:A,A423)&gt;0,COUNTIF('SO2'!A:A,A423)&gt;0)</f>
        <v>1</v>
      </c>
    </row>
    <row r="424" spans="1:6" x14ac:dyDescent="0.45">
      <c r="A424" s="2">
        <v>45834</v>
      </c>
      <c r="B424" s="1">
        <v>168860</v>
      </c>
      <c r="C424" s="1">
        <v>58695</v>
      </c>
      <c r="D424" s="1">
        <v>36599</v>
      </c>
      <c r="E424" s="1">
        <v>264154</v>
      </c>
      <c r="F424" t="b">
        <f>AND(COUNTIF(CO!A:A,A424)&gt;0,COUNTIF('NO2'!A:A,A424)&gt;0,COUNTIF('O3'!A:A,A424)&gt;0,COUNTIF('PM10'!A:A,A424)&gt;0,COUNTIF('PM2.5'!A:A,A424)&gt;0,COUNTIF('SO2'!A:A,A424)&gt;0)</f>
        <v>1</v>
      </c>
    </row>
    <row r="425" spans="1:6" x14ac:dyDescent="0.45">
      <c r="A425" s="2">
        <v>45838</v>
      </c>
      <c r="B425" s="1">
        <v>208394</v>
      </c>
      <c r="C425" s="1">
        <v>59452</v>
      </c>
      <c r="D425" s="1">
        <v>25371</v>
      </c>
      <c r="E425" s="1">
        <v>293217</v>
      </c>
      <c r="F425" t="b">
        <f>AND(COUNTIF(CO!A:A,A425)&gt;0,COUNTIF('NO2'!A:A,A425)&gt;0,COUNTIF('O3'!A:A,A425)&gt;0,COUNTIF('PM10'!A:A,A425)&gt;0,COUNTIF('PM2.5'!A:A,A425)&gt;0,COUNTIF('SO2'!A:A,A425)&gt;0)</f>
        <v>1</v>
      </c>
    </row>
    <row r="426" spans="1:6" x14ac:dyDescent="0.45">
      <c r="A426" s="2">
        <v>45839</v>
      </c>
      <c r="B426" s="1">
        <v>185309</v>
      </c>
      <c r="C426" s="1">
        <v>58666</v>
      </c>
      <c r="D426" s="1">
        <v>29765</v>
      </c>
      <c r="E426" s="1">
        <v>273740</v>
      </c>
      <c r="F426" t="b">
        <f>AND(COUNTIF(CO!A:A,A426)&gt;0,COUNTIF('NO2'!A:A,A426)&gt;0,COUNTIF('O3'!A:A,A426)&gt;0,COUNTIF('PM10'!A:A,A426)&gt;0,COUNTIF('PM2.5'!A:A,A426)&gt;0,COUNTIF('SO2'!A:A,A426)&gt;0)</f>
        <v>1</v>
      </c>
    </row>
    <row r="427" spans="1:6" x14ac:dyDescent="0.45">
      <c r="A427" s="2">
        <v>45840</v>
      </c>
      <c r="B427" s="1">
        <v>179057</v>
      </c>
      <c r="C427" s="1">
        <v>57699</v>
      </c>
      <c r="D427" s="1">
        <v>32213</v>
      </c>
      <c r="E427" s="1">
        <v>268969</v>
      </c>
      <c r="F427" t="b">
        <f>AND(COUNTIF(CO!A:A,A427)&gt;0,COUNTIF('NO2'!A:A,A427)&gt;0,COUNTIF('O3'!A:A,A427)&gt;0,COUNTIF('PM10'!A:A,A427)&gt;0,COUNTIF('PM2.5'!A:A,A427)&gt;0,COUNTIF('SO2'!A:A,A427)&gt;0)</f>
        <v>1</v>
      </c>
    </row>
    <row r="428" spans="1:6" x14ac:dyDescent="0.45">
      <c r="A428" s="2">
        <v>45841</v>
      </c>
      <c r="B428" s="1">
        <v>192414</v>
      </c>
      <c r="C428" s="1">
        <v>62148</v>
      </c>
      <c r="D428" s="1">
        <v>27429</v>
      </c>
      <c r="E428" s="1">
        <v>281991</v>
      </c>
      <c r="F428" t="b">
        <f>AND(COUNTIF(CO!A:A,A428)&gt;0,COUNTIF('NO2'!A:A,A428)&gt;0,COUNTIF('O3'!A:A,A428)&gt;0,COUNTIF('PM10'!A:A,A428)&gt;0,COUNTIF('PM2.5'!A:A,A428)&gt;0,COUNTIF('SO2'!A:A,A428)&gt;0)</f>
        <v>1</v>
      </c>
    </row>
    <row r="429" spans="1:6" x14ac:dyDescent="0.45">
      <c r="A429" s="2">
        <v>45842</v>
      </c>
      <c r="B429" s="1">
        <v>189143</v>
      </c>
      <c r="C429" s="1">
        <v>62698</v>
      </c>
      <c r="D429" s="1">
        <v>26986</v>
      </c>
      <c r="E429" s="1">
        <v>278827</v>
      </c>
      <c r="F429" t="b">
        <f>AND(COUNTIF(CO!A:A,A429)&gt;0,COUNTIF('NO2'!A:A,A429)&gt;0,COUNTIF('O3'!A:A,A429)&gt;0,COUNTIF('PM10'!A:A,A429)&gt;0,COUNTIF('PM2.5'!A:A,A429)&gt;0,COUNTIF('SO2'!A:A,A429)&gt;0)</f>
        <v>1</v>
      </c>
    </row>
    <row r="430" spans="1:6" x14ac:dyDescent="0.45">
      <c r="A430" s="2">
        <v>45845</v>
      </c>
      <c r="B430" s="1">
        <v>194553</v>
      </c>
      <c r="C430" s="1">
        <v>60713</v>
      </c>
      <c r="D430" s="1">
        <v>20750</v>
      </c>
      <c r="E430" s="1">
        <v>276016</v>
      </c>
      <c r="F430" t="b">
        <f>AND(COUNTIF(CO!A:A,A430)&gt;0,COUNTIF('NO2'!A:A,A430)&gt;0,COUNTIF('O3'!A:A,A430)&gt;0,COUNTIF('PM10'!A:A,A430)&gt;0,COUNTIF('PM2.5'!A:A,A430)&gt;0,COUNTIF('SO2'!A:A,A430)&gt;0)</f>
        <v>1</v>
      </c>
    </row>
    <row r="431" spans="1:6" x14ac:dyDescent="0.45">
      <c r="A431" s="2">
        <v>45846</v>
      </c>
      <c r="B431" s="1">
        <v>195915</v>
      </c>
      <c r="C431" s="1">
        <v>58854</v>
      </c>
      <c r="D431" s="1">
        <v>25878</v>
      </c>
      <c r="E431" s="1">
        <v>280647</v>
      </c>
      <c r="F431" t="b">
        <f>AND(COUNTIF(CO!A:A,A431)&gt;0,COUNTIF('NO2'!A:A,A431)&gt;0,COUNTIF('O3'!A:A,A431)&gt;0,COUNTIF('PM10'!A:A,A431)&gt;0,COUNTIF('PM2.5'!A:A,A431)&gt;0,COUNTIF('SO2'!A:A,A431)&gt;0)</f>
        <v>1</v>
      </c>
    </row>
    <row r="432" spans="1:6" x14ac:dyDescent="0.45">
      <c r="A432" s="2">
        <v>45847</v>
      </c>
      <c r="B432" s="1">
        <v>181777</v>
      </c>
      <c r="C432" s="1">
        <v>60446</v>
      </c>
      <c r="D432" s="1">
        <v>29963</v>
      </c>
      <c r="E432" s="1">
        <v>272186</v>
      </c>
      <c r="F432" t="b">
        <f>AND(COUNTIF(CO!A:A,A432)&gt;0,COUNTIF('NO2'!A:A,A432)&gt;0,COUNTIF('O3'!A:A,A432)&gt;0,COUNTIF('PM10'!A:A,A432)&gt;0,COUNTIF('PM2.5'!A:A,A432)&gt;0,COUNTIF('SO2'!A:A,A432)&gt;0)</f>
        <v>1</v>
      </c>
    </row>
    <row r="433" spans="1:6" x14ac:dyDescent="0.45">
      <c r="A433" s="2">
        <v>45848</v>
      </c>
      <c r="B433" s="1">
        <v>149249</v>
      </c>
      <c r="C433" s="1">
        <v>41645</v>
      </c>
      <c r="D433" s="1">
        <v>33844</v>
      </c>
      <c r="E433" s="1">
        <v>224738</v>
      </c>
      <c r="F433" t="b">
        <f>AND(COUNTIF(CO!A:A,A433)&gt;0,COUNTIF('NO2'!A:A,A433)&gt;0,COUNTIF('O3'!A:A,A433)&gt;0,COUNTIF('PM10'!A:A,A433)&gt;0,COUNTIF('PM2.5'!A:A,A433)&gt;0,COUNTIF('SO2'!A:A,A433)&gt;0)</f>
        <v>1</v>
      </c>
    </row>
    <row r="434" spans="1:6" x14ac:dyDescent="0.45">
      <c r="A434" s="2">
        <v>45849</v>
      </c>
      <c r="B434" s="1">
        <v>167575</v>
      </c>
      <c r="C434" s="1">
        <v>56769</v>
      </c>
      <c r="D434" s="1">
        <v>30635</v>
      </c>
      <c r="E434" s="1">
        <v>254979</v>
      </c>
      <c r="F434" t="b">
        <f>AND(COUNTIF(CO!A:A,A434)&gt;0,COUNTIF('NO2'!A:A,A434)&gt;0,COUNTIF('O3'!A:A,A434)&gt;0,COUNTIF('PM10'!A:A,A434)&gt;0,COUNTIF('PM2.5'!A:A,A434)&gt;0,COUNTIF('SO2'!A:A,A434)&gt;0)</f>
        <v>1</v>
      </c>
    </row>
    <row r="435" spans="1:6" x14ac:dyDescent="0.45">
      <c r="A435" s="2">
        <v>45850</v>
      </c>
      <c r="B435" s="1">
        <v>194396</v>
      </c>
      <c r="C435" s="1">
        <v>64723</v>
      </c>
      <c r="D435" s="1">
        <v>23034</v>
      </c>
      <c r="E435" s="1">
        <v>282153</v>
      </c>
      <c r="F435" t="b">
        <f>AND(COUNTIF(CO!A:A,A435)&gt;0,COUNTIF('NO2'!A:A,A435)&gt;0,COUNTIF('O3'!A:A,A435)&gt;0,COUNTIF('PM10'!A:A,A435)&gt;0,COUNTIF('PM2.5'!A:A,A435)&gt;0,COUNTIF('SO2'!A:A,A435)&gt;0)</f>
        <v>1</v>
      </c>
    </row>
    <row r="436" spans="1:6" x14ac:dyDescent="0.45">
      <c r="A436" s="2">
        <v>45851</v>
      </c>
      <c r="B436" s="1">
        <v>153490</v>
      </c>
      <c r="C436" s="1">
        <v>58721</v>
      </c>
      <c r="D436" s="1">
        <v>19293</v>
      </c>
      <c r="E436" s="1">
        <v>231504</v>
      </c>
      <c r="F436" t="b">
        <f>AND(COUNTIF(CO!A:A,A436)&gt;0,COUNTIF('NO2'!A:A,A436)&gt;0,COUNTIF('O3'!A:A,A436)&gt;0,COUNTIF('PM10'!A:A,A436)&gt;0,COUNTIF('PM2.5'!A:A,A436)&gt;0,COUNTIF('SO2'!A:A,A436)&gt;0)</f>
        <v>1</v>
      </c>
    </row>
    <row r="437" spans="1:6" x14ac:dyDescent="0.45">
      <c r="A437" s="2">
        <v>45852</v>
      </c>
      <c r="B437" s="1">
        <v>154000</v>
      </c>
      <c r="C437" s="1">
        <v>49268</v>
      </c>
      <c r="D437" s="1">
        <v>30421</v>
      </c>
      <c r="E437" s="1">
        <v>233689</v>
      </c>
      <c r="F437" t="b">
        <f>AND(COUNTIF(CO!A:A,A437)&gt;0,COUNTIF('NO2'!A:A,A437)&gt;0,COUNTIF('O3'!A:A,A437)&gt;0,COUNTIF('PM10'!A:A,A437)&gt;0,COUNTIF('PM2.5'!A:A,A437)&gt;0,COUNTIF('SO2'!A:A,A437)&gt;0)</f>
        <v>1</v>
      </c>
    </row>
    <row r="438" spans="1:6" x14ac:dyDescent="0.45">
      <c r="A438" s="2">
        <v>45853</v>
      </c>
      <c r="B438" s="1">
        <v>175494</v>
      </c>
      <c r="C438" s="1">
        <v>58378</v>
      </c>
      <c r="D438" s="1">
        <v>29339</v>
      </c>
      <c r="E438" s="1">
        <v>263211</v>
      </c>
      <c r="F438" t="b">
        <f>AND(COUNTIF(CO!A:A,A438)&gt;0,COUNTIF('NO2'!A:A,A438)&gt;0,COUNTIF('O3'!A:A,A438)&gt;0,COUNTIF('PM10'!A:A,A438)&gt;0,COUNTIF('PM2.5'!A:A,A438)&gt;0,COUNTIF('SO2'!A:A,A438)&gt;0)</f>
        <v>1</v>
      </c>
    </row>
    <row r="439" spans="1:6" x14ac:dyDescent="0.45">
      <c r="A439" s="2">
        <v>45854</v>
      </c>
      <c r="B439" s="1">
        <v>159839</v>
      </c>
      <c r="C439" s="1">
        <v>56652</v>
      </c>
      <c r="D439" s="1">
        <v>21478</v>
      </c>
      <c r="E439" s="1">
        <v>237969</v>
      </c>
      <c r="F439" t="b">
        <f>AND(COUNTIF(CO!A:A,A439)&gt;0,COUNTIF('NO2'!A:A,A439)&gt;0,COUNTIF('O3'!A:A,A439)&gt;0,COUNTIF('PM10'!A:A,A439)&gt;0,COUNTIF('PM2.5'!A:A,A439)&gt;0,COUNTIF('SO2'!A:A,A439)&gt;0)</f>
        <v>1</v>
      </c>
    </row>
    <row r="440" spans="1:6" x14ac:dyDescent="0.45">
      <c r="A440" s="2">
        <v>45855</v>
      </c>
      <c r="B440" s="1">
        <v>147615</v>
      </c>
      <c r="C440" s="1">
        <v>54263</v>
      </c>
      <c r="D440" s="1">
        <v>36814</v>
      </c>
      <c r="E440" s="1">
        <v>238692</v>
      </c>
      <c r="F440" t="b">
        <f>AND(COUNTIF(CO!A:A,A440)&gt;0,COUNTIF('NO2'!A:A,A440)&gt;0,COUNTIF('O3'!A:A,A440)&gt;0,COUNTIF('PM10'!A:A,A440)&gt;0,COUNTIF('PM2.5'!A:A,A440)&gt;0,COUNTIF('SO2'!A:A,A440)&gt;0)</f>
        <v>1</v>
      </c>
    </row>
    <row r="441" spans="1:6" x14ac:dyDescent="0.45">
      <c r="A441" s="2">
        <v>45857</v>
      </c>
      <c r="B441" s="1">
        <v>140746</v>
      </c>
      <c r="C441" s="1">
        <v>60258</v>
      </c>
      <c r="D441" s="1">
        <v>37742</v>
      </c>
      <c r="E441" s="1">
        <v>238746</v>
      </c>
      <c r="F441" t="b">
        <f>AND(COUNTIF(CO!A:A,A441)&gt;0,COUNTIF('NO2'!A:A,A441)&gt;0,COUNTIF('O3'!A:A,A441)&gt;0,COUNTIF('PM10'!A:A,A441)&gt;0,COUNTIF('PM2.5'!A:A,A441)&gt;0,COUNTIF('SO2'!A:A,A441)&gt;0)</f>
        <v>1</v>
      </c>
    </row>
    <row r="442" spans="1:6" x14ac:dyDescent="0.45">
      <c r="A442" s="2">
        <v>45858</v>
      </c>
      <c r="B442" s="1">
        <v>116179</v>
      </c>
      <c r="C442" s="1">
        <v>57638</v>
      </c>
      <c r="D442" s="1">
        <v>32411</v>
      </c>
      <c r="E442" s="1">
        <v>206228</v>
      </c>
      <c r="F442" t="b">
        <f>AND(COUNTIF(CO!A:A,A442)&gt;0,COUNTIF('NO2'!A:A,A442)&gt;0,COUNTIF('O3'!A:A,A442)&gt;0,COUNTIF('PM10'!A:A,A442)&gt;0,COUNTIF('PM2.5'!A:A,A442)&gt;0,COUNTIF('SO2'!A:A,A442)&gt;0)</f>
        <v>1</v>
      </c>
    </row>
    <row r="443" spans="1:6" x14ac:dyDescent="0.45">
      <c r="A443" s="2">
        <v>45859</v>
      </c>
      <c r="B443" s="1">
        <v>149332</v>
      </c>
      <c r="C443" s="1">
        <v>55838</v>
      </c>
      <c r="D443" s="1">
        <v>31266</v>
      </c>
      <c r="E443" s="1">
        <v>236436</v>
      </c>
      <c r="F443" t="b">
        <f>AND(COUNTIF(CO!A:A,A443)&gt;0,COUNTIF('NO2'!A:A,A443)&gt;0,COUNTIF('O3'!A:A,A443)&gt;0,COUNTIF('PM10'!A:A,A443)&gt;0,COUNTIF('PM2.5'!A:A,A443)&gt;0,COUNTIF('SO2'!A:A,A443)&gt;0)</f>
        <v>1</v>
      </c>
    </row>
    <row r="444" spans="1:6" x14ac:dyDescent="0.45">
      <c r="A444" s="2">
        <v>45860</v>
      </c>
      <c r="B444" s="1">
        <v>158398</v>
      </c>
      <c r="C444" s="1">
        <v>56056</v>
      </c>
      <c r="D444" s="1">
        <v>31652</v>
      </c>
      <c r="E444" s="1">
        <v>246106</v>
      </c>
      <c r="F444" t="b">
        <f>AND(COUNTIF(CO!A:A,A444)&gt;0,COUNTIF('NO2'!A:A,A444)&gt;0,COUNTIF('O3'!A:A,A444)&gt;0,COUNTIF('PM10'!A:A,A444)&gt;0,COUNTIF('PM2.5'!A:A,A444)&gt;0,COUNTIF('SO2'!A:A,A444)&gt;0)</f>
        <v>1</v>
      </c>
    </row>
    <row r="445" spans="1:6" x14ac:dyDescent="0.45">
      <c r="A445" s="2">
        <v>45861</v>
      </c>
      <c r="B445" s="1">
        <v>174272</v>
      </c>
      <c r="C445" s="1">
        <v>56428</v>
      </c>
      <c r="D445" s="1">
        <v>31275</v>
      </c>
      <c r="E445" s="1">
        <v>261975</v>
      </c>
      <c r="F445" t="b">
        <f>AND(COUNTIF(CO!A:A,A445)&gt;0,COUNTIF('NO2'!A:A,A445)&gt;0,COUNTIF('O3'!A:A,A445)&gt;0,COUNTIF('PM10'!A:A,A445)&gt;0,COUNTIF('PM2.5'!A:A,A445)&gt;0,COUNTIF('SO2'!A:A,A445)&gt;0)</f>
        <v>1</v>
      </c>
    </row>
    <row r="446" spans="1:6" x14ac:dyDescent="0.45">
      <c r="A446" s="2">
        <v>45862</v>
      </c>
      <c r="B446" s="1">
        <v>188206</v>
      </c>
      <c r="C446" s="1">
        <v>59123</v>
      </c>
      <c r="D446" s="1">
        <v>28501</v>
      </c>
      <c r="E446" s="1">
        <v>275830</v>
      </c>
      <c r="F446" t="b">
        <f>AND(COUNTIF(CO!A:A,A446)&gt;0,COUNTIF('NO2'!A:A,A446)&gt;0,COUNTIF('O3'!A:A,A446)&gt;0,COUNTIF('PM10'!A:A,A446)&gt;0,COUNTIF('PM2.5'!A:A,A446)&gt;0,COUNTIF('SO2'!A:A,A446)&gt;0)</f>
        <v>1</v>
      </c>
    </row>
    <row r="447" spans="1:6" x14ac:dyDescent="0.45">
      <c r="A447" s="2">
        <v>45863</v>
      </c>
      <c r="B447" s="1">
        <v>191424</v>
      </c>
      <c r="C447" s="1">
        <v>59795</v>
      </c>
      <c r="D447" s="1">
        <v>28148</v>
      </c>
      <c r="E447" s="1">
        <v>279367</v>
      </c>
      <c r="F447" t="b">
        <f>AND(COUNTIF(CO!A:A,A447)&gt;0,COUNTIF('NO2'!A:A,A447)&gt;0,COUNTIF('O3'!A:A,A447)&gt;0,COUNTIF('PM10'!A:A,A447)&gt;0,COUNTIF('PM2.5'!A:A,A447)&gt;0,COUNTIF('SO2'!A:A,A447)&gt;0)</f>
        <v>1</v>
      </c>
    </row>
    <row r="448" spans="1:6" x14ac:dyDescent="0.45">
      <c r="A448" s="2">
        <v>45864</v>
      </c>
      <c r="B448" s="1">
        <v>182578</v>
      </c>
      <c r="C448" s="1">
        <v>65779</v>
      </c>
      <c r="D448" s="1">
        <v>28139</v>
      </c>
      <c r="E448" s="1">
        <v>276496</v>
      </c>
      <c r="F448" t="b">
        <f>AND(COUNTIF(CO!A:A,A448)&gt;0,COUNTIF('NO2'!A:A,A448)&gt;0,COUNTIF('O3'!A:A,A448)&gt;0,COUNTIF('PM10'!A:A,A448)&gt;0,COUNTIF('PM2.5'!A:A,A448)&gt;0,COUNTIF('SO2'!A:A,A448)&gt;0)</f>
        <v>1</v>
      </c>
    </row>
    <row r="449" spans="1:6" x14ac:dyDescent="0.45">
      <c r="A449" s="2">
        <v>45865</v>
      </c>
      <c r="B449" s="1">
        <v>144096</v>
      </c>
      <c r="C449" s="1">
        <v>59291</v>
      </c>
      <c r="D449" s="1">
        <v>22887</v>
      </c>
      <c r="E449" s="1">
        <v>226274</v>
      </c>
      <c r="F449" t="b">
        <f>AND(COUNTIF(CO!A:A,A449)&gt;0,COUNTIF('NO2'!A:A,A449)&gt;0,COUNTIF('O3'!A:A,A449)&gt;0,COUNTIF('PM10'!A:A,A449)&gt;0,COUNTIF('PM2.5'!A:A,A449)&gt;0,COUNTIF('SO2'!A:A,A449)&gt;0)</f>
        <v>1</v>
      </c>
    </row>
    <row r="450" spans="1:6" x14ac:dyDescent="0.45">
      <c r="A450" s="2">
        <v>45866</v>
      </c>
      <c r="B450" s="1">
        <v>170422</v>
      </c>
      <c r="C450" s="1">
        <v>56784</v>
      </c>
      <c r="D450" s="1">
        <v>27458</v>
      </c>
      <c r="E450" s="1">
        <v>254664</v>
      </c>
      <c r="F450" t="b">
        <f>AND(COUNTIF(CO!A:A,A450)&gt;0,COUNTIF('NO2'!A:A,A450)&gt;0,COUNTIF('O3'!A:A,A450)&gt;0,COUNTIF('PM10'!A:A,A450)&gt;0,COUNTIF('PM2.5'!A:A,A450)&gt;0,COUNTIF('SO2'!A:A,A450)&gt;0)</f>
        <v>1</v>
      </c>
    </row>
    <row r="451" spans="1:6" x14ac:dyDescent="0.45">
      <c r="A451" s="2">
        <v>45867</v>
      </c>
      <c r="B451" s="1">
        <v>178631</v>
      </c>
      <c r="C451" s="1">
        <v>57681</v>
      </c>
      <c r="D451" s="1">
        <v>26095</v>
      </c>
      <c r="E451" s="1">
        <v>262407</v>
      </c>
      <c r="F451" t="b">
        <f>AND(COUNTIF(CO!A:A,A451)&gt;0,COUNTIF('NO2'!A:A,A451)&gt;0,COUNTIF('O3'!A:A,A451)&gt;0,COUNTIF('PM10'!A:A,A451)&gt;0,COUNTIF('PM2.5'!A:A,A451)&gt;0,COUNTIF('SO2'!A:A,A451)&gt;0)</f>
        <v>1</v>
      </c>
    </row>
    <row r="452" spans="1:6" x14ac:dyDescent="0.45">
      <c r="A452" s="2">
        <v>45868</v>
      </c>
      <c r="B452" s="1">
        <v>183262</v>
      </c>
      <c r="C452" s="1">
        <v>56151</v>
      </c>
      <c r="D452" s="1">
        <v>21557</v>
      </c>
      <c r="E452" s="1">
        <v>260970</v>
      </c>
      <c r="F452" t="b">
        <f>AND(COUNTIF(CO!A:A,A452)&gt;0,COUNTIF('NO2'!A:A,A452)&gt;0,COUNTIF('O3'!A:A,A452)&gt;0,COUNTIF('PM10'!A:A,A452)&gt;0,COUNTIF('PM2.5'!A:A,A452)&gt;0,COUNTIF('SO2'!A:A,A452)&gt;0)</f>
        <v>1</v>
      </c>
    </row>
    <row r="453" spans="1:6" x14ac:dyDescent="0.45">
      <c r="A453" s="2">
        <v>45869</v>
      </c>
      <c r="B453" s="1">
        <v>177080</v>
      </c>
      <c r="C453" s="1">
        <v>56416</v>
      </c>
      <c r="D453" s="1">
        <v>28934</v>
      </c>
      <c r="E453" s="1">
        <v>262430</v>
      </c>
      <c r="F453" t="b">
        <f>AND(COUNTIF(CO!A:A,A453)&gt;0,COUNTIF('NO2'!A:A,A453)&gt;0,COUNTIF('O3'!A:A,A453)&gt;0,COUNTIF('PM10'!A:A,A453)&gt;0,COUNTIF('PM2.5'!A:A,A453)&gt;0,COUNTIF('SO2'!A:A,A453)&gt;0)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DATASHEET</vt:lpstr>
      <vt:lpstr>CO</vt:lpstr>
      <vt:lpstr>NO2</vt:lpstr>
      <vt:lpstr>O3</vt:lpstr>
      <vt:lpstr>PM10</vt:lpstr>
      <vt:lpstr>PM2.5</vt:lpstr>
      <vt:lpstr>SO2</vt:lpstr>
      <vt:lpstr>Kendaraan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vici oase</dc:creator>
  <cp:lastModifiedBy>vici oase</cp:lastModifiedBy>
  <dcterms:created xsi:type="dcterms:W3CDTF">2026-06-05T19:03:35Z</dcterms:created>
  <dcterms:modified xsi:type="dcterms:W3CDTF">2026-06-06T13:43:37Z</dcterms:modified>
</cp:coreProperties>
</file>